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RM_Insurance\Aladdin - SCR\Dismissione MSCI\ReportEC\Analisi BEL ISPP\"/>
    </mc:Choice>
  </mc:AlternateContent>
  <xr:revisionPtr revIDLastSave="0" documentId="13_ncr:1_{D491773A-AFFF-4FE2-9346-74A7CB1D5996}" xr6:coauthVersionLast="47" xr6:coauthVersionMax="47" xr10:uidLastSave="{00000000-0000-0000-0000-000000000000}"/>
  <bookViews>
    <workbookView xWindow="-57720" yWindow="-120" windowWidth="29040" windowHeight="16440" xr2:uid="{E321999D-8742-42C4-B964-B7EC37925FC3}"/>
  </bookViews>
  <sheets>
    <sheet name="Analisi BEL Aggregate" sheetId="1" r:id="rId1"/>
    <sheet name="Analisi ALM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a1" hidden="1">{"'RIEPILOGO'!$A$1:$E$83"}</definedName>
    <definedName name="___________a11" hidden="1">{"'RIEPILOGO'!$A$1:$E$83"}</definedName>
    <definedName name="___________a111" hidden="1">{"'RIEPILOGO'!$A$1:$E$83"}</definedName>
    <definedName name="___________p1" hidden="1">{"'RIEPILOGO'!$A$1:$E$83"}</definedName>
    <definedName name="___________p11" hidden="1">{"'RIEPILOGO'!$A$1:$E$83"}</definedName>
    <definedName name="___________pp1" hidden="1">{"'RIEPILOGO'!$A$1:$E$83"}</definedName>
    <definedName name="___________yy1" hidden="1">{"'RIEPILOGO'!$A$1:$E$83"}</definedName>
    <definedName name="__________a1" hidden="1">{"'RIEPILOGO'!$A$1:$E$83"}</definedName>
    <definedName name="__________a11" hidden="1">{"'RIEPILOGO'!$A$1:$E$83"}</definedName>
    <definedName name="__________a111" hidden="1">{"'RIEPILOGO'!$A$1:$E$83"}</definedName>
    <definedName name="__________p1" hidden="1">{"'RIEPILOGO'!$A$1:$E$83"}</definedName>
    <definedName name="__________p11" hidden="1">{"'RIEPILOGO'!$A$1:$E$83"}</definedName>
    <definedName name="__________pp1" hidden="1">{"'RIEPILOGO'!$A$1:$E$83"}</definedName>
    <definedName name="__________yy1" hidden="1">{"'RIEPILOGO'!$A$1:$E$83"}</definedName>
    <definedName name="________a1" hidden="1">{"'RIEPILOGO'!$A$1:$E$83"}</definedName>
    <definedName name="________a11" hidden="1">{"'RIEPILOGO'!$A$1:$E$83"}</definedName>
    <definedName name="________a111" hidden="1">{"'RIEPILOGO'!$A$1:$E$83"}</definedName>
    <definedName name="________p1" hidden="1">{"'RIEPILOGO'!$A$1:$E$83"}</definedName>
    <definedName name="________p11" hidden="1">{"'RIEPILOGO'!$A$1:$E$83"}</definedName>
    <definedName name="________pp1" hidden="1">{"'RIEPILOGO'!$A$1:$E$83"}</definedName>
    <definedName name="________yy1" hidden="1">{"'RIEPILOGO'!$A$1:$E$83"}</definedName>
    <definedName name="_______ben2" hidden="1">{#N/A,#N/A,FALSE,"SINTESI GESTIONALE";#N/A,#N/A,FALSE,"all.1 - LAVORO";#N/A,#N/A,FALSE,"all. 2 - SPESE AMM.TIVE";#N/A,#N/A,FALSE," SINTESI CIVILISTICO";#N/A,#N/A,FALSE,"Commerciale"}</definedName>
    <definedName name="_______ob99" hidden="1">{#N/A,#N/A,FALSE,"SINTESI GESTIONALE";#N/A,#N/A,FALSE,"all.1 - LAVORO";#N/A,#N/A,FALSE,"all. 2 - SPESE AMM.TIVE";#N/A,#N/A,FALSE," SINTESI CIVILISTICO";#N/A,#N/A,FALSE,"Commerciale"}</definedName>
    <definedName name="______a1" hidden="1">{"'RIEPILOGO'!$A$1:$E$83"}</definedName>
    <definedName name="______a11" hidden="1">{"'RIEPILOGO'!$A$1:$E$83"}</definedName>
    <definedName name="______a111" hidden="1">{"'RIEPILOGO'!$A$1:$E$83"}</definedName>
    <definedName name="______ben2" hidden="1">{#N/A,#N/A,FALSE,"SINTESI GESTIONALE";#N/A,#N/A,FALSE,"all.1 - LAVORO";#N/A,#N/A,FALSE,"all. 2 - SPESE AMM.TIVE";#N/A,#N/A,FALSE," SINTESI CIVILISTICO";#N/A,#N/A,FALSE,"Commerciale"}</definedName>
    <definedName name="______ob99" hidden="1">{#N/A,#N/A,FALSE,"SINTESI GESTIONALE";#N/A,#N/A,FALSE,"all.1 - LAVORO";#N/A,#N/A,FALSE,"all. 2 - SPESE AMM.TIVE";#N/A,#N/A,FALSE," SINTESI CIVILISTICO";#N/A,#N/A,FALSE,"Commerciale"}</definedName>
    <definedName name="______p1" hidden="1">{"'RIEPILOGO'!$A$1:$E$83"}</definedName>
    <definedName name="______p11" hidden="1">{"'RIEPILOGO'!$A$1:$E$83"}</definedName>
    <definedName name="______pp1" hidden="1">{"'RIEPILOGO'!$A$1:$E$83"}</definedName>
    <definedName name="______yy1" hidden="1">{"'RIEPILOGO'!$A$1:$E$83"}</definedName>
    <definedName name="_____a1" hidden="1">{"'RIEPILOGO'!$A$1:$E$83"}</definedName>
    <definedName name="_____a11" hidden="1">{"'RIEPILOGO'!$A$1:$E$83"}</definedName>
    <definedName name="_____a111" hidden="1">{"'RIEPILOGO'!$A$1:$E$83"}</definedName>
    <definedName name="_____p1" hidden="1">{"'RIEPILOGO'!$A$1:$E$83"}</definedName>
    <definedName name="_____p11" hidden="1">{"'RIEPILOGO'!$A$1:$E$83"}</definedName>
    <definedName name="_____pp1" hidden="1">{"'RIEPILOGO'!$A$1:$E$83"}</definedName>
    <definedName name="_____yy1" hidden="1">{"'RIEPILOGO'!$A$1:$E$83"}</definedName>
    <definedName name="____ben2" hidden="1">{#N/A,#N/A,FALSE,"SINTESI GESTIONALE";#N/A,#N/A,FALSE,"all.1 - LAVORO";#N/A,#N/A,FALSE,"all. 2 - SPESE AMM.TIVE";#N/A,#N/A,FALSE," SINTESI CIVILISTICO";#N/A,#N/A,FALSE,"Commerciale"}</definedName>
    <definedName name="____ob99" hidden="1">{#N/A,#N/A,FALSE,"SINTESI GESTIONALE";#N/A,#N/A,FALSE,"all.1 - LAVORO";#N/A,#N/A,FALSE,"all. 2 - SPESE AMM.TIVE";#N/A,#N/A,FALSE," SINTESI CIVILISTICO";#N/A,#N/A,FALSE,"Commerciale"}</definedName>
    <definedName name="___a1" hidden="1">{"'RIEPILOGO'!$A$1:$E$83"}</definedName>
    <definedName name="___a11" hidden="1">{"'RIEPILOGO'!$A$1:$E$83"}</definedName>
    <definedName name="___a111" hidden="1">{"'RIEPILOGO'!$A$1:$E$83"}</definedName>
    <definedName name="___p1" hidden="1">{"'RIEPILOGO'!$A$1:$E$83"}</definedName>
    <definedName name="___p11" hidden="1">{"'RIEPILOGO'!$A$1:$E$83"}</definedName>
    <definedName name="___pp1" hidden="1">{"'RIEPILOGO'!$A$1:$E$83"}</definedName>
    <definedName name="___yy1" hidden="1">{"'RIEPILOGO'!$A$1:$E$83"}</definedName>
    <definedName name="__123Graph_LBL_A" hidden="1">#REF!</definedName>
    <definedName name="__123Graph_LBL_AGraph1" hidden="1">#REF!</definedName>
    <definedName name="__123Graph_LBL_B" hidden="1">#REF!</definedName>
    <definedName name="__123Graph_LBL_BGraph1" hidden="1">#REF!</definedName>
    <definedName name="__ben2" hidden="1">{#N/A,#N/A,FALSE,"SINTESI GESTIONALE";#N/A,#N/A,FALSE,"all.1 - LAVORO";#N/A,#N/A,FALSE,"all. 2 - SPESE AMM.TIVE";#N/A,#N/A,FALSE," SINTESI CIVILISTICO";#N/A,#N/A,FALSE,"Commerciale"}</definedName>
    <definedName name="__IntlFixup" hidden="1">TRUE</definedName>
    <definedName name="__ob99" hidden="1">{#N/A,#N/A,FALSE,"SINTESI GESTIONALE";#N/A,#N/A,FALSE,"all.1 - LAVORO";#N/A,#N/A,FALSE,"all. 2 - SPESE AMM.TIVE";#N/A,#N/A,FALSE," SINTESI CIVILISTICO";#N/A,#N/A,FALSE,"Commerciale"}</definedName>
    <definedName name="_a1" hidden="1">{"'RIEPILOGO'!$A$1:$E$83"}</definedName>
    <definedName name="_a11" hidden="1">{"'RIEPILOGO'!$A$1:$E$83"}</definedName>
    <definedName name="_a111" hidden="1">{"'RIEPILOGO'!$A$1:$E$83"}</definedName>
    <definedName name="_AMO_UniqueIdentifier" hidden="1">"'25871bbe-74d2-450b-bd26-0f8719db3ceb'"</definedName>
    <definedName name="_AMO_XmlVersion" hidden="1">"'1'"</definedName>
    <definedName name="_AtRisk_FitDataRange_FIT_15FB_67C9D" hidden="1">#REF!</definedName>
    <definedName name="_AtRisk_FitDataRange_FIT_27A9D_31F09" hidden="1">#REF!</definedName>
    <definedName name="_AtRisk_FitDataRange_FIT_4D082_32DFE" hidden="1">#REF!</definedName>
    <definedName name="_AtRisk_FitDataRange_FIT_55A84_14968" hidden="1">#REF!</definedName>
    <definedName name="_AtRisk_FitDataRange_FIT_8D015_C3AD2" hidden="1">#REF!</definedName>
    <definedName name="_AtRisk_FitDataRange_FIT_BBCC2_94449" hidden="1">#REF!</definedName>
    <definedName name="_AtRisk_FitDataRange_FIT_C688D_735F1" hidden="1">#REF!</definedName>
    <definedName name="_AtRisk_FitDataRange_FIT_EBED6_7C9B8" hidden="1">#REF!</definedName>
    <definedName name="_AtRisk_FitDataRange_FIT_F2F7A_EC495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en2" hidden="1">{#N/A,#N/A,FALSE,"SINTESI GESTIONALE";#N/A,#N/A,FALSE,"all.1 - LAVORO";#N/A,#N/A,FALSE,"all. 2 - SPESE AMM.TIVE";#N/A,#N/A,FALSE," SINTESI CIVILISTICO";#N/A,#N/A,FALSE,"Commerciale"}</definedName>
    <definedName name="_Dist_Values" hidden="1">#REF!</definedName>
    <definedName name="_Fill" hidden="1">#REF!</definedName>
    <definedName name="_xlnm._FilterDatabase" localSheetId="1" hidden="1">'Analisi ALM'!$A$1:$C$12</definedName>
    <definedName name="_xlnm._FilterDatabase" hidden="1">#REF!</definedName>
    <definedName name="_Key1" hidden="1">#REF!</definedName>
    <definedName name="_Key2" hidden="1">#REF!</definedName>
    <definedName name="_ob99" hidden="1">{#N/A,#N/A,FALSE,"SINTESI GESTIONALE";#N/A,#N/A,FALSE,"all.1 - LAVORO";#N/A,#N/A,FALSE,"all. 2 - SPESE AMM.TIVE";#N/A,#N/A,FALSE," SINTESI CIVILISTICO";#N/A,#N/A,FALSE,"Commerciale"}</definedName>
    <definedName name="_Order1" hidden="1">255</definedName>
    <definedName name="_Order2" hidden="1">255</definedName>
    <definedName name="_p1" hidden="1">{"'RIEPILOGO'!$A$1:$E$83"}</definedName>
    <definedName name="_p11" hidden="1">{"'RIEPILOGO'!$A$1:$E$83"}</definedName>
    <definedName name="_pp1" hidden="1">{"'RIEPILOGO'!$A$1:$E$83"}</definedName>
    <definedName name="_scenchg_count" hidden="1">1</definedName>
    <definedName name="_scenchg1" hidden="1">#NAME?</definedName>
    <definedName name="_Sort" hidden="1">#REF!</definedName>
    <definedName name="_Table1_In1" hidden="1">#REF!</definedName>
    <definedName name="_Table1_Out" hidden="1">#REF!</definedName>
    <definedName name="_yy1" hidden="1">{"'RIEPILOGO'!$A$1:$E$83"}</definedName>
    <definedName name="A" hidden="1">{"'RamoVita-mo'!$B$1:$J$85"}</definedName>
    <definedName name="aa" hidden="1">{#N/A,#N/A,FALSE,"SINTESI GESTIONALE";#N/A,#N/A,FALSE,"all.1 - LAVORO";#N/A,#N/A,FALSE,"all. 2 - SPESE AMM.TIVE";#N/A,#N/A,FALSE," SINTESI CIVILISTICO";#N/A,#N/A,FALSE,"Commerciale"}</definedName>
    <definedName name="AAA_DOCTOPS" hidden="1">"AAA_SET"</definedName>
    <definedName name="AAA_duser" hidden="1">"OFF"</definedName>
    <definedName name="aaaa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aaaaa" hidden="1">{#N/A,#N/A,FALSE,"SINTESI GESTIONALE";#N/A,#N/A,FALSE,"all.1 - LAVORO";#N/A,#N/A,FALSE,"all. 2 - SPESE AMM.TIVE";#N/A,#N/A,FALSE," SINTESI CIVILISTICO";#N/A,#N/A,FALSE,"Commerciale"}</definedName>
    <definedName name="aaaaaa" hidden="1">{"'RIEPILOGO'!$A$1:$E$83"}</definedName>
    <definedName name="aaaaaaa" hidden="1">{"'RIEPILOGO'!$A$1:$E$83"}</definedName>
    <definedName name="AAAAAAAA" hidden="1">{#N/A,#N/A,FALSE,"SINTESI GESTIONALE";#N/A,#N/A,FALSE,"all.1 - LAVORO";#N/A,#N/A,FALSE,"all. 2 - SPESE AMM.TIVE";#N/A,#N/A,FALSE," SINTESI CIVILISTICO";#N/A,#N/A,FALSE,"Commerciale"}</definedName>
    <definedName name="AAAAAAAAA" hidden="1">{#N/A,#N/A,FALSE,"SINTESI GESTIONALE";#N/A,#N/A,FALSE,"all.1 - LAVORO";#N/A,#N/A,FALSE,"all. 2 - SPESE AMM.TIVE";#N/A,#N/A,FALSE," SINTESI CIVILISTICO";#N/A,#N/A,FALSE,"Commerciale"}</definedName>
    <definedName name="AAAAAAAAAAA" hidden="1">{#N/A,#N/A,FALSE,"SINTESI GESTIONALE";#N/A,#N/A,FALSE,"all.1 - LAVORO";#N/A,#N/A,FALSE,"all. 2 - SPESE AMM.TIVE";#N/A,#N/A,FALSE," SINTESI CIVILISTICO";#N/A,#N/A,FALSE,"Commerciale"}</definedName>
    <definedName name="aaaaaaaaaaaa" hidden="1">{#N/A,#N/A,FALSE,"PL TOTAL";#N/A,#N/A,FALSE,"PTF 95";#N/A,#N/A,FALSE,"ARD 95 ";#N/A,#N/A,FALSE,"RE 95"}</definedName>
    <definedName name="aaaaaaaaaaaaa" hidden="1">{"'RIEPILOGO'!$A$1:$E$83"}</definedName>
    <definedName name="aaaaaaaaaaaaaaa" hidden="1">{"'RIEPILOGO'!$A$1:$E$83"}</definedName>
    <definedName name="aaaaaaaaaaaaaaaaaaaaaaaaaaaaaaaaaa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aaaaaaaaaaaaaaaaaaaaaaaaaaaaaaaaaaaaaaaaaa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AAB_Addin5" hidden="1">"AAB_Description for addin 5,Description for addin 5,Description for addin 5,Description for addin 5,Description for addin 5,Description for addin 5"</definedName>
    <definedName name="aac" hidden="1">{#N/A,#N/A,FALSE,"SINTESI GESTIONALE";#N/A,#N/A,FALSE,"all.1 - LAVORO";#N/A,#N/A,FALSE,"all. 2 - SPESE AMM.TIVE";#N/A,#N/A,FALSE," SINTESI CIVILISTICO";#N/A,#N/A,FALSE,"Commerciale"}</definedName>
    <definedName name="aasasdasdasd" hidden="1">{"'RamoVita-mo'!$B$1:$J$85"}</definedName>
    <definedName name="AAVVV" hidden="1">{#N/A,#N/A,FALSE,"SINTESI GESTIONALE";#N/A,#N/A,FALSE,"all.1 - LAVORO";#N/A,#N/A,FALSE,"all. 2 - SPESE AMM.TIVE";#N/A,#N/A,FALSE," SINTESI CIVILISTICO";#N/A,#N/A,FALSE,"Commerciale"}</definedName>
    <definedName name="acci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af" hidden="1">{"'RamoVita-mo'!$B$1:$J$85"}</definedName>
    <definedName name="afgfafga" hidden="1">{"'RamoVita-mo'!$B$1:$J$85"}</definedName>
    <definedName name="afh" hidden="1">#REF!</definedName>
    <definedName name="afsdas" hidden="1">{"'RamoVita-mo'!$B$1:$J$85"}</definedName>
    <definedName name="agshertricncnsjkld" hidden="1">{"'RamoVita-mo'!$B$1:$J$85"}</definedName>
    <definedName name="anscount" hidden="1">1</definedName>
    <definedName name="as" hidden="1">{"CECons",#N/A,FALSE,"CE"}</definedName>
    <definedName name="AS2DocOpenMode" hidden="1">"AS2DocumentBrowse"</definedName>
    <definedName name="asashahas" hidden="1">{"'RamoVita-mo'!$B$1:$J$85"}</definedName>
    <definedName name="asdf" hidden="1">#REF!</definedName>
    <definedName name="ASDGH" hidden="1">{#N/A,#N/A,FALSE,"SINTESI GESTIONALE";#N/A,#N/A,FALSE,"all.1 - LAVORO";#N/A,#N/A,FALSE,"all. 2 - SPESE AMM.TIVE";#N/A,#N/A,FALSE," SINTESI CIVILISTICO";#N/A,#N/A,FALSE,"Commerciale"}</definedName>
    <definedName name="asdjkasdfhasduklasasd" hidden="1">{"'RamoVita-mo'!$B$1:$J$85"}</definedName>
    <definedName name="awererwtv" hidden="1">{"'RamoVita-mo'!$B$1:$J$85"}</definedName>
    <definedName name="B" hidden="1">{"'RamoVita-mo'!$B$1:$J$85"}</definedName>
    <definedName name="BB" hidden="1">{"'RamoVita-mo'!$B$1:$J$85"}</definedName>
    <definedName name="bbb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bbytybybty" hidden="1">{"'RamoVita-mo'!$B$1:$J$85"}</definedName>
    <definedName name="beiiyi" hidden="1">{#N/A,#N/A,FALSE,"SINTESI GESTIONALE";#N/A,#N/A,FALSE,"all.1 - LAVORO";#N/A,#N/A,FALSE,"all. 2 - SPESE AMM.TIVE";#N/A,#N/A,FALSE," SINTESI CIVILISTICO";#N/A,#N/A,FALSE,"Commerciale"}</definedName>
    <definedName name="BEL_1_5">'[1]Stat by Mat'!$D$3</definedName>
    <definedName name="BEL_11_20">'[1]Stat by Mat'!$D$5</definedName>
    <definedName name="BEL_21_30">'[1]Stat by Mat'!$D$6</definedName>
    <definedName name="BEL_31_50">'[1]Stat by Mat'!$D$7</definedName>
    <definedName name="BEL_6_10">'[1]Stat by Mat'!$D$4</definedName>
    <definedName name="BLPH79" hidden="1">'[2]Azioni italiane'!$A$2</definedName>
    <definedName name="bnm" hidden="1">{"'RamoVita-mo'!$B$1:$J$85"}</definedName>
    <definedName name="bonigiol" hidden="1">{#N/A,#N/A,FALSE,"SINTESI GESTIONALE";#N/A,#N/A,FALSE,"all.1 - LAVORO";#N/A,#N/A,FALSE,"all. 2 - SPESE AMM.TIVE";#N/A,#N/A,FALSE," SINTESI CIVILISTICO";#N/A,#N/A,FALSE,"Commerciale"}</definedName>
    <definedName name="bytybtyrerertrtr" hidden="1">{"'RamoVita-mo'!$B$1:$J$85"}</definedName>
    <definedName name="CABOTO_PREC" hidden="1">{#N/A,#N/A,FALSE,"SINTESI GESTIONALE";#N/A,#N/A,FALSE,"all.1 - LAVORO";#N/A,#N/A,FALSE,"all. 2 - SPESE AMM.TIVE";#N/A,#N/A,FALSE," SINTESI CIVILISTICO";#N/A,#N/A,FALSE,"Commerciale"}</definedName>
    <definedName name="CANARIAROS" hidden="1">{"'RamoVita-mo'!$B$1:$J$85"}</definedName>
    <definedName name="cavolicchio" hidden="1">{#N/A,#N/A,FALSE,"SINTESI GESTIONALE";#N/A,#N/A,FALSE,"all.1 - LAVORO";#N/A,#N/A,FALSE,"all. 2 - SPESE AMM.TIVE";#N/A,#N/A,FALSE," SINTESI CIVILISTICO";#N/A,#N/A,FALSE,"Commerciale"}</definedName>
    <definedName name="cc" hidden="1">{#N/A,#N/A,FALSE,"SINTESI GESTIONALE";#N/A,#N/A,FALSE,"all.1 - LAVORO";#N/A,#N/A,FALSE,"all. 2 - SPESE AMM.TIVE";#N/A,#N/A,FALSE," SINTESI CIVILISTICO";#N/A,#N/A,FALSE,"Commerciale"}</definedName>
    <definedName name="ccc" hidden="1">{#N/A,#N/A,FALSE,"SINTESI GESTIONALE";#N/A,#N/A,FALSE,"all.1 - LAVORO";#N/A,#N/A,FALSE,"all. 2 - SPESE AMM.TIVE";#N/A,#N/A,FALSE," SINTESI CIVILISTICO";#N/A,#N/A,FALSE,"Commerciale"}</definedName>
    <definedName name="CCCC" hidden="1">{#N/A,#N/A,FALSE,"SINTESI GESTIONALE";#N/A,#N/A,FALSE,"all.1 - LAVORO";#N/A,#N/A,FALSE,"all. 2 - SPESE AMM.TIVE";#N/A,#N/A,FALSE," SINTESI CIVILISTICO";#N/A,#N/A,FALSE,"Commerciale"}</definedName>
    <definedName name="ccccc" hidden="1">{#N/A,#N/A,FALSE,"SINTESI GESTIONALE";#N/A,#N/A,FALSE,"all.1 - LAVORO";#N/A,#N/A,FALSE,"all. 2 - SPESE AMM.TIVE";#N/A,#N/A,FALSE," SINTESI CIVILISTICO";#N/A,#N/A,FALSE,"Commerciale"}</definedName>
    <definedName name="cccccccccccccccccccccccccccccccccccccccccccccc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CellWatch01Descn" hidden="1">""</definedName>
    <definedName name="CellWatch01Name" hidden="1">"MgInt1999"</definedName>
    <definedName name="CellWatch02Descn" hidden="1">""</definedName>
    <definedName name="CellWatch02Name" hidden="1">"MgInt2000"</definedName>
    <definedName name="CellWatch06Descn" hidden="1">""</definedName>
    <definedName name="CellWatch06Name" hidden="1">"2000"</definedName>
    <definedName name="CellWatch09Descn" hidden="1">""</definedName>
    <definedName name="CellWatch09Name" hidden="1">"cap ml 2001"</definedName>
    <definedName name="CellWatch10Descn" hidden="1">""</definedName>
    <definedName name="CellWatch10Name" hidden="1">"1998"</definedName>
    <definedName name="CellWatch11Descn" hidden="1">""</definedName>
    <definedName name="CellWatch11Name" hidden="1">"1999"</definedName>
    <definedName name="cgc" hidden="1">{#N/A,#N/A,FALSE,"SINTESI GESTIONALE";#N/A,#N/A,FALSE,"all.1 - LAVORO";#N/A,#N/A,FALSE,"all. 2 - SPESE AMM.TIVE";#N/A,#N/A,FALSE," SINTESI CIVILISTICO";#N/A,#N/A,FALSE,"Commerciale"}</definedName>
    <definedName name="ciop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cip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cm_an" hidden="1">#REF!</definedName>
    <definedName name="cm_baco" hidden="1">#REF!</definedName>
    <definedName name="cm_camp" hidden="1">#REF!</definedName>
    <definedName name="cm_canas" hidden="1">#REF!</definedName>
    <definedName name="cm_cat" hidden="1">#REF!</definedName>
    <definedName name="cm_cp" hidden="1">#REF!</definedName>
    <definedName name="cm_devc" hidden="1">#REF!</definedName>
    <definedName name="cm_entc" hidden="1">#REF!</definedName>
    <definedName name="cm_entg" hidden="1">#REF!</definedName>
    <definedName name="cm_entg.uni" hidden="1">#REF!</definedName>
    <definedName name="cm_ents" hidden="1">#REF!</definedName>
    <definedName name="cm_ents.uni" hidden="1">#REF!</definedName>
    <definedName name="cm_etap" hidden="1">#REF!</definedName>
    <definedName name="cm_etat.code" hidden="1">#REF!</definedName>
    <definedName name="cm_etat.desc" hidden="1">#REF!</definedName>
    <definedName name="cm_flux" hidden="1">#REF!</definedName>
    <definedName name="cm_he" hidden="1">#REF!</definedName>
    <definedName name="cm_meva" hidden="1">#REF!</definedName>
    <definedName name="cm_mois" hidden="1">#REF!</definedName>
    <definedName name="cm_nat" hidden="1">#REF!</definedName>
    <definedName name="cm_org" hidden="1">#REF!</definedName>
    <definedName name="cm_per" hidden="1">#REF!</definedName>
    <definedName name="cm_perrep" hidden="1">#REF!</definedName>
    <definedName name="cm_pha" hidden="1">#REF!</definedName>
    <definedName name="cm_rub" hidden="1">#REF!</definedName>
    <definedName name="cm_uni" hidden="1">#REF!</definedName>
    <definedName name="cm_user" hidden="1">#REF!</definedName>
    <definedName name="cm_vrgl" hidden="1">#REF!</definedName>
    <definedName name="cm_Xadrz1" hidden="1">#REF!</definedName>
    <definedName name="cm_Xadrz2" hidden="1">#REF!</definedName>
    <definedName name="cm_Xfaxr" hidden="1">#REF!</definedName>
    <definedName name="cm_Xland" hidden="1">#REF!</definedName>
    <definedName name="cm_Xlrew" hidden="1">#REF!</definedName>
    <definedName name="cm_Xname" hidden="1">#REF!</definedName>
    <definedName name="cm_Xort" hidden="1">#REF!</definedName>
    <definedName name="cm_Xplz" hidden="1">#REF!</definedName>
    <definedName name="cm_Xtelr" hidden="1">#REF!</definedName>
    <definedName name="CorrMkt">[3]Parameters!$C$81:$H$86</definedName>
    <definedName name="curva">[4]Copertina!#REF!</definedName>
    <definedName name="daniela" hidden="1">{#N/A,#N/A,FALSE,"SINTESI GESTIONALE";#N/A,#N/A,FALSE,"all.1 - LAVORO";#N/A,#N/A,FALSE,"all. 2 - SPESE AMM.TIVE";#N/A,#N/A,FALSE," SINTESI CIVILISTICO";#N/A,#N/A,FALSE,"Commerciale"}</definedName>
    <definedName name="dasffsfdffdf" hidden="1">{"'RamoVita-mo'!$B$1:$J$85"}</definedName>
    <definedName name="dd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dddd" hidden="1">{#N/A,#N/A,FALSE,"SINTESI GESTIONALE";#N/A,#N/A,FALSE,"all.1 - LAVORO";#N/A,#N/A,FALSE,"all. 2 - SPESE AMM.TIVE";#N/A,#N/A,FALSE," SINTESI CIVILISTICO";#N/A,#N/A,FALSE,"Commerciale"}</definedName>
    <definedName name="ddddd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ddddddddd" hidden="1">#REF!</definedName>
    <definedName name="dedee" hidden="1">{"'RamoVita-mo'!$B$1:$J$85"}</definedName>
    <definedName name="DEEDE" hidden="1">{"'RamoVita-mo'!$B$1:$J$85"}</definedName>
    <definedName name="delia" hidden="1">{#N/A,#N/A,FALSE,"SINTESI GESTIONALE";#N/A,#N/A,FALSE,"all.1 - LAVORO";#N/A,#N/A,FALSE,"all. 2 - SPESE AMM.TIVE";#N/A,#N/A,FALSE," SINTESI CIVILISTICO";#N/A,#N/A,FALSE,"Commerciale"}</definedName>
    <definedName name="DELTA_21_30">'[1]Stat by Mat 2'!$G$6</definedName>
    <definedName name="DELTA_6_10">'[1]Stat by Mat 2'!$G$4</definedName>
    <definedName name="DELTA_DOWN_1_5">'[1]Stat by Mat 2'!$G$3</definedName>
    <definedName name="DELTA_DOWN_11_20">'[1]Stat by Mat 2'!$G$5</definedName>
    <definedName name="DELTA_DOWN_31_50">'[1]Stat by Mat 2'!$G$7</definedName>
    <definedName name="DELTA_UP_1_5">'[1]Stat by Mat 2'!$D$3</definedName>
    <definedName name="DELTA_UP_11_20">'[1]Stat by Mat 2'!$D$5</definedName>
    <definedName name="DELTA_UP_21_30">'[1]Stat by Mat 2'!$D$6</definedName>
    <definedName name="DELTA_UP_31_50">'[1]Stat by Mat 2'!$D$7</definedName>
    <definedName name="DELTA_UP_6_10">'[1]Stat by Mat 2'!$D$4</definedName>
    <definedName name="DELTA1PERC">[1]Result!$P$4</definedName>
    <definedName name="des" hidden="1">{"'RamoVita-mo'!$B$1:$J$85"}</definedName>
    <definedName name="df" hidden="1">{"'RamoVita-mo'!$B$1:$J$85"}</definedName>
    <definedName name="DF_0">#REF!</definedName>
    <definedName name="DF_Down">#REF!</definedName>
    <definedName name="DF_up">#REF!</definedName>
    <definedName name="dfd" hidden="1">{"'RamoVita-mo'!$B$1:$J$85"}</definedName>
    <definedName name="dfdfdfs" hidden="1">{"'RamoVita-mo'!$B$1:$J$85"}</definedName>
    <definedName name="dfdfqwqwqreer" hidden="1">{"'RamoVita-mo'!$B$1:$J$85"}</definedName>
    <definedName name="dfrtyyy" hidden="1">{#N/A,#N/A,FALSE,"SINTESI GESTIONALE";#N/A,#N/A,FALSE,"all.1 - LAVORO";#N/A,#N/A,FALSE,"all. 2 - SPESE AMM.TIVE";#N/A,#N/A,FALSE," SINTESI CIVILISTICO";#N/A,#N/A,FALSE,"Commerciale"}</definedName>
    <definedName name="dftghj" hidden="1">{"AG_Rete",#N/A,FALSE,"Area Rete";"AG_intergruppo",#N/A,FALSE,"Area Intergruppo";"AG_filiali",#N/A,FALSE,"Area Filiali";"AG_finanza",#N/A,FALSE,"Area Finanza";"AG_struttura",#N/A,FALSE,"Area Struttura"}</definedName>
    <definedName name="DLFNHEDNJUSEW" hidden="1">{"AG_Rete",#N/A,FALSE,"Area Rete";"AG_intergruppo",#N/A,FALSE,"Area Intergruppo";"AG_filiali",#N/A,FALSE,"Area Filiali";"AG_finanza",#N/A,FALSE,"Area Finanza";"AG_struttura",#N/A,FALSE,"Area Struttura"}</definedName>
    <definedName name="DownwardShock">#REF!</definedName>
    <definedName name="DURATION">[1]Result!$N$4</definedName>
    <definedName name="DV01_1_5">'[1]Stat by Mat 2'!$J$3</definedName>
    <definedName name="DV01_11_20">'[1]Stat by Mat 2'!$J$5</definedName>
    <definedName name="DV01_21_30">'[1]Stat by Mat 2'!$J$6</definedName>
    <definedName name="DV01_31_50">'[1]Stat by Mat 2'!$J$7</definedName>
    <definedName name="DV01_6_10">'[1]Stat by Mat 2'!$J$4</definedName>
    <definedName name="ee" hidden="1">{"'RamoVita-mo'!$B$1:$J$85"}</definedName>
    <definedName name="èèèè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eergdfgdfh" hidden="1">{"'RamoVita-mo'!$B$1:$J$85"}</definedName>
    <definedName name="èòàààààààààà" hidden="1">{"'RamoVita-mo'!$B$1:$J$85"}</definedName>
    <definedName name="eqwe" hidden="1">{#N/A,#N/A,FALSE,"SINTESI GESTIONALE";#N/A,#N/A,FALSE,"all.1 - LAVORO";#N/A,#N/A,FALSE,"all. 2 - SPESE AMM.TIVE";#N/A,#N/A,FALSE," SINTESI CIVILISTICO";#N/A,#N/A,FALSE,"Commerciale"}</definedName>
    <definedName name="erdd" hidden="1">{"'RamoVita-mo'!$B$1:$J$85"}</definedName>
    <definedName name="etjety1" hidden="1">{"'RamoVita-mo'!$B$1:$J$85"}</definedName>
    <definedName name="etjetyjetyjetyj" hidden="1">{"'RamoVita-mo'!$B$1:$J$85"}</definedName>
    <definedName name="EV__LASTREFTIME__" hidden="1">38686.6449884259</definedName>
    <definedName name="f" hidden="1">{#N/A,#N/A,FALSE,"SINTESI GESTIONALE";#N/A,#N/A,FALSE,"all.1 - LAVORO";#N/A,#N/A,FALSE,"all. 2 - SPESE AMM.TIVE";#N/A,#N/A,FALSE," SINTESI CIVILISTICO";#N/A,#N/A,FALSE,"Commerciale"}</definedName>
    <definedName name="fdf" hidden="1">{"'RamoVita-mo'!$B$1:$J$85"}</definedName>
    <definedName name="fdsdfsdfdsdfs" hidden="1">{"'RamoVita-mo'!$B$1:$J$85"}</definedName>
    <definedName name="fdsssssssssssssssssssss" hidden="1">{"'RamoVita-mo'!$B$1:$J$85"}</definedName>
    <definedName name="fefe" hidden="1">{"'RamoVita-mo'!$B$1:$J$85"}</definedName>
    <definedName name="FETU" hidden="1">{"'RamoVita-mo'!$B$1:$J$85"}</definedName>
    <definedName name="ff" hidden="1">#REF!</definedName>
    <definedName name="fffdsfsdf" hidden="1">{"'RamoVita-mo'!$B$1:$J$85"}</definedName>
    <definedName name="ffff" hidden="1">{#N/A,#N/A,FALSE,"SINTESI GESTIONALE";#N/A,#N/A,FALSE,"all.1 - LAVORO";#N/A,#N/A,FALSE,"all. 2 - SPESE AMM.TIVE";#N/A,#N/A,FALSE," SINTESI CIVILISTICO";#N/A,#N/A,FALSE,"Commerciale"}</definedName>
    <definedName name="fffff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ffffff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fffffff" hidden="1">{#N/A,#N/A,FALSE,"SINTESI GESTIONALE";#N/A,#N/A,FALSE,"all.1 - LAVORO";#N/A,#N/A,FALSE,"all. 2 - SPESE AMM.TIVE";#N/A,#N/A,FALSE," SINTESI CIVILISTICO";#N/A,#N/A,FALSE,"Commerciale"}</definedName>
    <definedName name="ffffffff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ffffffffff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fffffffffff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fffffffffffff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fffffffffffffffff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ffffffffffffffffff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ffffffffffffffffffff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ffffffffffffffffffffffff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ffwwwww" hidden="1">{"'RamoVita-mo'!$B$1:$J$85"}</definedName>
    <definedName name="fg" hidden="1">{"'RamoVita-mo'!$B$1:$J$85"}</definedName>
    <definedName name="fgggggggggg" hidden="1">{#N/A,#N/A,FALSE,"SINTESI GESTIONALE";#N/A,#N/A,FALSE,"all.1 - LAVORO";#N/A,#N/A,FALSE,"all. 2 - SPESE AMM.TIVE";#N/A,#N/A,FALSE," SINTESI CIVILISTICO";#N/A,#N/A,FALSE,"Commerciale"}</definedName>
    <definedName name="fhgf" hidden="1">{"'RamoVita-mo'!$B$1:$J$85"}</definedName>
    <definedName name="fhghgfghghghf" hidden="1">{"'RamoVita-mo'!$B$1:$J$85"}</definedName>
    <definedName name="fhjkiooooooo" hidden="1">{"'RamoVita-mo'!$B$1:$J$85"}</definedName>
    <definedName name="fjklfjklgjklkgnfgfgf" hidden="1">{"'RamoVita-mo'!$B$1:$J$85"}</definedName>
    <definedName name="fregnm" hidden="1">{"'RamoVita-mo'!$B$1:$J$85"}</definedName>
    <definedName name="g" hidden="1">{#N/A,#N/A,FALSE,"SINTESI GESTIONALE";#N/A,#N/A,FALSE,"all.1 - LAVORO";#N/A,#N/A,FALSE,"all. 2 - SPESE AMM.TIVE";#N/A,#N/A,FALSE," SINTESI CIVILISTICO";#N/A,#N/A,FALSE,"Commerciale"}</definedName>
    <definedName name="generali" hidden="1">{"'RamoVita-mo'!$B$1:$J$85"}</definedName>
    <definedName name="gepp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geppo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geppoooo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geppotto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GEVE" hidden="1">{#N/A,#N/A,FALSE,"SINTESI GESTIONALE";#N/A,#N/A,FALSE,"all.1 - LAVORO";#N/A,#N/A,FALSE,"all. 2 - SPESE AMM.TIVE";#N/A,#N/A,FALSE," SINTESI CIVILISTICO";#N/A,#N/A,FALSE,"Commerciale"}</definedName>
    <definedName name="gf" hidden="1">{"'RamoVita-mo'!$B$1:$J$85"}</definedName>
    <definedName name="gfsdg" hidden="1">{"'RamoVita-mo'!$B$1:$J$85"}</definedName>
    <definedName name="gggg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ggggfgfgfg" hidden="1">{"'RamoVita-mo'!$B$1:$J$85"}</definedName>
    <definedName name="ggggggg" hidden="1">{#N/A,#N/A,FALSE,"SINTESI GESTIONALE";#N/A,#N/A,FALSE,"all.1 - LAVORO";#N/A,#N/A,FALSE,"all. 2 - SPESE AMM.TIVE";#N/A,#N/A,FALSE," SINTESI CIVILISTICO";#N/A,#N/A,FALSE,"Commerciale"}</definedName>
    <definedName name="gggggggggggggggggggggggggggggggggggjk" hidden="1">{"'RamoVita-mo'!$B$1:$J$85"}</definedName>
    <definedName name="gghjj" hidden="1">{#N/A,#N/A,FALSE,"SINTESI GESTIONALE";#N/A,#N/A,FALSE,"all.1 - LAVORO";#N/A,#N/A,FALSE,"all. 2 - SPESE AMM.TIVE";#N/A,#N/A,FALSE," SINTESI CIVILISTICO";#N/A,#N/A,FALSE,"Commerciale"}</definedName>
    <definedName name="ghhrhh" hidden="1">{"'RamoVita-mo'!$B$1:$J$85"}</definedName>
    <definedName name="gi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gil" hidden="1">{#N/A,#N/A,FALSE,"SINTESI GESTIONALE";#N/A,#N/A,FALSE,"all.1 - LAVORO";#N/A,#N/A,FALSE,"all. 2 - SPESE AMM.TIVE";#N/A,#N/A,FALSE," SINTESI CIVILISTICO";#N/A,#N/A,FALSE,"Commerciale"}</definedName>
    <definedName name="gip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GIULFIOR" hidden="1">{#N/A,#N/A,FALSE,"SINTESI GESTIONALE";#N/A,#N/A,FALSE,"all.1 - LAVORO";#N/A,#N/A,FALSE,"all. 2 - SPESE AMM.TIVE";#N/A,#N/A,FALSE," SINTESI CIVILISTICO";#N/A,#N/A,FALSE,"Commerciale"}</definedName>
    <definedName name="gkgklfjiogeiofioiojionvioer" hidden="1">{"'RamoVita-mo'!$B$1:$J$85"}</definedName>
    <definedName name="glòklhnklmklh" hidden="1">{"'RamoVita-mo'!$B$1:$J$85"}</definedName>
    <definedName name="gttrrtrtrtr" hidden="1">{"'RamoVita-mo'!$B$1:$J$85"}</definedName>
    <definedName name="h" hidden="1">2</definedName>
    <definedName name="hello" hidden="1">{"'RamoVita-mo'!$B$1:$J$85"}</definedName>
    <definedName name="hello1" hidden="1">{"'RamoVita-mo'!$B$1:$J$85"}</definedName>
    <definedName name="hgjkl" hidden="1">{"'RamoVita-mo'!$B$1:$J$85"}</definedName>
    <definedName name="hh" hidden="1">{#N/A,#N/A,FALSE,"SINTESI GESTIONALE";#N/A,#N/A,FALSE,"all.1 - LAVORO";#N/A,#N/A,FALSE,"all. 2 - SPESE AMM.TIVE";#N/A,#N/A,FALSE," SINTESI CIVILISTICO";#N/A,#N/A,FALSE,"Commerciale"}</definedName>
    <definedName name="hhhhh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hhhhhh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hhhhhhhhh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hhhhhhhhhhh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hhhhhhhhhhhhhhh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hhhhhhhhhhhhhhhhhhh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hhhhhhhhhhhhhhhhhhhh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hhhhhhhhhhhhhhhhhhhhhh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hhhhhhhhhhhhhhhhhhhhhhh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hhhhhhhhhhhhhhhhhhhhhhhhhh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hhjjjjkk" hidden="1">{"'RamoVita-mo'!$B$1:$J$85"}</definedName>
    <definedName name="hjjhuju" hidden="1">{#N/A,#N/A,FALSE,"SINTESI GESTIONALE";#N/A,#N/A,FALSE,"all.1 - LAVORO";#N/A,#N/A,FALSE,"all. 2 - SPESE AMM.TIVE";#N/A,#N/A,FALSE," SINTESI CIVILISTICO";#N/A,#N/A,FALSE,"Commerciale"}</definedName>
    <definedName name="HTML_CodePage" hidden="1">1252</definedName>
    <definedName name="HTML_Control" hidden="1">{"'RamoVita-mo'!$B$1:$J$85"}</definedName>
    <definedName name="html_control1" hidden="1">{"'RamoVita-mo'!$B$1:$J$85"}</definedName>
    <definedName name="HTML_Description" hidden="1">""</definedName>
    <definedName name="HTML_Email" hidden="1">""</definedName>
    <definedName name="HTML_Header" hidden="1">"RamoVita-mo"</definedName>
    <definedName name="HTML_LastUpdate" hidden="1">"16/05/01"</definedName>
    <definedName name="HTML_LineAfter" hidden="1">FALSE</definedName>
    <definedName name="HTML_LineBefore" hidden="1">FALSE</definedName>
    <definedName name="HTML_Name" hidden="1">"Ziani"</definedName>
    <definedName name="HTML_OBDlg2" hidden="1">TRUE</definedName>
    <definedName name="HTML_OBDlg4" hidden="1">TRUE</definedName>
    <definedName name="HTML_OS" hidden="1">0</definedName>
    <definedName name="HTML_PathFile" hidden="1">"C:\AG 98 - SPCG\RPT dati Ramo Vita - 2001-1.htm"</definedName>
    <definedName name="HTML_Title" hidden="1">"RPT dati Ramo Vita - 2001-1"</definedName>
    <definedName name="I" hidden="1">{#N/A,#N/A,FALSE,"SINTESI GESTIONALE";#N/A,#N/A,FALSE,"all.1 - LAVORO";#N/A,#N/A,FALSE,"all. 2 - SPESE AMM.TIVE";#N/A,#N/A,FALSE," SINTESI CIVILISTICO";#N/A,#N/A,FALSE,"Commerciale"}</definedName>
    <definedName name="iio" hidden="1">{#N/A,#N/A,FALSE,"SINTESI GESTIONALE";#N/A,#N/A,FALSE,"all.1 - LAVORO";#N/A,#N/A,FALSE,"all. 2 - SPESE AMM.TIVE";#N/A,#N/A,FALSE," SINTESI CIVILISTICO";#N/A,#N/A,FALSE,"Commerciale"}</definedName>
    <definedName name="interc1" hidden="1">{#N/A,#N/A,FALSE,"SINTESI GESTIONALE";#N/A,#N/A,FALSE,"all.1 - LAVORO";#N/A,#N/A,FALSE,"all. 2 - SPESE AMM.TIVE";#N/A,#N/A,FALSE," SINTESI CIVILISTICO";#N/A,#N/A,FALSE,"Commerciale"}</definedName>
    <definedName name="InterestRate_Currency">#REF!</definedName>
    <definedName name="InterestRate_Rate">#REF!</definedName>
    <definedName name="io" hidden="1">{#N/A,#N/A,FALSE,"SINTESI GESTIONALE";#N/A,#N/A,FALSE,"all.1 - LAVORO";#N/A,#N/A,FALSE,"all. 2 - SPESE AMM.TIVE";#N/A,#N/A,FALSE," SINTESI CIVILISTICO";#N/A,#N/A,FALSE,"Commerciale"}</definedName>
    <definedName name="iou" hidden="1">{#N/A,#N/A,FALSE,"SINTESI GESTIONALE";#N/A,#N/A,FALSE,"all.1 - LAVORO";#N/A,#N/A,FALSE,"all. 2 - SPESE AMM.TIVE";#N/A,#N/A,FALSE," SINTESI CIVILISTICO";#N/A,#N/A,FALSE,"Commerciale"}</definedName>
    <definedName name="ipotesisott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IR_FX">#REF!</definedName>
    <definedName name="IR_Rate">#REF!</definedName>
    <definedName name="IsUpdated">#REF!</definedName>
    <definedName name="iu" hidden="1">{#N/A,#N/A,FALSE,"SINTESI GESTIONALE";#N/A,#N/A,FALSE,"all.1 - LAVORO";#N/A,#N/A,FALSE,"all. 2 - SPESE AMM.TIVE";#N/A,#N/A,FALSE," SINTESI CIVILISTICO";#N/A,#N/A,FALSE,"Commerciale"}</definedName>
    <definedName name="jdghfff" hidden="1">{"'RamoVita-mo'!$B$1:$J$85"}</definedName>
    <definedName name="jjj" hidden="1">{"'RamoVita-mo'!$B$1:$J$85"}</definedName>
    <definedName name="jkldfjklfjkldfjklsdf" hidden="1">{"'RamoVita-mo'!$B$1:$J$85"}</definedName>
    <definedName name="jksdgjkghjkggf" hidden="1">{"'RamoVita-mo'!$B$1:$J$85"}</definedName>
    <definedName name="jòàù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k" hidden="1">{#N/A,#N/A,FALSE,"SINTESI GESTIONALE";#N/A,#N/A,FALSE,"all.1 - LAVORO";#N/A,#N/A,FALSE,"all. 2 - SPESE AMM.TIVE";#N/A,#N/A,FALSE," SINTESI CIVILISTICO";#N/A,#N/A,FALSE,"Commerciale"}</definedName>
    <definedName name="kjwerwerwerqwerwqr" hidden="1">{"'RamoVita-mo'!$B$1:$J$85"}</definedName>
    <definedName name="kk" hidden="1">{"AG_Rete",#N/A,FALSE,"Area Rete";"AG_intergruppo",#N/A,FALSE,"Area Intergruppo";"AG_filiali",#N/A,FALSE,"Area Filiali";"AG_finanza",#N/A,FALSE,"Area Finanza";"AG_struttura",#N/A,FALSE,"Area Struttura"}</definedName>
    <definedName name="kljòjkl" hidden="1">{#N/A,#N/A,FALSE,"SINTESI GESTIONALE";#N/A,#N/A,FALSE,"all.1 - LAVORO";#N/A,#N/A,FALSE,"all. 2 - SPESE AMM.TIVE";#N/A,#N/A,FALSE," SINTESI CIVILISTICO";#N/A,#N/A,FALSE,"Commerciale"}</definedName>
    <definedName name="l" hidden="1">{#N/A,#N/A,FALSE,"SINTESI GESTIONALE";#N/A,#N/A,FALSE,"all.1 - LAVORO";#N/A,#N/A,FALSE,"all. 2 - SPESE AMM.TIVE";#N/A,#N/A,FALSE," SINTESI CIVILISTICO";#N/A,#N/A,FALSE,"Commerciale"}</definedName>
    <definedName name="Language">#REF!</definedName>
    <definedName name="LanguageChoice">#REF!</definedName>
    <definedName name="limcount" hidden="1">1</definedName>
    <definedName name="ll" hidden="1">{TRUE,TRUE,-1.25,-15.5,484.5,276.75,FALSE,TRUE,TRUE,TRUE,0,38,#N/A,126,#N/A,12.4473684210526,31.7272727272727,1,FALSE,FALSE,3,TRUE,1,FALSE,50,"Swvu.FASE4_BUDGET.","ACwvu.FASE4_BUDGET.",#N/A,FALSE,FALSE,0.196850393700787,0.196850393700787,0.393700787401575,0.196850393700787,2,"","",TRUE,TRUE,FALSE,FALSE,1,75,#N/A,#N/A,"=R141C44:R168C57","=R72:R76","Rwvu.FASE4_BUDGET.","Cwvu.FASE4_BUDGET.",FALSE,FALSE,TRUE,9,65532,65532,FALSE,FALSE,TRUE,TRUE,TRUE}</definedName>
    <definedName name="LSCNDBNVJKB" hidden="1">{"'RamoVita-mo'!$B$1:$J$85"}</definedName>
    <definedName name="Mat2b">'[3]II-5. SCR_Pr&amp;Res'!$N$18:$AH$50</definedName>
    <definedName name="Matr1">'[3]II-5. SCR_Pr&amp;Res'!$N$4:$AH$15</definedName>
    <definedName name="merda" hidden="1">{"'RamoVita-mo'!$B$1:$J$85"}</definedName>
    <definedName name="merdaccia" hidden="1">{"'RamoVita-mo'!$B$1:$J$85"}</definedName>
    <definedName name="nn" hidden="1">{#N/A,#N/A,FALSE,"SINTESI GESTIONALE";#N/A,#N/A,FALSE,"all.1 - LAVORO";#N/A,#N/A,FALSE,"all. 2 - SPESE AMM.TIVE";#N/A,#N/A,FALSE," SINTESI CIVILISTICO";#N/A,#N/A,FALSE,"Commerciale"}</definedName>
    <definedName name="nnnnn" hidden="1">{"'RIEPILOGO'!$A$1:$E$83"}</definedName>
    <definedName name="nnnnnnn" hidden="1">{"'RIEPILOGO'!$A$1:$E$83"}</definedName>
    <definedName name="ò" hidden="1">{#N/A,#N/A,FALSE,"SINTESI GESTIONALE";#N/A,#N/A,FALSE,"all.1 - LAVORO";#N/A,#N/A,FALSE,"all. 2 - SPESE AMM.TIVE";#N/A,#N/A,FALSE," SINTESI CIVILISTICO";#N/A,#N/A,FALSE,"Commerciale"}</definedName>
    <definedName name="ogg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omooo" hidden="1">{#N/A,#N/A,FALSE,"SINTESI GESTIONALE";#N/A,#N/A,FALSE,"all.1 - LAVORO";#N/A,#N/A,FALSE,"all. 2 - SPESE AMM.TIVE";#N/A,#N/A,FALSE," SINTESI CIVILISTICO";#N/A,#N/A,FALSE,"Commerciale"}</definedName>
    <definedName name="ooooo" hidden="1">{"'RamoVita-mo'!$B$1:$J$85"}</definedName>
    <definedName name="ooooooooo" hidden="1">{"'RamoVita-mo'!$B$1:$J$85"}</definedName>
    <definedName name="opopo" hidden="1">{"'RamoVita-mo'!$B$1:$J$85"}</definedName>
    <definedName name="oppèèèè" hidden="1">{"'RamoVita-mo'!$B$1:$J$85"}</definedName>
    <definedName name="Pal_Workbook_GUID" hidden="1">"YX4DEBZKGSFL59TIVXFHLD8Z"</definedName>
    <definedName name="palla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PAPERINA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ParConc_SolvencyRatios">[3]Parameters!$G$65:$G$69</definedName>
    <definedName name="ParmConc_SolvencyRatios">#REF!</definedName>
    <definedName name="pinguino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pinguinotto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pippo" hidden="1">{"CECons",#N/A,FALSE,"CE"}</definedName>
    <definedName name="PIPPOOOOOOOOOOOOOO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pippoppppp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pliuuoop" hidden="1">{"'RamoVita-mo'!$B$1:$J$85"}</definedName>
    <definedName name="plomb" hidden="1">{"'RamoVita-mo'!$B$1:$J$85"}</definedName>
    <definedName name="pluto" hidden="1">{#N/A,#N/A,FALSE,"SINTESI GESTIONALE";#N/A,#N/A,FALSE,"all.1 - LAVORO";#N/A,#N/A,FALSE,"all. 2 - SPESE AMM.TIVE";#N/A,#N/A,FALSE," SINTESI CIVILISTICO";#N/A,#N/A,FALSE,"Commerciale"}</definedName>
    <definedName name="pp" hidden="1">{"'RIEPILOGO'!$A$1:$E$83"}</definedName>
    <definedName name="ppioloiliolloi" hidden="1">{"'RamoVita-mo'!$B$1:$J$85"}</definedName>
    <definedName name="ppp" hidden="1">{"'RIEPILOGO'!$A$1:$E$83"}</definedName>
    <definedName name="pppopopopp" hidden="1">{"'RamoVita-mo'!$B$1:$J$85"}</definedName>
    <definedName name="pppp" hidden="1">{#N/A,#N/A,FALSE,"SINTESI GESTIONALE";#N/A,#N/A,FALSE,"all.1 - LAVORO";#N/A,#N/A,FALSE,"all. 2 - SPESE AMM.TIVE";#N/A,#N/A,FALSE," SINTESI CIVILISTICO";#N/A,#N/A,FALSE,"Commerciale"}</definedName>
    <definedName name="pppplpplplp" hidden="1">{"'RamoVita-mo'!$B$1:$J$85"}</definedName>
    <definedName name="ppppp" hidden="1">{"'RamoVita-mo'!$B$1:$J$85"}</definedName>
    <definedName name="pppppppppppppppppppppppppppp" hidden="1">{"'RamoVita-mo'!$B$1:$J$85"}</definedName>
    <definedName name="PV_1_5">'[1]Stat by Mat'!$G$3</definedName>
    <definedName name="PV_11_20">'[1]Stat by Mat'!$G$5</definedName>
    <definedName name="PV_21_30">'[1]Stat by Mat'!$G$6</definedName>
    <definedName name="PV_31_50">'[1]Stat by Mat'!$G$7</definedName>
    <definedName name="PV_6_10">'[1]Stat by Mat'!$G$4</definedName>
    <definedName name="PV_DOWN_1_5">'[1]Stat by Mat'!$M$3</definedName>
    <definedName name="PV_DOWN_11_20">'[1]Stat by Mat'!$M$5</definedName>
    <definedName name="PV_DOWN_21_30">'[1]Stat by Mat'!$M$6</definedName>
    <definedName name="PV_DOWN_31_50">'[1]Stat by Mat'!$M$7</definedName>
    <definedName name="PV_DOWN_6_10">'[1]Stat by Mat'!$M$4</definedName>
    <definedName name="PV_UP_1_5">'[1]Stat by Mat'!$J$3</definedName>
    <definedName name="PV_UP_11_20">'[1]Stat by Mat'!$J$5</definedName>
    <definedName name="PV_UP_21_30">'[1]Stat by Mat'!$J$6</definedName>
    <definedName name="PV_UP_31_50">'[1]Stat by Mat'!$J$7</definedName>
    <definedName name="PV_UP_6_10">'[1]Stat by Mat'!$J$4</definedName>
    <definedName name="qefgyyu" hidden="1">{"AG_Rete",#N/A,FALSE,"Area Rete";"AG_intergruppo",#N/A,FALSE,"Area Intergruppo";"AG_filiali",#N/A,FALSE,"Area Filiali";"AG_finanza",#N/A,FALSE,"Area Finanza";"AG_struttura",#N/A,FALSE,"Area Struttura"}</definedName>
    <definedName name="qefw" hidden="1">{"'RamoVita-mo'!$B$1:$J$85"}</definedName>
    <definedName name="QQQ" hidden="1">{#N/A,#N/A,FALSE,"SINTESI GESTIONALE";#N/A,#N/A,FALSE,"all.1 - LAVORO";#N/A,#N/A,FALSE,"all. 2 - SPESE AMM.TIVE";#N/A,#N/A,FALSE," SINTESI CIVILISTICO";#N/A,#N/A,FALSE,"Commerciale"}</definedName>
    <definedName name="qqqq" hidden="1">{"'RamoVita-mo'!$B$1:$J$85"}</definedName>
    <definedName name="qqqqqqq" hidden="1">{#N/A,#N/A,FALSE,"PL TOTAL";#N/A,#N/A,FALSE,"PL index";#N/A,#N/A,FALSE,"rca 96";#N/A,#N/A,FALSE,"ARD 96";#N/A,#N/A,FALSE,"RE 96 (2)";#N/A,#N/A,FALSE,"np year end";#N/A,#N/A,FALSE,"can year end ";#N/A,#N/A,FALSE,"ptf year end  ";#N/A,#N/A,FALSE,"premi medi";#N/A,#N/A,FALSE,"re can np";#N/A,#N/A,FALSE,"re ptf";#N/A,#N/A,FALSE,"Freq rc"}</definedName>
    <definedName name="qwqqq" hidden="1">{"'RamoVita-mo'!$B$1:$J$85"}</definedName>
    <definedName name="Rami_del" hidden="1">{"ptf1",#N/A,TRUE,"05_PTF"}</definedName>
    <definedName name="reregggg" hidden="1">{"'RamoVita-mo'!$B$1:$J$85"}</definedName>
    <definedName name="risk_old" hidden="1">{#N/A,#N/A,FALSE,"SINTESI GESTIONALE";#N/A,#N/A,FALSE,"all.1 - LAVORO";#N/A,#N/A,FALSE,"all. 2 - SPESE AMM.TIVE";#N/A,#N/A,FALSE," SINTESI CIVILISTICO";#N/A,#N/A,FALSE,"Commerciale"}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electedCell" hidden="1">"$P$12"</definedName>
    <definedName name="RiskSelectedNameCell1" hidden="1">"$B$12"</definedName>
    <definedName name="RiskSelectedNameCell2" hidden="1">"$P$7"</definedName>
    <definedName name="RiskStandardRecalc" hidden="1">2</definedName>
    <definedName name="RiskSwapState" hidden="1">FALSE</definedName>
    <definedName name="RiskUpdateDisplay" hidden="1">FALSE</definedName>
    <definedName name="RiskUseDifferentSeedForEachSim" hidden="1">TRUE</definedName>
    <definedName name="RiskUseFixedSeed" hidden="1">FALSE</definedName>
    <definedName name="RiskUseMultipleCPUs" hidden="1">TRUE</definedName>
    <definedName name="rorporpeo" hidden="1">{#N/A,#N/A,FALSE,"SINTESI GESTIONALE";#N/A,#N/A,FALSE,"all.1 - LAVORO";#N/A,#N/A,FALSE,"all. 2 - SPESE AMM.TIVE";#N/A,#N/A,FALSE," SINTESI CIVILISTICO";#N/A,#N/A,FALSE,"Commerciale"}</definedName>
    <definedName name="rr" hidden="1">{#N/A,#N/A,FALSE,"SINTESI GESTIONALE";#N/A,#N/A,FALSE,"all.1 - LAVORO";#N/A,#N/A,FALSE,"all. 2 - SPESE AMM.TIVE";#N/A,#N/A,FALSE," SINTESI CIVILISTICO";#N/A,#N/A,FALSE,"Commerciale"}</definedName>
    <definedName name="rrrr" hidden="1">{"'RamoVita-mo'!$B$1:$J$85"}</definedName>
    <definedName name="sa" hidden="1">{"'RamoVita-mo'!$B$1:$J$85"}</definedName>
    <definedName name="SAPBEXdnldView" hidden="1">"44JP7N2A9NGQYYSBAUNJQRTJZ"</definedName>
    <definedName name="SAPBEXhrIndnt" hidden="1">3</definedName>
    <definedName name="sapbexmarti" hidden="1">"3YATUFNUXBGAG0J4B9EW5OKR0"</definedName>
    <definedName name="SAPBEXrevision" hidden="1">10</definedName>
    <definedName name="SAPBEXsysID" hidden="1">"PBW"</definedName>
    <definedName name="SAPBEXwbID" hidden="1">"3QDDMPR20I4CMDQTGIAR2VQ51"</definedName>
    <definedName name="sasasa" hidden="1">{"'RamoVita-mo'!$B$1:$J$85"}</definedName>
    <definedName name="sasffdsfdfdvfdf" hidden="1">{"'RamoVita-mo'!$B$1:$J$85"}</definedName>
    <definedName name="sd" hidden="1">{"'RamoVita-mo'!$B$1:$J$85"}</definedName>
    <definedName name="sdgsd" hidden="1">{"'RamoVita-mo'!$B$1:$J$85"}</definedName>
    <definedName name="sdsdasdasdasdasdasd" hidden="1">{"'RamoVita-mo'!$B$1:$J$85"}</definedName>
    <definedName name="sdsdfsdf" hidden="1">{"'RamoVita-mo'!$B$1:$J$85"}</definedName>
    <definedName name="sencount" hidden="1">2</definedName>
    <definedName name="sfaf" hidden="1">{"'RamoVita-mo'!$B$1:$J$85"}</definedName>
    <definedName name="sfgshfj" hidden="1">{#N/A,#N/A,FALSE,"SINTESI GESTIONALE";#N/A,#N/A,FALSE,"all.1 - LAVORO";#N/A,#N/A,FALSE,"all. 2 - SPESE AMM.TIVE";#N/A,#N/A,FALSE," SINTESI CIVILISTICO";#N/A,#N/A,FALSE,"Commerciale"}</definedName>
    <definedName name="ShockDOWN">#REF!</definedName>
    <definedName name="ShockUP">#REF!</definedName>
    <definedName name="SIG_CONTROLE" hidden="1">#REF!</definedName>
    <definedName name="SIG_DERNIERECOLONNE" hidden="1">#REF!</definedName>
    <definedName name="SIG_ILCR03_firstLine" hidden="1">#REF!</definedName>
    <definedName name="SIG_ILCR03_IsControlOK" hidden="1">#REF!</definedName>
    <definedName name="SIG_ILCR03_lastLine" hidden="1">#REF!</definedName>
    <definedName name="SIG_ILCR03_ListeRangeMontant" hidden="1">#REF!</definedName>
    <definedName name="SIG_ILCR03_TITLECOL" hidden="1">#REF!</definedName>
    <definedName name="SIG_ILCR03_TITLELINE" hidden="1">#REF!</definedName>
    <definedName name="SIG_ILPL01_firstLine" hidden="1">#REF!</definedName>
    <definedName name="SIG_ILPL01_IsControlOK" hidden="1">#REF!</definedName>
    <definedName name="SIG_ILPL01_lastLine" hidden="1">#REF!</definedName>
    <definedName name="SIG_ILPL01_ListeRangeMontant" hidden="1">#REF!</definedName>
    <definedName name="SIG_ILPL01_TITLECOL" hidden="1">#REF!</definedName>
    <definedName name="SIG_ILPL01_TITLELINE" hidden="1">#REF!</definedName>
    <definedName name="SIG_NullVisible" hidden="1">#REF!</definedName>
    <definedName name="SIG_OHRE01_firstLine" hidden="1">#REF!</definedName>
    <definedName name="SIG_OHRE01_IsControlOK" hidden="1">#REF!</definedName>
    <definedName name="SIG_OHRE01_lastLine" hidden="1">#REF!</definedName>
    <definedName name="SIG_OHRE01_TITLELINE" hidden="1">#REF!</definedName>
    <definedName name="SIG_OILBS07_firstLine" hidden="1">#REF!</definedName>
    <definedName name="SIG_OILBS07_IsControlOK" hidden="1">#REF!</definedName>
    <definedName name="SIG_OILBS07_lastLine" hidden="1">#REF!</definedName>
    <definedName name="SIG_OILBS07_TITLELINE" hidden="1">#REF!</definedName>
    <definedName name="SIG_OILFX01_firstLine" hidden="1">#REF!</definedName>
    <definedName name="SIG_OILFX01_IsControlOK" hidden="1">#REF!</definedName>
    <definedName name="SIG_OILFX01_lastLine" hidden="1">#REF!</definedName>
    <definedName name="SIG_OILFX01_TITLECOL" hidden="1">#REF!</definedName>
    <definedName name="SIG_OILFX01_TITLELINE" hidden="1">#REF!</definedName>
    <definedName name="SIG_OILFX02_firstLine" hidden="1">#REF!</definedName>
    <definedName name="SIG_OILFX02_IsControlOK" hidden="1">#REF!</definedName>
    <definedName name="SIG_OILFX02_lastLine" hidden="1">#REF!</definedName>
    <definedName name="SIG_OILFX02_TITLECOL" hidden="1">#REF!</definedName>
    <definedName name="SIG_OILFX02_TITLELINE" hidden="1">#REF!</definedName>
    <definedName name="SIG_OILIN01_firstLine" hidden="1">#REF!</definedName>
    <definedName name="SIG_OILIN01_IsControlOK" hidden="1">#REF!</definedName>
    <definedName name="SIG_OILIN01_lastLine" hidden="1">#REF!</definedName>
    <definedName name="SIG_OILIN01_TITLECOL" hidden="1">#REF!</definedName>
    <definedName name="SIG_OILIN01_TITLELINE" hidden="1">#REF!</definedName>
    <definedName name="SIG_OILIN02_firstLine" hidden="1">#REF!</definedName>
    <definedName name="SIG_OILIN02_IsControlOK" hidden="1">#REF!</definedName>
    <definedName name="SIG_OILIN02_lastLine" hidden="1">#REF!</definedName>
    <definedName name="SIG_OILIN02_TITLECOL" hidden="1">#REF!</definedName>
    <definedName name="SIG_OILIN02_TITLELINE" hidden="1">#REF!</definedName>
    <definedName name="SIG_OILIN03_firstLine" hidden="1">#REF!</definedName>
    <definedName name="SIG_OILIN03_IsControlOK" hidden="1">#REF!</definedName>
    <definedName name="SIG_OILIN03_lastLine" hidden="1">#REF!</definedName>
    <definedName name="SIG_OILIN03_TITLECOL" hidden="1">#REF!</definedName>
    <definedName name="SIG_OILIN03_TITLELINE" hidden="1">#REF!</definedName>
    <definedName name="SIG_OILIN04_firstLine" hidden="1">#REF!</definedName>
    <definedName name="SIG_OILIN04_IsControlOK" hidden="1">#REF!</definedName>
    <definedName name="SIG_OILIN04_lastLine" hidden="1">#REF!</definedName>
    <definedName name="SIG_OILIN04_TITLECOL" hidden="1">#REF!</definedName>
    <definedName name="SIG_OILIN04_TITLELINE" hidden="1">#REF!</definedName>
    <definedName name="SIG_OILPL02_firstLine" hidden="1">#REF!</definedName>
    <definedName name="SIG_OILPL02_IsControlOK" hidden="1">#REF!</definedName>
    <definedName name="SIG_OILPL02_lastLine" hidden="1">#REF!</definedName>
    <definedName name="SIG_OILPL02_TITLECOL" hidden="1">#REF!</definedName>
    <definedName name="SIG_OILPL02_TITLELINE" hidden="1">#REF!</definedName>
    <definedName name="SIG_OILSU11_firstLine" hidden="1">#REF!</definedName>
    <definedName name="SIG_OILSU11_IsControlOK" hidden="1">#REF!</definedName>
    <definedName name="SIG_OILSU11_lastLine" hidden="1">#REF!</definedName>
    <definedName name="SIG_OILSU11_TITLECOL" hidden="1">#REF!</definedName>
    <definedName name="SIG_OILSU11_TITLELINE" hidden="1">#REF!</definedName>
    <definedName name="SIG_OILTC01_firstLine" hidden="1">#REF!</definedName>
    <definedName name="SIG_OILTC01_IsControlOK" hidden="1">#REF!</definedName>
    <definedName name="SIG_OILTC01_lastLine" hidden="1">#REF!</definedName>
    <definedName name="SIG_OILTC01_TITLECOL" hidden="1">#REF!</definedName>
    <definedName name="SIG_OILTC01_TITLELINE" hidden="1">#REF!</definedName>
    <definedName name="SIG_OILTC02_firstLine" hidden="1">#REF!</definedName>
    <definedName name="SIG_OILTC02_IsControlOK" hidden="1">#REF!</definedName>
    <definedName name="SIG_OILTC02_lastLine" hidden="1">#REF!</definedName>
    <definedName name="SIG_OILTC02_TITLECOL" hidden="1">#REF!</definedName>
    <definedName name="SIG_OILTC02_TITLELINE" hidden="1">#REF!</definedName>
    <definedName name="SIG_OILTC21_firstLine" hidden="1">#REF!</definedName>
    <definedName name="SIG_OILTC21_IsControlOK" hidden="1">#REF!</definedName>
    <definedName name="SIG_OILTC21_lastLine" hidden="1">#REF!</definedName>
    <definedName name="SIG_OILTC21_TITLECOL" hidden="1">#REF!</definedName>
    <definedName name="SIG_OILTC21_TITLELINE" hidden="1">#REF!</definedName>
    <definedName name="SIG_OILTC22_firstLine" hidden="1">#REF!</definedName>
    <definedName name="SIG_OILTC22_IsControlOK" hidden="1">#REF!</definedName>
    <definedName name="SIG_OILTC22_lastLine" hidden="1">#REF!</definedName>
    <definedName name="SIG_OILTC22_TITLECOL" hidden="1">#REF!</definedName>
    <definedName name="SIG_OILTC22_TITLELINE" hidden="1">#REF!</definedName>
    <definedName name="SIG_PTBD_ILCR03" hidden="1">#REF!</definedName>
    <definedName name="SIG_PTBD_ILPL01" hidden="1">#REF!</definedName>
    <definedName name="SIG_PTBD_OHRE01" hidden="1">#REF!</definedName>
    <definedName name="SIG_PTBD_OILBS07" hidden="1">#REF!</definedName>
    <definedName name="SIG_PTBD_OILFX01" hidden="1">#REF!</definedName>
    <definedName name="SIG_PTBD_OILFX02" hidden="1">#REF!</definedName>
    <definedName name="SIG_PTBD_OILIN01" hidden="1">#REF!</definedName>
    <definedName name="SIG_PTBD_OILIN02" hidden="1">#REF!</definedName>
    <definedName name="SIG_PTBD_OILIN03" hidden="1">#REF!</definedName>
    <definedName name="SIG_PTBD_OILIN04" hidden="1">#REF!</definedName>
    <definedName name="SIG_PTBD_OILPL01" hidden="1">#REF!</definedName>
    <definedName name="SIG_PTBD_OILPL02" hidden="1">#REF!</definedName>
    <definedName name="SIG_PTBD_OILSU11" hidden="1">#REF!</definedName>
    <definedName name="SIG_PTBD_OILSU22" hidden="1">#REF!</definedName>
    <definedName name="SIG_PTBD_OILTC01" hidden="1">#REF!</definedName>
    <definedName name="SIG_PTBD_OILTC02" hidden="1">#REF!</definedName>
    <definedName name="SIG_PTBD_OILTC21" hidden="1">#REF!</definedName>
    <definedName name="SIG_PTBD_OILTC22" hidden="1">#REF!</definedName>
    <definedName name="SIG_PTBD_XOLBS01" hidden="1">#REF!</definedName>
    <definedName name="SIG_PTBD_XOLPL01" hidden="1">#REF!</definedName>
    <definedName name="SIG_PTBD_XOLPL02" hidden="1">#REF!</definedName>
    <definedName name="SIG_PTBD_XSTRAT4" hidden="1">#REF!</definedName>
    <definedName name="SIG_PTHG_ILCR03" hidden="1">#REF!</definedName>
    <definedName name="SIG_PTHG_ILPL01" hidden="1">#REF!</definedName>
    <definedName name="SIG_PTHG_OHRE01" hidden="1">#REF!</definedName>
    <definedName name="SIG_PTHG_OILBS07" hidden="1">#REF!</definedName>
    <definedName name="SIG_PTHG_OILFX01" hidden="1">#REF!</definedName>
    <definedName name="SIG_PTHG_OILFX02" hidden="1">#REF!</definedName>
    <definedName name="SIG_PTHG_OILIN01" hidden="1">#REF!</definedName>
    <definedName name="SIG_PTHG_OILIN02" hidden="1">#REF!</definedName>
    <definedName name="SIG_PTHG_OILIN03" hidden="1">#REF!</definedName>
    <definedName name="SIG_PTHG_OILIN04" hidden="1">#REF!</definedName>
    <definedName name="SIG_PTHG_OILPL01" hidden="1">#REF!</definedName>
    <definedName name="SIG_PTHG_OILPL02" hidden="1">#REF!</definedName>
    <definedName name="SIG_PTHG_OILSU11" hidden="1">#REF!</definedName>
    <definedName name="SIG_PTHG_OILTC01" hidden="1">#REF!</definedName>
    <definedName name="SIG_PTHG_OILTC02" hidden="1">#REF!</definedName>
    <definedName name="SIG_PTHG_OILTC21" hidden="1">#REF!</definedName>
    <definedName name="SIG_PTHG_OILTC22" hidden="1">#REF!</definedName>
    <definedName name="SIG_PTHG_XOLBS01" hidden="1">#REF!</definedName>
    <definedName name="SIG_PTHG_XOLPL01" hidden="1">#REF!</definedName>
    <definedName name="SIG_PTHG_XOLPL02" hidden="1">#REF!</definedName>
    <definedName name="SIG_PTHG_XSTRAT4" hidden="1">#REF!</definedName>
    <definedName name="SIG_XOLBS01_firstLine" hidden="1">#REF!</definedName>
    <definedName name="SIG_XOLBS01_IsControlOK" hidden="1">#REF!</definedName>
    <definedName name="SIG_XOLBS01_lastLine" hidden="1">#REF!</definedName>
    <definedName name="SIG_XOLBS01_TITLECOL" hidden="1">#REF!</definedName>
    <definedName name="SIG_XOLBS01_TITLELINE" hidden="1">#REF!</definedName>
    <definedName name="SIG_XOLPL01_firstLine" hidden="1">#REF!</definedName>
    <definedName name="SIG_XOLPL01_IsControlOK" hidden="1">#REF!</definedName>
    <definedName name="SIG_XOLPL01_lastLine" hidden="1">#REF!</definedName>
    <definedName name="SIG_XOLPL01_TITLECOL" hidden="1">#REF!</definedName>
    <definedName name="SIG_XOLPL01_TITLELINE" hidden="1">#REF!</definedName>
    <definedName name="SIG_XOLPL02_firstLine" hidden="1">#REF!</definedName>
    <definedName name="SIG_XOLPL02_IsControlOK" hidden="1">#REF!</definedName>
    <definedName name="SIG_XOLPL02_lastLine" hidden="1">#REF!</definedName>
    <definedName name="SIG_XOLPL02_TITLECOL" hidden="1">#REF!</definedName>
    <definedName name="SIG_XOLPL02_TITLELINE" hidden="1">#REF!</definedName>
    <definedName name="SIG_XSTRAT4_firstLine" hidden="1">#REF!</definedName>
    <definedName name="SIG_XSTRAT4_IsControlOK" hidden="1">#REF!</definedName>
    <definedName name="SIG_XSTRAT4_lastLine" hidden="1">#REF!</definedName>
    <definedName name="SIG_XSTRAT4_TITLECOL" hidden="1">#REF!</definedName>
    <definedName name="SIG_XSTRAT4_TITLELINE" hidden="1">#REF!</definedName>
    <definedName name="SJFURMNNF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SKNF" hidden="1">{TRUE,TRUE,-2,-16.25,484.5,288,FALSE,TRUE,TRUE,TRUE,0,25,#N/A,94,#N/A,19.6470588235294,29.8181818181818,1,FALSE,FALSE,3,TRUE,1,FALSE,50,"Swvu.FASE2_PREC.","ACwvu.FASE2_PREC.",1,FALSE,FALSE,0.196850393700787,0.196850393700787,0.393700787401575,0.196850393700787,2,"","",TRUE,TRUE,FALSE,FALSE,1,#N/A,1,1,"=R99C31:R116C59","=R74:R77",#N/A,#N/A,FALSE,FALSE}</definedName>
    <definedName name="solver_adj" hidden="1">#REF!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1</definedName>
    <definedName name="solver_nwt" hidden="1">1</definedName>
    <definedName name="solver_opt" hidden="1">#REF!</definedName>
    <definedName name="solver_pre" hidden="1">0.000001</definedName>
    <definedName name="solver_rel1" hidden="1">1</definedName>
    <definedName name="solver_rhs1" hidden="1">70000</definedName>
    <definedName name="solver_scl" hidden="1">2</definedName>
    <definedName name="solver_sho" hidden="1">2</definedName>
    <definedName name="solver_tim" hidden="1">100</definedName>
    <definedName name="solver_tmp" hidden="1">70000</definedName>
    <definedName name="solver_tol" hidden="1">0.05</definedName>
    <definedName name="solver_typ" hidden="1">1</definedName>
    <definedName name="solver_val" hidden="1">35000</definedName>
    <definedName name="SpreadCodes">[3]Parameters!$B$12:$B$53</definedName>
    <definedName name="SpreadIntercept">[3]Parameters!$E$12:$L$53</definedName>
    <definedName name="SpreadSlope">[3]Parameters!$M$12:$T$53</definedName>
    <definedName name="SpreadTable">#REF!</definedName>
    <definedName name="ss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SSSS" hidden="1">{"Cop_testo",#N/A,FALSE,"Copertine";"testo_pag1_4",#N/A,FALSE,"Testo";"pag5",#N/A,FALSE,"P.F.";"pag6.7",#N/A,FALSE,"Ipotesi generali";"testo_pag8_9",#N/A,FALSE,"Testo";"pag10",#N/A,FALSE,"Flussi e stock";"testo_pag_11",#N/A,FALSE,"Testo";"pag12.14",#N/A,FALSE,"Fondi";"testo_pag_15",#N/A,FALSE,"Testo";"pag16_17",#N/A,FALSE,"Fondi";"pag18",#N/A,FALSE,"Fondi";"testo_pag_19",#N/A,FALSE,"Testo";"pag20",#N/A,FALSE,"Commissioni rete";"testo_pag_21",#N/A,FALSE,"Testo";"pag22",#N/A,FALSE,"NVV";"testo_pag_23",#N/A,FALSE,"Testo";"pag24",#N/A,FALSE,"Costi operativi";"testo_pag_25",#N/A,FALSE,"Testo";"pag26",#N/A,FALSE,"C.E_BF";"pag27",#N/A,FALSE,"C.E_BF";"testo_pag_28_29",#N/A,FALSE,"Testo";"pag30_36",#N/A,FALSE,"C.E_Soc_prod";"testo_pag37_42",#N/A,FALSE,"Testo"}</definedName>
    <definedName name="ssssaahjyy" hidden="1">{"'RIEPILOGO'!$A$1:$E$83"}</definedName>
    <definedName name="sssss" hidden="1">{TRUE,TRUE,-2,-16.25,484.5,288,FALSE,TRUE,TRUE,TRUE,0,25,#N/A,94,#N/A,19.6470588235294,29.8181818181818,1,FALSE,FALSE,3,TRUE,1,FALSE,50,"Swvu.FASE2_PREC.","ACwvu.FASE2_PREC.",1,FALSE,FALSE,0.196850393700787,0.196850393700787,0.393700787401575,0.196850393700787,2,"","",TRUE,TRUE,FALSE,FALSE,1,#N/A,1,1,"=R99C31:R116C59","=R74:R77",#N/A,#N/A,FALSE,FALSE}</definedName>
    <definedName name="ssssss" hidden="1">{"'RamoVita-mo'!$B$1:$J$85"}</definedName>
    <definedName name="Stef" hidden="1">#REF!</definedName>
    <definedName name="t" hidden="1">{#N/A,#N/A,FALSE,"SINTESI GESTIONALE";#N/A,#N/A,FALSE,"all.1 - LAVORO";#N/A,#N/A,FALSE,"all. 2 - SPESE AMM.TIVE";#N/A,#N/A,FALSE," SINTESI CIVILISTICO";#N/A,#N/A,FALSE,"Commerciale"}</definedName>
    <definedName name="tava" hidden="1">{#N/A,#N/A,FALSE,"SINTESI GESTIONALE";#N/A,#N/A,FALSE,"all.1 - LAVORO";#N/A,#N/A,FALSE,"all. 2 - SPESE AMM.TIVE";#N/A,#N/A,FALSE," SINTESI CIVILISTICO";#N/A,#N/A,FALSE,"Commerciale"}</definedName>
    <definedName name="TekstcontroleSchermExcel" hidden="1">{"BRIEF",#N/A,FALSE,"BRIEF";"OFFBAL",#N/A,FALSE,"OFFBAL"}</definedName>
    <definedName name="tenero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tg" hidden="1">{"'RamoVita-mo'!$B$1:$J$85"}</definedName>
    <definedName name="tirotioniobtr" hidden="1">{"'RamoVita-mo'!$B$1:$J$85"}</definedName>
    <definedName name="troiu" hidden="1">{"'RamoVita-mo'!$B$1:$J$85"}</definedName>
    <definedName name="trrionuvnui" hidden="1">{"'RamoVita-mo'!$B$1:$J$85"}</definedName>
    <definedName name="trtrtrtr" hidden="1">{"'RamoVita-mo'!$B$1:$J$85"}</definedName>
    <definedName name="trwetghgfhgh" hidden="1">{"'RamoVita-mo'!$B$1:$J$85"}</definedName>
    <definedName name="tt" hidden="1">{#N/A,#N/A,FALSE,"SINTESI GESTIONALE";#N/A,#N/A,FALSE,"all.1 - LAVORO";#N/A,#N/A,FALSE,"all. 2 - SPESE AMM.TIVE";#N/A,#N/A,FALSE," SINTESI CIVILISTICO";#N/A,#N/A,FALSE,"Commerciale"}</definedName>
    <definedName name="ttreretrtr" hidden="1">{"'RamoVita-mo'!$B$1:$J$85"}</definedName>
    <definedName name="ttttttttttttt" hidden="1">{#N/A,#N/A,FALSE,"SINTESI GESTIONALE";#N/A,#N/A,FALSE,"all.1 - LAVORO";#N/A,#N/A,FALSE,"all. 2 - SPESE AMM.TIVE";#N/A,#N/A,FALSE," SINTESI CIVILISTICO";#N/A,#N/A,FALSE,"Commerciale"}</definedName>
    <definedName name="turto" hidden="1">{"'RamoVita-mo'!$B$1:$J$85"}</definedName>
    <definedName name="tuttuiuerioe" hidden="1">{"'RamoVita-mo'!$B$1:$J$85"}</definedName>
    <definedName name="tyui" hidden="1">{"'RamoVita-mo'!$B$1:$J$85"}</definedName>
    <definedName name="u" hidden="1">{#N/A,#N/A,FALSE,"SINTESI GESTIONALE";#N/A,#N/A,FALSE,"all.1 - LAVORO";#N/A,#N/A,FALSE,"all. 2 - SPESE AMM.TIVE";#N/A,#N/A,FALSE," SINTESI CIVILISTICO";#N/A,#N/A,FALSE,"Commerciale"}</definedName>
    <definedName name="ubel_premi_lorda">#REF!</definedName>
    <definedName name="ubel_premi_netta">#REF!</definedName>
    <definedName name="ui" hidden="1">{#N/A,#N/A,FALSE,"SINTESI GESTIONALE";#N/A,#N/A,FALSE,"all.1 - LAVORO";#N/A,#N/A,FALSE,"all. 2 - SPESE AMM.TIVE";#N/A,#N/A,FALSE," SINTESI CIVILISTICO";#N/A,#N/A,FALSE,"Commerciale"}</definedName>
    <definedName name="uiui" hidden="1">{#N/A,#N/A,FALSE,"SINTESI GESTIONALE";#N/A,#N/A,FALSE,"all.1 - LAVORO";#N/A,#N/A,FALSE,"all. 2 - SPESE AMM.TIVE";#N/A,#N/A,FALSE," SINTESI CIVILISTICO";#N/A,#N/A,FALSE,"Commerciale"}</definedName>
    <definedName name="uiwerwefbnk" hidden="1">{"'RamoVita-mo'!$B$1:$J$85"}</definedName>
    <definedName name="ukil" hidden="1">{"'RamoVita-mo'!$B$1:$J$85"}</definedName>
    <definedName name="um" hidden="1">{"'RamoVita-mo'!$B$1:$J$85"}</definedName>
    <definedName name="UpwardShock">#REF!</definedName>
    <definedName name="UseEiopaParameterBugs">#REF!</definedName>
    <definedName name="uuuuupplo.olololo" hidden="1">{"'RamoVita-mo'!$B$1:$J$85"}</definedName>
    <definedName name="vavvavvvjlsjflkjsalkfjòasl" hidden="1">{#N/A,#N/A,FALSE,"SINTESI GESTIONALE";#N/A,#N/A,FALSE,"all.1 - LAVORO";#N/A,#N/A,FALSE,"all. 2 - SPESE AMM.TIVE";#N/A,#N/A,FALSE," SINTESI CIVILISTICO";#N/A,#N/A,FALSE,"Commerciale"}</definedName>
    <definedName name="VERZO" hidden="1">{#N/A,#N/A,FALSE,"SINTESI GESTIONALE";#N/A,#N/A,FALSE,"all.1 - LAVORO";#N/A,#N/A,FALSE,"all. 2 - SPESE AMM.TIVE";#N/A,#N/A,FALSE," SINTESI CIVILISTICO";#N/A,#N/A,FALSE,"Commerciale"}</definedName>
    <definedName name="vv" hidden="1">{#N/A,#N/A,FALSE,"PL TOTAL";#N/A,#N/A,FALSE,"PL index";#N/A,#N/A,FALSE,"rca 96";#N/A,#N/A,FALSE,"ARD 96";#N/A,#N/A,FALSE,"RE 96 (2)";#N/A,#N/A,FALSE,"np year end";#N/A,#N/A,FALSE,"can year end ";#N/A,#N/A,FALSE,"ptf year end  ";#N/A,#N/A,FALSE,"premi medi";#N/A,#N/A,FALSE,"re can np";#N/A,#N/A,FALSE,"re ptf";#N/A,#N/A,FALSE,"Freq rc"}</definedName>
    <definedName name="we" hidden="1">{#N/A,#N/A,FALSE,"SINTESI GESTIONALE";#N/A,#N/A,FALSE,"all.1 - LAVORO";#N/A,#N/A,FALSE,"all. 2 - SPESE AMM.TIVE";#N/A,#N/A,FALSE," SINTESI CIVILISTICO";#N/A,#N/A,FALSE,"Commerciale"}</definedName>
    <definedName name="weewew" hidden="1">{"'RamoVita-mo'!$B$1:$J$85"}</definedName>
    <definedName name="wewertrrwb" hidden="1">{"'RamoVita-mo'!$B$1:$J$85"}</definedName>
    <definedName name="wgw" hidden="1">{#N/A,#N/A,FALSE,"SINTESI GESTIONALE";#N/A,#N/A,FALSE,"all.1 - LAVORO";#N/A,#N/A,FALSE,"all. 2 - SPESE AMM.TIVE";#N/A,#N/A,FALSE," SINTESI CIVILISTICO";#N/A,#N/A,FALSE,"Commerciale"}</definedName>
    <definedName name="wm" hidden="1">{#N/A,#N/A,FALSE,"SINTESI GESTIONALE";#N/A,#N/A,FALSE,"all.1 - LAVORO";#N/A,#N/A,FALSE,"all. 2 - SPESE AMM.TIVE";#N/A,#N/A,FALSE," SINTESI CIVILISTICO";#N/A,#N/A,FALSE,"Commerciale"}</definedName>
    <definedName name="wpewpwpwep" hidden="1">{#N/A,#N/A,FALSE,"SINTESI GESTIONALE";#N/A,#N/A,FALSE,"all.1 - LAVORO";#N/A,#N/A,FALSE,"all. 2 - SPESE AMM.TIVE";#N/A,#N/A,FALSE," SINTESI CIVILISTICO";#N/A,#N/A,FALSE,"Commerciale"}</definedName>
    <definedName name="wrn.AG_riepilogo." hidden="1">{"AG_Rete",#N/A,FALSE,"Area Rete";"AG_intergruppo",#N/A,FALSE,"Area Intergruppo";"AG_filiali",#N/A,FALSE,"Area Filiali";"AG_finanza",#N/A,FALSE,"Area Finanza";"AG_struttura",#N/A,FALSE,"Area Struttura"}</definedName>
    <definedName name="wrn.Alles." hidden="1">{"ST 210",#N/A,TRUE,"WTV Staten";"ST 220",#N/A,TRUE,"WTV Staten";"ST 222 Links",#N/A,TRUE,"WTV Staten";"ST 222 Rechts",#N/A,TRUE,"WTV Staten";"ST vervolg 222 Links",#N/A,TRUE,"WTV Staten";"ST vervolg 222 Rechts",#N/A,TRUE,"WTV Staten";"ST 400 tekst",#N/A,TRUE,"WTV Staten";"ST vervolg 400 Links",#N/A,TRUE,"WTV Staten";"ST vervolg 400 Rechts",#N/A,TRUE,"WTV Staten";"ST vervolg 400 deel 2 Links",#N/A,TRUE,"WTV Staten";"ST vervolg 400 deel 2 Rechts",#N/A,TRUE,"WTV Staten";"ST 500 Links",#N/A,TRUE,"WTV Staten";"ST 500 Rechts",#N/A,TRUE,"WTV Staten";"ST vervolg 500 Links",#N/A,TRUE,"WTV Staten";"ST vervolg 500 Rechts",#N/A,TRUE,"WTV Staten";"ST 300",#N/A,TRUE,"WTV Staten";"ST 420 geld Links",#N/A,TRUE,"WTV Staten";"ST 420 geld Rechts",#N/A,TRUE,"WTV Staten";"ST 420 beleggingsverz. Links",#N/A,TRUE,"WTV Staten";"ST 420 beleggingsverz. Rechts",#N/A,TRUE,"WTV Staten"}</definedName>
    <definedName name="wrn.Balance._.Sheet." hidden="1">{"bs",#N/A,FALSE,"A"}</definedName>
    <definedName name="wrn.FASIVALUTA_PREC." hidden="1">{"FASE1_PREC",#N/A,FALSE;"FASE2_PREC",#N/A,FALSE;"FASE3_PREC",#N/A,FALSE;"FASE4_PREC",#N/A,FALSE;"RIEPILOGOFASI_PREC",#N/A,FALSE}</definedName>
    <definedName name="wrn.fcst._.96." hidden="1">{#N/A,#N/A,FALSE,"PL TOTAL";#N/A,#N/A,FALSE,"PL index";#N/A,#N/A,FALSE,"rca 96";#N/A,#N/A,FALSE,"ARD 96";#N/A,#N/A,FALSE,"RE 96 (2)";#N/A,#N/A,FALSE,"np year end";#N/A,#N/A,FALSE,"can year end ";#N/A,#N/A,FALSE,"ptf year end  ";#N/A,#N/A,FALSE,"premi medi";#N/A,#N/A,FALSE,"re can np";#N/A,#N/A,FALSE,"re ptf";#N/A,#N/A,FALSE,"Freq rc"}</definedName>
    <definedName name="wrn.fdp." hidden="1">{"ptf1",#N/A,TRUE,"05_PTF"}</definedName>
    <definedName name="wrn.Gefran." hidden="1">{"CECons",#N/A,FALSE,"CE"}</definedName>
    <definedName name="wrn.Kurzbericht." hidden="1">{"Report1",#N/A,FALSE,"5-P Gruppe";"Report1",#N/A,FALSE,"Schweiz";"Report1",#N/A,FALSE,"Deutschl";"Report1",#N/A,FALSE,"Anker";"Report1",#N/A,FALSE,"DfOE";"Report1",#N/A,FALSE,"Italien";"Report1",#N/A,FALSE,"Spanien ";"Report1",#N/A,FALSE,"Frankr"}</definedName>
    <definedName name="wrn.obiett99." hidden="1">{#N/A,#N/A,FALSE,"SINTESI GESTIONALE";#N/A,#N/A,FALSE,"all.1 - LAVORO";#N/A,#N/A,FALSE,"all. 2 - SPESE AMM.TIVE";#N/A,#N/A,FALSE," SINTESI CIVILISTICO";#N/A,#N/A,FALSE,"Commerciale"}</definedName>
    <definedName name="wrn.PENDENTI." hidden="1">{#N/A,#N/A,FALSE,"RIEPILOGO PENDENTI";#N/A,#N/A,FALSE,"CONTABILIZ. PENDENTI RAMO 87";#N/A,#N/A,FALSE,"CONTABILIZ. PENDENTI";#N/A,#N/A,FALSE,"PENDENTI RAMO 81";#N/A,#N/A,FALSE,"PENDENTI RAMO 89";#N/A,#N/A,FALSE,"PENDENTI RAMO 90";#N/A,#N/A,FALSE,"PENDENTI RAMO 91";#N/A,#N/A,FALSE,"PENDENTI RAMO 95"}</definedName>
    <definedName name="wrn.report._.Sanpaolo.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wrn.RSK." hidden="1">{"RSK lijf US",#N/A,FALSE,"Lijf US";"RSK lijf US",#N/A,FALSE,"Lijf gulden";"RSK lijf US",#N/A,FALSE,"Lijf AUS";"RSK lijf US",#N/A,FALSE,"Coll gulden";"RSK lijf US",#N/A,FALSE,"Kap gulden";"RSK lijf US",#N/A,FALSE,"Kap US";"RSK lijf US",#N/A,FALSE,"Kap AUS";"RSK lijf US",#N/A,FALSE,"Totaal"}</definedName>
    <definedName name="wrn.RSK._.concern." hidden="1">{"RSK concern",#N/A,FALSE,"Lijf gulden";"RSK concern",#N/A,FALSE,"Lijf US";"RSK concern",#N/A,FALSE,"Lijf AUS";"RSK concern",#N/A,FALSE,"Coll gulden";"RSK concern",#N/A,FALSE,"Kap gulden";"RSK concern",#N/A,FALSE,"Kap US";"RSK concern",#N/A,FALSE,"Kap AUS";"RSK concern",#N/A,FALSE,"Totaal"}</definedName>
    <definedName name="wrn.ST._.210." hidden="1">{"ST 210",#N/A,FALSE,"WTV Staten"}</definedName>
    <definedName name="wrn.ST._.220." hidden="1">{"ST 220",#N/A,FALSE,"WTV Staten"}</definedName>
    <definedName name="wrn.ST._.222." hidden="1">{"ST 222 Links",#N/A,FALSE,"WTV Staten";"ST 222 Rechts",#N/A,FALSE,"WTV Staten";"ST vervolg 222 Links",#N/A,FALSE,"WTV Staten";"ST vervolg 222 Rechts",#N/A,FALSE,"WTV Staten"}</definedName>
    <definedName name="wrn.ST._.300." hidden="1">{"ST 300",#N/A,FALSE,"WTV Staten"}</definedName>
    <definedName name="wrn.ST._.400." hidden="1">{"ST vervolg 400 Links",#N/A,FALSE,"WTV Staten";"ST vervolg 400 Rechts",#N/A,FALSE,"WTV Staten";"ST vervolg 400 deel 2 Links",#N/A,FALSE,"WTV Staten";"ST vervolg 400 deel 2 Rechts",#N/A,FALSE,"WTV Staten"}</definedName>
    <definedName name="wrn.ST._.420." hidden="1">{"ST 420 geld Links",#N/A,FALSE,"WTV Staten";"ST 420 geld Rechts",#N/A,FALSE,"WTV Staten";"ST 420 beleggingsverz. Links",#N/A,FALSE,"WTV Staten";"ST 420 beleggingsverz. Rechts",#N/A,FALSE,"WTV Staten"}</definedName>
    <definedName name="wrn.ST._.500." hidden="1">{"ST 500 Links",#N/A,FALSE,"WTV Staten";"ST 500 Rechts",#N/A,FALSE,"WTV Staten";"ST vervolg 500 Links",#N/A,FALSE,"WTV Staten";"ST vervolg 500 Rechts",#N/A,FALSE,"WTV Staten"}</definedName>
    <definedName name="wrn.stampa." hidden="1">{#N/A,#N/A,TRUE,"PL TOTAL";#N/A,#N/A,TRUE,"PTF 95";#N/A,#N/A,TRUE,"PTF 96";#N/A,#N/A,TRUE,"ARD 95 ";#N/A,#N/A,TRUE,"ARD 96";#N/A,#N/A,TRUE,"RE 95";#N/A,#N/A,TRUE,"RE 96";#N/A,#N/A,TRUE,"alloc.int"}</definedName>
    <definedName name="wrn.stampa._.95." hidden="1">{#N/A,#N/A,FALSE,"PL TOTAL";#N/A,#N/A,FALSE,"PTF 95";#N/A,#N/A,FALSE,"ARD 95 ";#N/A,#N/A,FALSE,"RE 95"}</definedName>
    <definedName name="wrn.Stampa._.bilancio." hidden="1">{#N/A,#N/A,FALSE,"Indice";#N/A,#N/A,FALSE,"Management";#N/A,#N/A,FALSE,"Highlights";#N/A,#N/A,FALSE,"Stato_Patrimoniale_97";#N/A,#N/A,FALSE,"Conto_Economico_97";#N/A,#N/A,FALSE,"Patrimonio_netto";#N/A,#N/A,FALSE,"SP_Compar_96_97";#N/A,#N/A,FALSE,"CE_Compar_96_97";#N/A,#N/A,FALSE,"Sezione_1_I_Crediti";#N/A,#N/A,FALSE,"Sezione_2_I_Titoli";#N/A,#N/A,FALSE,"Sezione_3_Le_Partecipazioni";#N/A,#N/A,FALSE,"Le_Partecipazioni_2";#N/A,#N/A,FALSE,"Sezione_4_Imm_mater_immat";#N/A,#N/A,FALSE,"Sezione_5_Altre_attività";#N/A,#N/A,FALSE,"Sezione_6_I_Debiti";#N/A,#N/A,FALSE,"Sezione_7_I_Fondi";#N/A,#N/A,FALSE,"Sezione_8_Capitale_Riserve ";#N/A,#N/A,FALSE,"Sezione_9_Altre_ passività";#N/A,#N/A,FALSE,"Sezione_10_Garanzie_impegni";#N/A,#N/A,FALSE,"Sezione_11_Concentrazione";#N/A,#N/A,FALSE,"Sezione_11_Concentrazione_2";#N/A,#N/A,FALSE,"Sezione_12_Gest_terzi";#N/A,#N/A,FALSE,"Sezione_1_Interessi";#N/A,#N/A,FALSE,"Sezione_2_Le_commissioni";#N/A,#N/A,FALSE,"Sezione_3_Op_Fin";#N/A,#N/A,FALSE,"Sezione_4_Spese_amministr";#N/A,#N/A,FALSE,"Sezione 5 - Rett_Ripr_Accant";#N/A,#N/A,FALSE,"Sezione 6 - Altre voci CE";#N/A,#N/A,FALSE,"Sezione 7 - Altre info CE";#N/A,#N/A,FALSE,"Obbligazioni";#N/A,#N/A,FALSE,"Sezione 1 - Amministratori_Sind";#N/A,#N/A,FALSE,"Elenco partecipazioni";#N/A,#N/A,FALSE,"Frontespizi";#N/A,#N/A,FALSE,"Lead_inst"}</definedName>
    <definedName name="wrn.tavole_supporto." hidden="1">{"Cop_tav_supp",#N/A,FALSE,"Copertine";"pag1e2_s",#N/A,FALSE,"Indici";"pag3_6_s",#N/A,FALSE,"P.F.";"pag7e8_s",#N/A,FALSE,"Fondi";"pag9_s",#N/A,FALSE,"Fondi";"pag10_12_s",#N/A,FALSE,"Commissioni rete";"pag13e14_s",#N/A,FALSE,"Titoli";"pag15_s",#N/A,FALSE,"C.C. e P.E.";"pag16_20_s",#N/A,FALSE,"C.E_BF";"pag21_s",#N/A,FALSE,"C.E_BF";"pag22_s",#N/A,FALSE,"C.E_BF"}</definedName>
    <definedName name="wrn.TEST." hidden="1">{"BRIEF",#N/A,FALSE,"BRIEF";"OFFBAL",#N/A,FALSE,"OFFBAL"}</definedName>
    <definedName name="wrn.testo." hidden="1">{"Cop_testo",#N/A,FALSE,"Copertine";"testo_pag1_4",#N/A,FALSE,"Testo";"pag5",#N/A,FALSE,"P.F.";"pag6.7",#N/A,FALSE,"Ipotesi generali";"testo_pag8_9",#N/A,FALSE,"Testo";"pag10",#N/A,FALSE,"Flussi e stock";"testo_pag_11",#N/A,FALSE,"Testo";"pag12.14",#N/A,FALSE,"Fondi";"testo_pag_15",#N/A,FALSE,"Testo";"pag16_17",#N/A,FALSE,"Fondi";"pag18",#N/A,FALSE,"Fondi";"testo_pag_19",#N/A,FALSE,"Testo";"pag20",#N/A,FALSE,"Commissioni rete";"testo_pag_21",#N/A,FALSE,"Testo";"pag22",#N/A,FALSE,"NVV";"testo_pag_23",#N/A,FALSE,"Testo";"pag24",#N/A,FALSE,"Costi operativi";"testo_pag_25",#N/A,FALSE,"Testo";"pag26",#N/A,FALSE,"C.E_BF";"pag27",#N/A,FALSE,"C.E_BF";"testo_pag_28_29",#N/A,FALSE,"Testo";"pag30_36",#N/A,FALSE,"C.E_Soc_prod";"testo_pag37_42",#N/A,FALSE,"Testo"}</definedName>
    <definedName name="wrrrmm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  <definedName name="wrtgbb" hidden="1">{"'RamoVita-mo'!$B$1:$J$85"}</definedName>
    <definedName name="wvu.CE_BF_AG." hidden="1">{TRUE,TRUE,-1.25,-15.5,484.5,276.75,FALSE,FALSE,TRUE,TRUE,0,1,#N/A,55,#N/A,6.54430379746835,17.0952380952381,1,FALSE,FALSE,3,TRUE,1,FALSE,100,"Swvu.CE_BF_AG.","ACwvu.CE_BF_AG.",1,FALSE,FALSE,0.196850393700787,0.196850393700787,0.78740157480315,0.196850393700787,2,"","",TRUE,TRUE,FALSE,FALSE,1,#N/A,1,1,"=R2C2:R66C22",FALSE,"Rwvu.CE_BF_AG.","Cwvu.CE_BF_AG.",FALSE,FALSE,FALSE,9,65532,65532,FALSE,FALSE,TRUE,TRUE,TRUE}</definedName>
    <definedName name="wvu.CE_BF_MGD." hidden="1">{TRUE,TRUE,-1.25,-15.5,484.5,276.75,FALSE,FALSE,TRUE,TRUE,0,1,#N/A,62,#N/A,6.54430379746835,15.7272727272727,1,FALSE,FALSE,3,TRUE,1,FALSE,100,"Swvu.CE_BF_MGD.","ACwvu.CE_BF_MGD.",1,FALSE,FALSE,0.196850393700787,0.196850393700787,0.78740157480315,0.196850393700787,2,"","",TRUE,TRUE,FALSE,FALSE,1,#N/A,1,1,"=R70C2:R132C22",FALSE,"Rwvu.CE_BF_MGD.","Cwvu.CE_BF_MGD.",FALSE,FALSE,FALSE,9,65532,65532,FALSE,FALSE,TRUE,TRUE,TRUE}</definedName>
    <definedName name="wvu.CE_BF_RICLASS." hidden="1">{TRUE,TRUE,-1.25,-15.5,484.5,253.5,FALSE,FALSE,TRUE,TRUE,0,2,#N/A,5,#N/A,10.5454545454545,21.4615384615385,1,FALSE,FALSE,3,TRUE,1,FALSE,75,"Swvu.CE_BF_RICLASS.","ACwvu.CE_BF_RICLASS.",#N/A,FALSE,FALSE,0.78740157480315,0.78740157480315,0.6,0.66,2,"","&amp;LPianificazione&amp;R&amp;D",TRUE,FALSE,FALSE,FALSE,1,#N/A,1,1,"=R5C2:R62C16",FALSE,#N/A,#N/A,FALSE,FALSE,FALSE,9,65532,300,FALSE,FALSE,TRUE,TRUE,TRUE}</definedName>
    <definedName name="wvu.CE_BF_UTILE." hidden="1">{TRUE,TRUE,-1.25,-15.5,484.5,276.75,FALSE,FALSE,TRUE,TRUE,0,1,#N/A,69,#N/A,6.74683544303798,14.4285714285714,1,FALSE,FALSE,3,TRUE,1,FALSE,100,"Swvu.CE_BF_UTILE.","ACwvu.CE_BF_UTILE.",1,FALSE,FALSE,0.196850393700787,0.196850393700787,0.78740157480315,0.196850393700787,2,"","",TRUE,FALSE,FALSE,FALSE,1,53,#N/A,#N/A,"=R134C2:R187C22","=R70:R71","Rwvu.CE_BF_UTILE.","Cwvu.CE_BF_UTILE.",FALSE,FALSE,TRUE,9,65532,65532,FALSE,FALSE,TRUE,TRUE,TRUE}</definedName>
    <definedName name="wvu.Extracommissioni." hidden="1">{TRUE,TRUE,-1.25,-15.5,484.5,253.5,FALSE,TRUE,TRUE,TRUE,0,6,#N/A,62,#N/A,9.10416666666667,21.6923076923077,1,FALSE,FALSE,3,TRUE,1,FALSE,75,"Swvu.Extracommissioni.","ACwvu.Extracommissioni.",#N/A,FALSE,FALSE,0.78740157480315,0.78740157480315,0.984251968503937,0.984251968503937,1,"","&amp;LPianificazione&amp;R&amp;D",TRUE,FALSE,FALSE,FALSE,1,#N/A,1,1,"=R72C12:R98C18",FALSE,#N/A,#N/A,FALSE,FALSE,FALSE,9,65532,65532,FALSE,FALSE,TRUE,TRUE,TRUE}</definedName>
    <definedName name="wvu.FASE1_BUDGET." hidden="1">{TRUE,TRUE,-1.25,-15.5,484.5,276.75,FALSE,TRUE,TRUE,TRUE,0,38,#N/A,61,#N/A,12.4473684210526,31.7272727272727,1,FALSE,FALSE,3,TRUE,1,FALSE,50,"Swvu.FASE1_BUDGET.","ACwvu.FASE1_BUDGET.",#N/A,FALSE,FALSE,0.196850393700787,0.196850393700787,0.393700787401575,0.196850393700787,2,"","",TRUE,TRUE,FALSE,FALSE,1,75,#N/A,#N/A,"=R78C44:R99C57","=R72:R76","Rwvu.FASE1_BUDGET.","Cwvu.FASE1_BUDGET.",FALSE,FALSE,TRUE,9,65532,65532,FALSE,FALSE,TRUE,TRUE,TRUE}</definedName>
    <definedName name="wvu.FASE1_PREC." hidden="1">{TRUE,TRUE,-2,-16.25,484.5,288,FALSE,TRUE,TRUE,TRUE,0,25,#N/A,75,#N/A,19.6470588235294,29.8888888888889,1,FALSE,FALSE,3,TRUE,1,FALSE,50,"Swvu.FASE1_PREC.","ACwvu.FASE1_PREC.",1,FALSE,FALSE,0.196850393700787,0.196850393700787,0.393700787401575,0.196850393700787,2,"","",TRUE,TRUE,FALSE,FALSE,1,#N/A,1,1,"=R78C31:R98C59","=R74:R77",#N/A,#N/A,FALSE,FALSE}</definedName>
    <definedName name="wvu.FASE1_REVBUDGET." hidden="1">{TRUE,TRUE,-1.25,-15.5,484.5,276.75,FALSE,TRUE,TRUE,TRUE,0,63,#N/A,76,#N/A,13.9459459459459,29.0909090909091,1,FALSE,FALSE,3,TRUE,1,FALSE,50,"Swvu.FASE1_REVBUDGET.","ACwvu.FASE1_REVBUDGET.",1,FALSE,FALSE,0.393700787401575,0.393700787401575,0,0,2,"","",TRUE,TRUE,FALSE,FALSE,1,#N/A,1,1,"=R78C65:R99C78","=R72:R76","Rwvu.FASE1_REVBUDGET.","Cwvu.FASE1_REVBUDGET.",FALSE,FALSE,FALSE,9,65532,65532,FALSE,FALSE,TRUE,TRUE,TRUE}</definedName>
    <definedName name="wvu.FASE2_BUDGET." hidden="1">{TRUE,TRUE,-1.25,-15.5,484.5,276.75,FALSE,TRUE,TRUE,TRUE,0,38,#N/A,88,#N/A,12.4473684210526,29.7272727272727,1,FALSE,FALSE,3,TRUE,1,FALSE,50,"Swvu.FASE2_BUDGET.","ACwvu.FASE2_BUDGET.",#N/A,FALSE,FALSE,0.196850393700787,0.196850393700787,0.393700787401575,0.196850393700787,2,"","",TRUE,TRUE,FALSE,FALSE,1,75,#N/A,#N/A,"=R102C44:R120C57","=R72:R76","Rwvu.FASE2_BUDGET.","Cwvu.FASE2_BUDGET.",FALSE,FALSE,TRUE,9,65532,65532,FALSE,FALSE,TRUE,TRUE,TRUE}</definedName>
    <definedName name="wvu.FASE2_PREC." hidden="1">{TRUE,TRUE,-2,-16.25,484.5,288,FALSE,TRUE,TRUE,TRUE,0,25,#N/A,94,#N/A,19.6470588235294,29.8181818181818,1,FALSE,FALSE,3,TRUE,1,FALSE,50,"Swvu.FASE2_PREC.","ACwvu.FASE2_PREC.",1,FALSE,FALSE,0.196850393700787,0.196850393700787,0.393700787401575,0.196850393700787,2,"","",TRUE,TRUE,FALSE,FALSE,1,#N/A,1,1,"=R99C31:R116C59","=R74:R77",#N/A,#N/A,FALSE,FALSE}</definedName>
    <definedName name="wvu.FASE2_REVBUDGET." hidden="1">{TRUE,TRUE,-1.25,-15.5,484.5,276.75,FALSE,TRUE,TRUE,TRUE,0,58,#N/A,89,#N/A,15.2,29.6666666666667,1,FALSE,FALSE,3,TRUE,1,FALSE,50,"Swvu.FASE2_REVBUDGET.","ACwvu.FASE2_REVBUDGET.",1,FALSE,FALSE,0.393700787401575,0.393700787401575,0,0,2,"","",TRUE,TRUE,FALSE,FALSE,1,#N/A,1,1,"=R103C65:R121C78","=R72:R76","Rwvu.FASE2_REVBUDGET.","Cwvu.FASE2_REVBUDGET.",FALSE,FALSE,FALSE,9,65532,65532,FALSE,FALSE,TRUE,TRUE,TRUE}</definedName>
    <definedName name="wvu.FASE3_BUDGET." hidden="1">{TRUE,TRUE,-1.25,-15.5,484.5,276.75,FALSE,TRUE,TRUE,TRUE,0,38,#N/A,117,#N/A,12.4473684210526,30.4444444444444,1,FALSE,FALSE,3,TRUE,1,FALSE,50,"Swvu.FASE3_BUDGET.","ACwvu.FASE3_BUDGET.",#N/A,FALSE,FALSE,0.196850393700787,0.196850393700787,0.393700787401575,0.196850393700787,2,"","",TRUE,TRUE,FALSE,FALSE,1,75,#N/A,#N/A,"=R122C44:R140C57","=R72:R76","Rwvu.FASE3_BUDGET.","Cwvu.FASE3_BUDGET.",FALSE,FALSE,TRUE,9,65532,65532,FALSE,FALSE,TRUE,TRUE,TRUE}</definedName>
    <definedName name="wvu.FASE3_PREC." hidden="1">{TRUE,TRUE,-2,-16.25,486,289.5,FALSE,TRUE,TRUE,TRUE,0,38,#N/A,103,#N/A,23.9318181818182,29.8181818181818,1,FALSE,FALSE,3,TRUE,1,FALSE,50,"Swvu.FASE3_PREC.","ACwvu.FASE3_PREC.",1,FALSE,FALSE,0.196850393700787,0.196850393700787,0.393700787401575,0.196850393700787,2,"","",TRUE,TRUE,FALSE,FALSE,1,#N/A,1,1,"=R99C31:R116C59","=R74:R77",#N/A,#N/A,FALSE,FALSE}</definedName>
    <definedName name="wvu.FASE3_REVBUDGET." hidden="1">{TRUE,TRUE,-1.25,-15.5,484.5,276.75,FALSE,TRUE,TRUE,TRUE,0,62,#N/A,122,#N/A,14.1891891891892,29.5454545454545,1,FALSE,FALSE,3,TRUE,1,FALSE,50,"Swvu.FASE3_REVBUDGET.","ACwvu.FASE3_REVBUDGET.",1,FALSE,FALSE,0.393700787401575,0.393700787401575,0,0,2,"","",TRUE,TRUE,FALSE,FALSE,1,78,#N/A,#N/A,"=R124C65:R139C75","=R72:R76","Rwvu.FASE3_REVBUDGET.","Cwvu.FASE3_REVBUDGET.",FALSE,FALSE,TRUE,9,65532,65532,FALSE,FALSE,TRUE,TRUE,TRUE}</definedName>
    <definedName name="wvu.FASE4_BUDGET." hidden="1">{TRUE,TRUE,-1.25,-15.5,484.5,276.75,FALSE,TRUE,TRUE,TRUE,0,38,#N/A,126,#N/A,12.4473684210526,31.7272727272727,1,FALSE,FALSE,3,TRUE,1,FALSE,50,"Swvu.FASE4_BUDGET.","ACwvu.FASE4_BUDGET.",#N/A,FALSE,FALSE,0.196850393700787,0.196850393700787,0.393700787401575,0.196850393700787,2,"","",TRUE,TRUE,FALSE,FALSE,1,75,#N/A,#N/A,"=R141C44:R168C57","=R72:R76","Rwvu.FASE4_BUDGET.","Cwvu.FASE4_BUDGET.",FALSE,FALSE,TRUE,9,65532,65532,FALSE,FALSE,TRUE,TRUE,TRUE}</definedName>
    <definedName name="wvu.FASE4_PREC." hidden="1">{TRUE,TRUE,-2,-16.25,486,289.5,FALSE,TRUE,TRUE,TRUE,0,35,#N/A,137,#N/A,25.5909090909091,30.0909090909091,1,FALSE,FALSE,3,TRUE,1,FALSE,50,"Swvu.FASE4_PREC.","ACwvu.FASE4_PREC.",1,FALSE,FALSE,0.196850393700787,0.196850393700787,0.393700787401575,0.196850393700787,2,"","",TRUE,TRUE,FALSE,FALSE,1,#N/A,1,1,"=R99C31:R116C59","=R74:R77",#N/A,#N/A,FALSE,FALSE}</definedName>
    <definedName name="wvu.FASE4_REVBUDGET." hidden="1">{TRUE,TRUE,-1.25,-15.5,484.5,276.75,FALSE,TRUE,TRUE,TRUE,0,63,#N/A,128,#N/A,13.9459459459459,29.5454545454545,1,FALSE,FALSE,3,TRUE,1,FALSE,50,"Swvu.FASE4_REVBUDGET.","ACwvu.FASE4_REVBUDGET.",1,FALSE,FALSE,0.393700787401575,0.393700787401575,0,0,2,"","",TRUE,TRUE,FALSE,FALSE,1,78,#N/A,#N/A,"=R143C65:R167C74","=R72:R76","Rwvu.FASE4_REVBUDGET.","Cwvu.FASE4_REVBUDGET.",FALSE,FALSE,TRUE,9,65532,65532,FALSE,FALSE,TRUE,TRUE,TRUE}</definedName>
    <definedName name="wvu.FASI_RIEPILOGO_BUDGET." hidden="1">{TRUE,TRUE,-1.25,-15.5,484.5,276.75,FALSE,TRUE,TRUE,TRUE,0,38,#N/A,157,#N/A,12.4473684210526,30.8888888888889,1,FALSE,FALSE,3,TRUE,1,FALSE,50,"Swvu.FASI_RIEPILOGO_BUDGET.","ACwvu.FASI_RIEPILOGO_BUDGET.",#N/A,FALSE,FALSE,0.196850393700787,0.196850393700787,0.393700787401575,0.196850393700787,2,"","",TRUE,TRUE,FALSE,FALSE,1,75,#N/A,#N/A,"=R172C44:R184C57","=R72:R76","Rwvu.FASI_RIEPILOGO_BUDGET.","Cwvu.FASI_RIEPILOGO_BUDGET.",FALSE,FALSE,TRUE,9,65532,65532,FALSE,FALSE,TRUE,TRUE,TRUE}</definedName>
    <definedName name="wvu.FASI_RIEPILOGO_PREC." hidden="1">{TRUE,TRUE,-2,-16.25,486,289.5,FALSE,TRUE,TRUE,TRUE,0,38,#N/A,154,#N/A,23.9318181818182,30.1818181818182,1,FALSE,FALSE,3,TRUE,1,FALSE,50,"Swvu.FASI_RIEPILOGO_PREC.","ACwvu.FASI_RIEPILOGO_PREC.",1,FALSE,FALSE,0.196850393700787,0.196850393700787,0.393700787401575,0.196850393700787,2,"","",TRUE,TRUE,FALSE,FALSE,1,#N/A,1,1,"=R99C31:R116C59","=R74:R77",#N/A,#N/A,FALSE,FALSE}</definedName>
    <definedName name="wvu.FASI_RIEPILOGO_REVBUDGET." hidden="1">{TRUE,TRUE,-1.25,-15.5,484.5,276.75,FALSE,TRUE,TRUE,TRUE,0,63,#N/A,163,#N/A,13.9459459459459,28.7272727272727,1,FALSE,FALSE,3,TRUE,1,FALSE,50,"Swvu.FASI_RIEPILOGO_REVBUDGET.","ACwvu.FASI_RIEPILOGO_REVBUDGET.",1,FALSE,FALSE,0.393700787401575,0.393700787401575,0,0,2,"","",TRUE,TRUE,FALSE,FALSE,1,120,#N/A,#N/A,"=R174C65:R185C70","=R72:R76","Rwvu.FASI_RIEPILOGO_REVBUDGET.","Cwvu.FASI_RIEPILOGO_REVBUDGET.",FALSE,FALSE,TRUE,9,65532,65532,FALSE,FALSE,TRUE,TRUE,TRUE}</definedName>
    <definedName name="wvu.IMPOSTE_BF." hidden="1">{TRUE,TRUE,-1.25,-15.5,484.5,276.75,FALSE,FALSE,TRUE,TRUE,0,3,#N/A,194,#N/A,5.35443037974684,14.952380952381,1,FALSE,FALSE,3,TRUE,1,FALSE,100,"Swvu.IMPOSTE_BF.","ACwvu.IMPOSTE_BF.",1,FALSE,FALSE,0.196850393700787,0.196850393700787,0.78740157480315,0.196850393700787,2,"","",TRUE,FALSE,FALSE,FALSE,1,#N/A,1,1,"=R194C3:R231C7",FALSE,"Rwvu.IMPOSTE_BF.","Cwvu.IMPOSTE_BF.",FALSE,FALSE,FALSE,9,65532,300,FALSE,FALSE,TRUE,TRUE,TRUE}</definedName>
    <definedName name="wvu.PREC_CE_BF_AREE_GEST." hidden="1">{TRUE,TRUE,-2,-16.25,486,289.5,FALSE,TRUE,TRUE,TRUE,0,5,5,54,#N/A,2.8,30.0909090909091,2,TRUE,FALSE,3,TRUE,1,FALSE,50,"Swvu.PREC_CE_BF_AREE_GEST.","ACwvu.PREC_CE_BF_AREE_GEST.",1,FALSE,FALSE,0.196850393700787,0.196850393700787,0.393700787401575,0.196850393700787,1,"","",TRUE,TRUE,FALSE,FALSE,1,#N/A,1,1,"=R71C2:R145C11","=R1:R8",#N/A,#N/A,FALSE,FALSE}</definedName>
    <definedName name="wvu.PREC_CE_BF_MGD." hidden="1">{TRUE,TRUE,-2,-16.25,486,289.5,FALSE,TRUE,TRUE,TRUE,0,2,5,125,#N/A,2.56497175141243,30,2,TRUE,FALSE,3,TRUE,1,FALSE,50,"Swvu.PREC_CE_BF_MGD.","ACwvu.PREC_CE_BF_MGD.",1,FALSE,FALSE,0.196850393700787,0.196850393700787,0.393700787401575,0.196850393700787,1,"","",TRUE,TRUE,FALSE,FALSE,1,#N/A,1,1,"=R71C2:R145C11","=R1:R8",#N/A,#N/A,FALSE,FALSE}</definedName>
    <definedName name="wvu.PREC_CE_BF_UTILE." hidden="1">{TRUE,TRUE,-2,-16.25,486,289.5,FALSE,TRUE,TRUE,TRUE,0,2,5,182,#N/A,2.57627118644068,30.1818181818182,2,TRUE,FALSE,3,TRUE,1,FALSE,50,"Swvu.PREC_CE_BF_UTILE.","ACwvu.PREC_CE_BF_UTILE.",1,FALSE,FALSE,0.196850393700787,0.196850393700787,0.393700787401575,0.196850393700787,1,"","",TRUE,TRUE,FALSE,FALSE,1,#N/A,1,1,"=R71C2:R145C11","=R1:R8",#N/A,#N/A,FALSE,FALSE}</definedName>
    <definedName name="wvu.RACC_IMP." hidden="1">{TRUE,TRUE,-1.25,-15.5,484.5,276.75,FALSE,FALSE,TRUE,TRUE,0,32,#N/A,1,#N/A,4.80412371134021,17.3529411764706,1,FALSE,FALSE,3,TRUE,1,FALSE,100,"Swvu.RACC_IMP.","ACwvu.RACC_IMP.",1,FALSE,FALSE,0.196850393700787,0.196850393700787,0.78740157480315,0.196850393700787,2,"","",TRUE,TRUE,FALSE,FALSE,1,#N/A,1,1,"=R1C33:R49C40",FALSE,"Rwvu.RACC_IMP.","Cwvu.RACC_IMP.",FALSE,FALSE,FALSE,9,65532,65532,FALSE,FALSE,TRUE,TRUE,TRUE}</definedName>
    <definedName name="wvu.REV_DIV." hidden="1">{TRUE,TRUE,-1.25,-15.5,484.5,276.75,FALSE,FALSE,TRUE,TRUE,0,2,#N/A,236,#N/A,5.73417721518987,16.4117647058824,1,FALSE,FALSE,3,TRUE,1,FALSE,100,"Swvu.REV_DIV.","ACwvu.REV_DIV.",1,FALSE,FALSE,0.393700787401575,0.393700787401575,0,0,2,"","",TRUE,TRUE,FALSE,FALSE,1,#N/A,1,1,"=R236C2:R263C8",FALSE,"Rwvu.REV_DIV.","Cwvu.REV_DIV.",FALSE,FALSE,FALSE,9,65532,300,FALSE,FALSE,TRUE,TRUE,TRUE}</definedName>
    <definedName name="wvu.RIEPILOGOFASI_BUDGET." hidden="1">{TRUE,TRUE,-1.25,-15.5,484.5,279.75,FALSE,TRUE,TRUE,TRUE,0,78,#N/A,157,#N/A,20.1818181818182,29.1818181818182,1,FALSE,FALSE,3,TRUE,1,FALSE,50,"Swvu.RIEPILOGOFASI_BUDGET.","ACwvu.RIEPILOGOFASI_BUDGET.",1,FALSE,FALSE,0.196850393700787,0.196850393700787,0.393700787401575,0.196850393700787,2,"","",TRUE,TRUE,FALSE,FALSE,1,#N/A,1,1,"=R135C66:R161C94","=R74:R77",#N/A,#N/A,FALSE,FALSE}</definedName>
    <definedName name="wvu.Servizi_bancari." hidden="1">{TRUE,TRUE,-1.25,-15.5,484.5,253.5,FALSE,TRUE,TRUE,TRUE,0,20,#N/A,96,#N/A,8.95833333333333,21.6923076923077,1,FALSE,FALSE,3,TRUE,1,FALSE,75,"Swvu.Servizi_bancari.","ACwvu.Servizi_bancari.",#N/A,FALSE,FALSE,0.78740157480315,0.78740157480315,0.984251968503937,0.984251968503937,1,"","&amp;LPianificazione&amp;R&amp;D",TRUE,FALSE,FALSE,FALSE,1,#N/A,1,1,"=R106C21:R152C27",FALSE,#N/A,#N/A,FALSE,FALSE,FALSE,9,65532,65532,FALSE,FALSE,TRUE,TRUE,TRUE}</definedName>
    <definedName name="wvu.Servizi_finanziari." hidden="1">{TRUE,TRUE,-1.25,-15.5,484.5,253.5,FALSE,TRUE,TRUE,TRUE,0,1,#N/A,7,#N/A,10.2916666666667,21.5384615384615,1,FALSE,FALSE,3,TRUE,1,FALSE,75,"Swvu.Servizi_finanziari.","ACwvu.Servizi_finanziari.",#N/A,FALSE,FALSE,0.78740157480315,0.78740157480315,0.984251968503937,0.984251968503937,1,"","&amp;LPianificazione&amp;R&amp;D",TRUE,FALSE,FALSE,FALSE,1,#N/A,1,1,"=R7C3:R67C9",FALSE,#N/A,#N/A,FALSE,FALSE,FALSE,9,65532,65532,FALSE,FALSE,TRUE,TRUE,TRUE}</definedName>
    <definedName name="ww" hidden="1">{"'RamoVita-mo'!$B$1:$J$85"}</definedName>
    <definedName name="www" hidden="1">{#N/A,#N/A,FALSE,"SINTESI GESTIONALE";#N/A,#N/A,FALSE,"all.1 - LAVORO";#N/A,#N/A,FALSE,"all. 2 - SPESE AMM.TIVE";#N/A,#N/A,FALSE," SINTESI CIVILISTICO";#N/A,#N/A,FALSE,"Commerciale"}</definedName>
    <definedName name="xxc" hidden="1">{#N/A,#N/A,FALSE,"SINTESI GESTIONALE";#N/A,#N/A,FALSE,"all.1 - LAVORO";#N/A,#N/A,FALSE,"all. 2 - SPESE AMM.TIVE";#N/A,#N/A,FALSE," SINTESI CIVILISTICO";#N/A,#N/A,FALSE,"Commerciale"}</definedName>
    <definedName name="xxx" hidden="1">#REF!</definedName>
    <definedName name="xxxx" hidden="1">{#N/A,#N/A,FALSE,"SINTESI GESTIONALE";#N/A,#N/A,FALSE,"all.1 - LAVORO";#N/A,#N/A,FALSE,"all. 2 - SPESE AMM.TIVE";#N/A,#N/A,FALSE," SINTESI CIVILISTICO";#N/A,#N/A,FALSE,"Commerciale"}</definedName>
    <definedName name="Year0">#REF!</definedName>
    <definedName name="yoy" hidden="1">{#N/A,#N/A,FALSE,"SINTESI GESTIONALE";#N/A,#N/A,FALSE,"all.1 - LAVORO";#N/A,#N/A,FALSE,"all. 2 - SPESE AMM.TIVE";#N/A,#N/A,FALSE," SINTESI CIVILISTICO";#N/A,#N/A,FALSE,"Commerciale"}</definedName>
    <definedName name="yt" hidden="1">{#N/A,#N/A,FALSE,"SINTESI GESTIONALE";#N/A,#N/A,FALSE,"all.1 - LAVORO";#N/A,#N/A,FALSE,"all. 2 - SPESE AMM.TIVE";#N/A,#N/A,FALSE," SINTESI CIVILISTICO";#N/A,#N/A,FALSE,"Commerciale"}</definedName>
    <definedName name="ytyhhgh" hidden="1">{"'RamoVita-mo'!$B$1:$J$85"}</definedName>
    <definedName name="yu" hidden="1">{"'RIEPILOGO'!$A$1:$E$83"}</definedName>
    <definedName name="yy" hidden="1">{"'RIEPILOGO'!$A$1:$E$83"}</definedName>
    <definedName name="yyuu" hidden="1">{"'RIEPILOGO'!$A$1:$E$83"}</definedName>
    <definedName name="yyy1" hidden="1">{"'RIEPILOGO'!$A$1:$E$83"}</definedName>
    <definedName name="yyyyy" hidden="1">{"'RIEPILOGO'!$A$1:$E$83"}</definedName>
    <definedName name="yyyyyyyyyyyy" hidden="1">{"'RIEPILOGO'!$A$1:$E$83"}</definedName>
    <definedName name="zzzzzzzzzzzzzzzzzzzzzzzzzzzz" hidden="1">{#N/A,#N/A,TRUE,"Report Sanpaolo Vita";#N/A,#N/A,TRUE,"investimenti finanziari";#N/A,#N/A,TRUE,"Report SPV";#N/A,#N/A,TRUE,"Report Fondi";#N/A,#N/A,TRUE,"Totale Sanpaolo Vita";#N/A,#N/A,TRUE,"Fondo VIVAPIU (deposito n° 61)";#N/A,#N/A,TRUE,"Fondo 2 P (deposito n° 12)";#N/A,#N/A,TRUE,"CAPITALPIU' - PIU'3 (dep n° 64)";#N/A,#N/A,TRUE,"BLUE-PROFITS (dep n° 67)";#N/A,#N/A,TRUE,"Gestionale LIBERI (dep n° 63)";#N/A,#N/A,TRUE,"rendimenti";#N/A,#N/A,TRUE,"Report reddito";#N/A,#N/A,TRUE,"Report rilevazione rendimenti";#N/A,#N/A,TRUE,"Report Rendimenti al mese";#N/A,#N/A,TRUE,"Report rivalutazione Fondi";#N/A,#N/A,TRUE,"Rivalut_capitalpiù";#N/A,#N/A,TRUE,"Rivalut_vivapiù";#N/A,#N/A,TRUE,"Report rendiconti annui";#N/A,#N/A,TRUE,"tesoreria";#N/A,#N/A,TRUE,"Report Cash_flow";#N/A,#N/A,TRUE,"Cash_flow al mese";#N/A,#N/A,TRUE,"Report previsioni Cash_flow"}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L4" i="2" a="1"/>
  <c r="L4" i="2" s="1"/>
  <c r="C19" i="2" s="1"/>
  <c r="B19" i="2"/>
  <c r="K4" i="2"/>
  <c r="J4" i="2"/>
  <c r="H4" i="2"/>
  <c r="O4" i="2" l="1"/>
  <c r="D19" i="2" s="1"/>
  <c r="N4" i="2"/>
  <c r="E19" i="2" s="1"/>
  <c r="AK350" i="1"/>
  <c r="AK351" i="1"/>
  <c r="AK357" i="1"/>
  <c r="AK363" i="1"/>
  <c r="AK374" i="1"/>
  <c r="AK385" i="1"/>
  <c r="AK406" i="1"/>
  <c r="AK407" i="1"/>
  <c r="AK413" i="1"/>
  <c r="AK419" i="1"/>
  <c r="AK430" i="1"/>
  <c r="AK441" i="1"/>
  <c r="AK462" i="1"/>
  <c r="AK463" i="1"/>
  <c r="AK469" i="1"/>
  <c r="AK475" i="1"/>
  <c r="AK486" i="1"/>
  <c r="AK497" i="1"/>
  <c r="AK518" i="1"/>
  <c r="AK519" i="1"/>
  <c r="AK525" i="1"/>
  <c r="AK531" i="1"/>
  <c r="AK542" i="1"/>
  <c r="AK553" i="1"/>
  <c r="AK574" i="1"/>
  <c r="AK575" i="1"/>
  <c r="AK581" i="1"/>
  <c r="AK587" i="1"/>
  <c r="AK598" i="1"/>
  <c r="AK609" i="1"/>
  <c r="AK630" i="1"/>
  <c r="AK631" i="1"/>
  <c r="AK637" i="1"/>
  <c r="AK643" i="1"/>
  <c r="AK654" i="1"/>
  <c r="AK665" i="1"/>
  <c r="AK686" i="1"/>
  <c r="AK4" i="1"/>
  <c r="AK5" i="1"/>
  <c r="AK11" i="1"/>
  <c r="AK17" i="1"/>
  <c r="AK28" i="1"/>
  <c r="AK39" i="1"/>
  <c r="AK60" i="1"/>
  <c r="AK61" i="1"/>
  <c r="AK67" i="1"/>
  <c r="AK73" i="1"/>
  <c r="AK84" i="1"/>
  <c r="AK95" i="1"/>
  <c r="AK116" i="1"/>
  <c r="AK117" i="1"/>
  <c r="AK123" i="1"/>
  <c r="AK129" i="1"/>
  <c r="AK140" i="1"/>
  <c r="AK151" i="1"/>
  <c r="AK172" i="1"/>
  <c r="AK173" i="1"/>
  <c r="AK179" i="1"/>
  <c r="AK185" i="1"/>
  <c r="AK196" i="1"/>
  <c r="AK207" i="1"/>
  <c r="AK228" i="1"/>
  <c r="AK229" i="1"/>
  <c r="AK235" i="1"/>
  <c r="AK241" i="1"/>
  <c r="AK252" i="1"/>
  <c r="AK263" i="1"/>
  <c r="AK284" i="1"/>
  <c r="AK285" i="1"/>
  <c r="AK291" i="1"/>
  <c r="AK297" i="1"/>
  <c r="AK308" i="1"/>
  <c r="AK319" i="1"/>
  <c r="AK340" i="1"/>
  <c r="S1036" i="1"/>
  <c r="S1035" i="1"/>
  <c r="S1034" i="1"/>
  <c r="S1033" i="1"/>
  <c r="S1032" i="1" a="1"/>
  <c r="S1032" i="1" s="1"/>
  <c r="S1031" i="1"/>
  <c r="S1030" i="1"/>
  <c r="S1029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1037" i="1"/>
  <c r="S1028" i="1"/>
  <c r="S975" i="1"/>
  <c r="S867" i="1"/>
  <c r="S843" i="1"/>
  <c r="S753" i="1"/>
  <c r="S692" i="1" a="1"/>
  <c r="S692" i="1" s="1"/>
  <c r="S1038" i="1" s="1" a="1"/>
  <c r="S1038" i="1" s="1"/>
  <c r="S691" i="1"/>
  <c r="S690" i="1"/>
  <c r="S689" i="1"/>
  <c r="S688" i="1"/>
  <c r="S687" i="1"/>
  <c r="S686" i="1" a="1"/>
  <c r="S686" i="1" s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4" i="1"/>
  <c r="S483" i="1"/>
  <c r="S482" i="1"/>
  <c r="S481" i="1"/>
  <c r="S480" i="1"/>
  <c r="S479" i="1"/>
  <c r="S478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59" i="1"/>
  <c r="S358" i="1"/>
  <c r="S357" i="1"/>
  <c r="S356" i="1"/>
  <c r="S355" i="1"/>
  <c r="S354" i="1"/>
  <c r="S353" i="1"/>
  <c r="S352" i="1"/>
  <c r="S351" i="1"/>
  <c r="S350" i="1"/>
  <c r="S485" i="1"/>
  <c r="S477" i="1"/>
  <c r="S360" i="1"/>
  <c r="S346" i="1" a="1"/>
  <c r="S346" i="1" s="1"/>
  <c r="S345" i="1" a="1"/>
  <c r="S345" i="1" s="1"/>
  <c r="S344" i="1"/>
  <c r="S344" i="1" a="1"/>
  <c r="S343" i="1" a="1"/>
  <c r="S343" i="1" s="1"/>
  <c r="S342" i="1" a="1"/>
  <c r="S342" i="1" s="1"/>
  <c r="S341" i="1" a="1"/>
  <c r="S341" i="1" s="1"/>
  <c r="S340" i="1" a="1"/>
  <c r="S340" i="1" s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 a="1"/>
  <c r="S319" i="1" s="1"/>
  <c r="S318" i="1"/>
  <c r="S317" i="1"/>
  <c r="S316" i="1"/>
  <c r="S315" i="1"/>
  <c r="S314" i="1"/>
  <c r="S313" i="1"/>
  <c r="S312" i="1"/>
  <c r="S311" i="1"/>
  <c r="S310" i="1"/>
  <c r="S309" i="1"/>
  <c r="S308" i="1" a="1"/>
  <c r="S308" i="1" s="1"/>
  <c r="S307" i="1"/>
  <c r="S306" i="1"/>
  <c r="S305" i="1"/>
  <c r="S304" i="1"/>
  <c r="S303" i="1"/>
  <c r="S302" i="1"/>
  <c r="S301" i="1"/>
  <c r="S300" i="1"/>
  <c r="S299" i="1"/>
  <c r="S298" i="1"/>
  <c r="S297" i="1" a="1"/>
  <c r="S297" i="1" s="1"/>
  <c r="S296" i="1"/>
  <c r="S295" i="1"/>
  <c r="S294" i="1"/>
  <c r="S293" i="1"/>
  <c r="S292" i="1"/>
  <c r="S291" i="1" a="1"/>
  <c r="S291" i="1" s="1"/>
  <c r="S290" i="1"/>
  <c r="S289" i="1"/>
  <c r="S288" i="1"/>
  <c r="S287" i="1"/>
  <c r="S286" i="1"/>
  <c r="S285" i="1" a="1"/>
  <c r="S285" i="1" s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3" i="1" a="1"/>
  <c r="S262" i="1"/>
  <c r="S261" i="1"/>
  <c r="S260" i="1"/>
  <c r="S259" i="1"/>
  <c r="S258" i="1"/>
  <c r="S257" i="1"/>
  <c r="S256" i="1"/>
  <c r="S255" i="1"/>
  <c r="S254" i="1"/>
  <c r="S253" i="1"/>
  <c r="S252" i="1"/>
  <c r="S252" i="1" a="1"/>
  <c r="S251" i="1"/>
  <c r="S250" i="1"/>
  <c r="S249" i="1"/>
  <c r="S248" i="1"/>
  <c r="S247" i="1"/>
  <c r="S246" i="1"/>
  <c r="S245" i="1"/>
  <c r="S244" i="1"/>
  <c r="S243" i="1"/>
  <c r="S242" i="1"/>
  <c r="S241" i="1"/>
  <c r="S241" i="1" a="1"/>
  <c r="S240" i="1"/>
  <c r="S239" i="1"/>
  <c r="S238" i="1"/>
  <c r="S237" i="1"/>
  <c r="S236" i="1"/>
  <c r="S235" i="1" a="1"/>
  <c r="S235" i="1" s="1"/>
  <c r="S234" i="1"/>
  <c r="S233" i="1"/>
  <c r="S232" i="1"/>
  <c r="S231" i="1"/>
  <c r="S230" i="1"/>
  <c r="S229" i="1"/>
  <c r="S229" i="1" a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 a="1"/>
  <c r="S207" i="1" s="1"/>
  <c r="S206" i="1"/>
  <c r="S205" i="1"/>
  <c r="S204" i="1"/>
  <c r="S203" i="1"/>
  <c r="S202" i="1"/>
  <c r="S201" i="1"/>
  <c r="S200" i="1"/>
  <c r="S199" i="1"/>
  <c r="S198" i="1"/>
  <c r="S197" i="1"/>
  <c r="S196" i="1" a="1"/>
  <c r="S196" i="1" s="1"/>
  <c r="S195" i="1"/>
  <c r="S194" i="1"/>
  <c r="S193" i="1"/>
  <c r="S192" i="1"/>
  <c r="S191" i="1"/>
  <c r="S190" i="1"/>
  <c r="S189" i="1"/>
  <c r="S188" i="1"/>
  <c r="S187" i="1"/>
  <c r="S186" i="1"/>
  <c r="S185" i="1" a="1"/>
  <c r="S185" i="1" s="1"/>
  <c r="S184" i="1"/>
  <c r="S183" i="1"/>
  <c r="S182" i="1"/>
  <c r="S181" i="1"/>
  <c r="S180" i="1"/>
  <c r="S179" i="1" a="1"/>
  <c r="S179" i="1" s="1"/>
  <c r="S178" i="1"/>
  <c r="S177" i="1"/>
  <c r="S176" i="1"/>
  <c r="S175" i="1"/>
  <c r="S174" i="1"/>
  <c r="S173" i="1" a="1"/>
  <c r="S173" i="1" s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1" i="1" a="1"/>
  <c r="S150" i="1"/>
  <c r="S149" i="1"/>
  <c r="S148" i="1"/>
  <c r="S147" i="1"/>
  <c r="S146" i="1"/>
  <c r="S145" i="1"/>
  <c r="S144" i="1"/>
  <c r="S143" i="1"/>
  <c r="S142" i="1"/>
  <c r="S141" i="1"/>
  <c r="S140" i="1"/>
  <c r="S140" i="1" a="1"/>
  <c r="S139" i="1"/>
  <c r="S138" i="1"/>
  <c r="S137" i="1"/>
  <c r="S136" i="1"/>
  <c r="S135" i="1"/>
  <c r="S134" i="1"/>
  <c r="S133" i="1"/>
  <c r="S132" i="1"/>
  <c r="S131" i="1"/>
  <c r="S130" i="1"/>
  <c r="S129" i="1"/>
  <c r="S129" i="1" a="1"/>
  <c r="S128" i="1"/>
  <c r="S127" i="1"/>
  <c r="S126" i="1"/>
  <c r="S125" i="1"/>
  <c r="S124" i="1"/>
  <c r="S123" i="1" a="1"/>
  <c r="S123" i="1" s="1"/>
  <c r="S122" i="1"/>
  <c r="S121" i="1"/>
  <c r="S120" i="1"/>
  <c r="S119" i="1"/>
  <c r="S118" i="1"/>
  <c r="S117" i="1" a="1"/>
  <c r="S117" i="1" s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 a="1"/>
  <c r="S95" i="1" s="1"/>
  <c r="S94" i="1"/>
  <c r="S93" i="1"/>
  <c r="S92" i="1"/>
  <c r="S91" i="1"/>
  <c r="S90" i="1"/>
  <c r="S89" i="1"/>
  <c r="S88" i="1"/>
  <c r="S87" i="1"/>
  <c r="S86" i="1"/>
  <c r="S85" i="1"/>
  <c r="S84" i="1" a="1"/>
  <c r="S84" i="1" s="1"/>
  <c r="S83" i="1"/>
  <c r="S82" i="1"/>
  <c r="S81" i="1"/>
  <c r="S80" i="1"/>
  <c r="S79" i="1"/>
  <c r="S78" i="1"/>
  <c r="S77" i="1"/>
  <c r="S76" i="1"/>
  <c r="S75" i="1"/>
  <c r="S74" i="1"/>
  <c r="S73" i="1" a="1"/>
  <c r="S73" i="1" s="1"/>
  <c r="S72" i="1"/>
  <c r="S71" i="1"/>
  <c r="S70" i="1"/>
  <c r="S69" i="1"/>
  <c r="S68" i="1"/>
  <c r="S67" i="1" a="1"/>
  <c r="S67" i="1" s="1"/>
  <c r="S66" i="1"/>
  <c r="S65" i="1"/>
  <c r="S64" i="1"/>
  <c r="S63" i="1"/>
  <c r="S62" i="1"/>
  <c r="S61" i="1"/>
  <c r="S61" i="1" a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 a="1"/>
  <c r="S39" i="1" s="1"/>
  <c r="S38" i="1"/>
  <c r="S37" i="1"/>
  <c r="S36" i="1"/>
  <c r="S35" i="1"/>
  <c r="S34" i="1"/>
  <c r="S33" i="1"/>
  <c r="S32" i="1"/>
  <c r="S31" i="1"/>
  <c r="S30" i="1"/>
  <c r="S29" i="1"/>
  <c r="S28" i="1" a="1"/>
  <c r="S28" i="1" s="1"/>
  <c r="S27" i="1"/>
  <c r="S26" i="1"/>
  <c r="S25" i="1"/>
  <c r="S24" i="1"/>
  <c r="S23" i="1"/>
  <c r="S22" i="1"/>
  <c r="S21" i="1"/>
  <c r="S20" i="1"/>
  <c r="S19" i="1"/>
  <c r="S18" i="1"/>
  <c r="S17" i="1" a="1"/>
  <c r="S17" i="1" s="1"/>
  <c r="S16" i="1"/>
  <c r="S15" i="1"/>
  <c r="S14" i="1"/>
  <c r="S13" i="1"/>
  <c r="S12" i="1"/>
  <c r="S11" i="1" a="1"/>
  <c r="S11" i="1" s="1"/>
  <c r="S10" i="1"/>
  <c r="S9" i="1"/>
  <c r="S8" i="1"/>
  <c r="S7" i="1"/>
  <c r="S6" i="1"/>
  <c r="S5" i="1" a="1"/>
  <c r="S5" i="1" s="1"/>
  <c r="S4" i="1"/>
  <c r="R350" i="1"/>
  <c r="B17" i="2"/>
  <c r="M8" i="2"/>
  <c r="L8" i="2" a="1"/>
  <c r="L8" i="2" s="1"/>
  <c r="C18" i="2" s="1"/>
  <c r="K8" i="2"/>
  <c r="J8" i="2"/>
  <c r="B18" i="2" s="1"/>
  <c r="H8" i="2"/>
  <c r="R1036" i="1"/>
  <c r="R1027" i="1"/>
  <c r="R1026" i="1"/>
  <c r="R1025" i="1"/>
  <c r="R1024" i="1"/>
  <c r="R1023" i="1"/>
  <c r="R1016" i="1"/>
  <c r="R1015" i="1"/>
  <c r="R1014" i="1"/>
  <c r="R1013" i="1"/>
  <c r="R1012" i="1"/>
  <c r="R1011" i="1"/>
  <c r="R1004" i="1"/>
  <c r="R1003" i="1"/>
  <c r="R1002" i="1"/>
  <c r="R1001" i="1"/>
  <c r="R1000" i="1"/>
  <c r="R999" i="1"/>
  <c r="R992" i="1"/>
  <c r="R991" i="1"/>
  <c r="R990" i="1"/>
  <c r="R989" i="1"/>
  <c r="R988" i="1"/>
  <c r="R987" i="1"/>
  <c r="R980" i="1"/>
  <c r="R979" i="1"/>
  <c r="R978" i="1"/>
  <c r="R977" i="1"/>
  <c r="R976" i="1"/>
  <c r="R968" i="1"/>
  <c r="R967" i="1"/>
  <c r="R966" i="1"/>
  <c r="R965" i="1"/>
  <c r="R964" i="1"/>
  <c r="R963" i="1"/>
  <c r="R956" i="1"/>
  <c r="R955" i="1"/>
  <c r="R954" i="1"/>
  <c r="R953" i="1"/>
  <c r="R951" i="1"/>
  <c r="R950" i="1"/>
  <c r="R944" i="1"/>
  <c r="R943" i="1"/>
  <c r="R942" i="1"/>
  <c r="R941" i="1"/>
  <c r="R939" i="1"/>
  <c r="R932" i="1"/>
  <c r="R931" i="1"/>
  <c r="R930" i="1"/>
  <c r="R929" i="1"/>
  <c r="R928" i="1"/>
  <c r="R927" i="1"/>
  <c r="R926" i="1"/>
  <c r="R920" i="1"/>
  <c r="R919" i="1"/>
  <c r="R918" i="1"/>
  <c r="R917" i="1"/>
  <c r="R915" i="1"/>
  <c r="R914" i="1"/>
  <c r="R908" i="1"/>
  <c r="R907" i="1"/>
  <c r="R906" i="1"/>
  <c r="R905" i="1"/>
  <c r="R904" i="1"/>
  <c r="R903" i="1"/>
  <c r="R902" i="1"/>
  <c r="R896" i="1"/>
  <c r="R895" i="1"/>
  <c r="R894" i="1"/>
  <c r="R893" i="1"/>
  <c r="R892" i="1"/>
  <c r="R891" i="1"/>
  <c r="R890" i="1"/>
  <c r="R884" i="1"/>
  <c r="R883" i="1"/>
  <c r="R882" i="1"/>
  <c r="R881" i="1"/>
  <c r="R880" i="1"/>
  <c r="R879" i="1"/>
  <c r="R872" i="1"/>
  <c r="R871" i="1"/>
  <c r="R870" i="1"/>
  <c r="R869" i="1"/>
  <c r="R866" i="1"/>
  <c r="R865" i="1"/>
  <c r="R860" i="1"/>
  <c r="R859" i="1"/>
  <c r="R858" i="1"/>
  <c r="R857" i="1"/>
  <c r="R855" i="1"/>
  <c r="R854" i="1"/>
  <c r="R853" i="1"/>
  <c r="R848" i="1"/>
  <c r="R847" i="1"/>
  <c r="R846" i="1"/>
  <c r="R845" i="1"/>
  <c r="R844" i="1"/>
  <c r="R842" i="1"/>
  <c r="R841" i="1"/>
  <c r="R836" i="1"/>
  <c r="R835" i="1"/>
  <c r="R834" i="1"/>
  <c r="R833" i="1"/>
  <c r="R831" i="1"/>
  <c r="R830" i="1"/>
  <c r="R829" i="1"/>
  <c r="R828" i="1"/>
  <c r="R822" i="1"/>
  <c r="R821" i="1"/>
  <c r="R820" i="1"/>
  <c r="R819" i="1"/>
  <c r="R817" i="1"/>
  <c r="R816" i="1"/>
  <c r="R810" i="1"/>
  <c r="R809" i="1"/>
  <c r="R808" i="1"/>
  <c r="R807" i="1"/>
  <c r="R806" i="1"/>
  <c r="R805" i="1"/>
  <c r="R804" i="1"/>
  <c r="R798" i="1"/>
  <c r="R797" i="1"/>
  <c r="R796" i="1"/>
  <c r="R795" i="1"/>
  <c r="R794" i="1"/>
  <c r="R793" i="1"/>
  <c r="R792" i="1"/>
  <c r="R786" i="1"/>
  <c r="R785" i="1"/>
  <c r="R784" i="1"/>
  <c r="R783" i="1"/>
  <c r="R782" i="1"/>
  <c r="R781" i="1"/>
  <c r="R774" i="1"/>
  <c r="R773" i="1"/>
  <c r="R772" i="1"/>
  <c r="R771" i="1"/>
  <c r="R769" i="1"/>
  <c r="R768" i="1"/>
  <c r="R762" i="1"/>
  <c r="R761" i="1"/>
  <c r="R760" i="1"/>
  <c r="R759" i="1"/>
  <c r="R757" i="1"/>
  <c r="R756" i="1"/>
  <c r="R750" i="1"/>
  <c r="R749" i="1"/>
  <c r="R748" i="1"/>
  <c r="R747" i="1"/>
  <c r="R746" i="1"/>
  <c r="R745" i="1"/>
  <c r="R744" i="1"/>
  <c r="R743" i="1"/>
  <c r="R738" i="1"/>
  <c r="R737" i="1"/>
  <c r="R736" i="1"/>
  <c r="R735" i="1"/>
  <c r="R734" i="1"/>
  <c r="R733" i="1"/>
  <c r="R732" i="1"/>
  <c r="R731" i="1"/>
  <c r="R726" i="1"/>
  <c r="R725" i="1"/>
  <c r="R724" i="1"/>
  <c r="R723" i="1"/>
  <c r="R721" i="1"/>
  <c r="R714" i="1"/>
  <c r="R713" i="1"/>
  <c r="R712" i="1"/>
  <c r="R711" i="1"/>
  <c r="R710" i="1"/>
  <c r="R709" i="1"/>
  <c r="R708" i="1"/>
  <c r="R707" i="1"/>
  <c r="R701" i="1"/>
  <c r="R700" i="1"/>
  <c r="R699" i="1"/>
  <c r="R698" i="1"/>
  <c r="R697" i="1"/>
  <c r="R696" i="1"/>
  <c r="AJ637" i="1"/>
  <c r="AI637" i="1"/>
  <c r="AJ631" i="1"/>
  <c r="AJ462" i="1"/>
  <c r="AJ350" i="1"/>
  <c r="R692" i="1" a="1"/>
  <c r="R692" i="1" s="1"/>
  <c r="R1038" i="1" s="1" a="1"/>
  <c r="R1038" i="1" s="1"/>
  <c r="R691" i="1"/>
  <c r="R690" i="1"/>
  <c r="R689" i="1"/>
  <c r="R1035" i="1" s="1"/>
  <c r="R688" i="1"/>
  <c r="R1034" i="1" s="1"/>
  <c r="R687" i="1"/>
  <c r="R1033" i="1" s="1"/>
  <c r="R686" i="1" a="1"/>
  <c r="R686" i="1" s="1"/>
  <c r="R685" i="1"/>
  <c r="R1031" i="1" s="1"/>
  <c r="R684" i="1"/>
  <c r="R1030" i="1" s="1"/>
  <c r="R683" i="1"/>
  <c r="R1029" i="1" s="1"/>
  <c r="R682" i="1"/>
  <c r="R1028" i="1" s="1"/>
  <c r="R681" i="1"/>
  <c r="R680" i="1"/>
  <c r="R679" i="1"/>
  <c r="R678" i="1"/>
  <c r="R677" i="1"/>
  <c r="R676" i="1"/>
  <c r="R1022" i="1" s="1"/>
  <c r="R675" i="1"/>
  <c r="R1021" i="1" s="1"/>
  <c r="R674" i="1"/>
  <c r="R1020" i="1" s="1"/>
  <c r="R673" i="1"/>
  <c r="R1019" i="1" s="1"/>
  <c r="R672" i="1"/>
  <c r="R1018" i="1" s="1"/>
  <c r="R671" i="1"/>
  <c r="R1017" i="1" s="1"/>
  <c r="R670" i="1"/>
  <c r="R669" i="1"/>
  <c r="R668" i="1"/>
  <c r="R667" i="1"/>
  <c r="R666" i="1"/>
  <c r="R665" i="1"/>
  <c r="R664" i="1"/>
  <c r="R1010" i="1" s="1"/>
  <c r="R663" i="1"/>
  <c r="R1009" i="1" s="1"/>
  <c r="R662" i="1"/>
  <c r="R1008" i="1" s="1"/>
  <c r="R661" i="1"/>
  <c r="R1007" i="1" s="1"/>
  <c r="R660" i="1"/>
  <c r="R1006" i="1" s="1"/>
  <c r="R659" i="1"/>
  <c r="R1005" i="1" s="1"/>
  <c r="R658" i="1"/>
  <c r="R657" i="1"/>
  <c r="R656" i="1"/>
  <c r="R655" i="1"/>
  <c r="R654" i="1"/>
  <c r="R653" i="1"/>
  <c r="R652" i="1"/>
  <c r="R998" i="1" s="1"/>
  <c r="R651" i="1"/>
  <c r="R997" i="1" s="1"/>
  <c r="R650" i="1"/>
  <c r="R996" i="1" s="1"/>
  <c r="R649" i="1"/>
  <c r="R995" i="1" s="1"/>
  <c r="R648" i="1"/>
  <c r="R994" i="1" s="1"/>
  <c r="R647" i="1"/>
  <c r="R646" i="1"/>
  <c r="R645" i="1"/>
  <c r="R644" i="1"/>
  <c r="R643" i="1"/>
  <c r="R642" i="1"/>
  <c r="R641" i="1"/>
  <c r="R640" i="1"/>
  <c r="R986" i="1" s="1"/>
  <c r="R639" i="1"/>
  <c r="R985" i="1" s="1"/>
  <c r="R638" i="1"/>
  <c r="R984" i="1" s="1"/>
  <c r="R637" i="1"/>
  <c r="R983" i="1" s="1"/>
  <c r="R636" i="1"/>
  <c r="R982" i="1" s="1"/>
  <c r="R635" i="1"/>
  <c r="R981" i="1" s="1"/>
  <c r="R634" i="1"/>
  <c r="R633" i="1"/>
  <c r="R632" i="1"/>
  <c r="R631" i="1"/>
  <c r="R630" i="1"/>
  <c r="AJ630" i="1" s="1"/>
  <c r="R629" i="1"/>
  <c r="R975" i="1" s="1"/>
  <c r="R628" i="1"/>
  <c r="R974" i="1" s="1"/>
  <c r="R627" i="1"/>
  <c r="R973" i="1" s="1"/>
  <c r="R626" i="1"/>
  <c r="R972" i="1" s="1"/>
  <c r="R625" i="1"/>
  <c r="R971" i="1" s="1"/>
  <c r="R624" i="1"/>
  <c r="R970" i="1" s="1"/>
  <c r="R623" i="1"/>
  <c r="R969" i="1" s="1"/>
  <c r="R622" i="1"/>
  <c r="R621" i="1"/>
  <c r="R620" i="1"/>
  <c r="R619" i="1"/>
  <c r="R618" i="1"/>
  <c r="R617" i="1"/>
  <c r="R616" i="1"/>
  <c r="R962" i="1" s="1"/>
  <c r="R615" i="1"/>
  <c r="R961" i="1" s="1"/>
  <c r="R614" i="1"/>
  <c r="R960" i="1" s="1"/>
  <c r="R613" i="1"/>
  <c r="R959" i="1" s="1"/>
  <c r="R612" i="1"/>
  <c r="R958" i="1" s="1"/>
  <c r="R611" i="1"/>
  <c r="R957" i="1" s="1"/>
  <c r="R610" i="1"/>
  <c r="R609" i="1"/>
  <c r="R608" i="1"/>
  <c r="R607" i="1"/>
  <c r="R606" i="1"/>
  <c r="R952" i="1" s="1"/>
  <c r="R605" i="1"/>
  <c r="R604" i="1"/>
  <c r="R603" i="1"/>
  <c r="R949" i="1" s="1"/>
  <c r="R602" i="1"/>
  <c r="R948" i="1" s="1"/>
  <c r="R601" i="1"/>
  <c r="R947" i="1" s="1"/>
  <c r="R600" i="1"/>
  <c r="R946" i="1" s="1"/>
  <c r="R599" i="1"/>
  <c r="R598" i="1"/>
  <c r="R597" i="1"/>
  <c r="R596" i="1"/>
  <c r="R595" i="1"/>
  <c r="R594" i="1"/>
  <c r="R940" i="1" s="1"/>
  <c r="R593" i="1"/>
  <c r="R592" i="1"/>
  <c r="R938" i="1" s="1"/>
  <c r="R591" i="1"/>
  <c r="R937" i="1" s="1"/>
  <c r="R590" i="1"/>
  <c r="R936" i="1" s="1"/>
  <c r="R589" i="1"/>
  <c r="R935" i="1" s="1"/>
  <c r="R588" i="1"/>
  <c r="R934" i="1" s="1"/>
  <c r="R587" i="1"/>
  <c r="R586" i="1"/>
  <c r="R585" i="1"/>
  <c r="R584" i="1"/>
  <c r="R583" i="1"/>
  <c r="R582" i="1"/>
  <c r="AJ581" i="1" s="1"/>
  <c r="R581" i="1"/>
  <c r="R580" i="1"/>
  <c r="R579" i="1"/>
  <c r="R925" i="1" s="1"/>
  <c r="R578" i="1"/>
  <c r="R924" i="1" s="1"/>
  <c r="R577" i="1"/>
  <c r="R923" i="1" s="1"/>
  <c r="R576" i="1"/>
  <c r="R922" i="1" s="1"/>
  <c r="R575" i="1"/>
  <c r="R921" i="1" s="1"/>
  <c r="R574" i="1"/>
  <c r="R573" i="1"/>
  <c r="R572" i="1"/>
  <c r="R571" i="1"/>
  <c r="R570" i="1"/>
  <c r="R916" i="1" s="1"/>
  <c r="R569" i="1"/>
  <c r="R568" i="1"/>
  <c r="R567" i="1"/>
  <c r="R913" i="1" s="1"/>
  <c r="R566" i="1"/>
  <c r="R912" i="1" s="1"/>
  <c r="R565" i="1"/>
  <c r="R911" i="1" s="1"/>
  <c r="R564" i="1"/>
  <c r="R910" i="1" s="1"/>
  <c r="R563" i="1"/>
  <c r="R909" i="1" s="1"/>
  <c r="R562" i="1"/>
  <c r="R561" i="1"/>
  <c r="R560" i="1"/>
  <c r="R559" i="1"/>
  <c r="R558" i="1"/>
  <c r="R557" i="1"/>
  <c r="R556" i="1"/>
  <c r="R555" i="1"/>
  <c r="R901" i="1" s="1"/>
  <c r="R554" i="1"/>
  <c r="R900" i="1" s="1"/>
  <c r="R553" i="1"/>
  <c r="R552" i="1"/>
  <c r="R898" i="1" s="1"/>
  <c r="R551" i="1"/>
  <c r="R897" i="1" s="1"/>
  <c r="R550" i="1"/>
  <c r="R549" i="1"/>
  <c r="R548" i="1"/>
  <c r="R547" i="1"/>
  <c r="R546" i="1"/>
  <c r="R545" i="1"/>
  <c r="R544" i="1"/>
  <c r="R543" i="1"/>
  <c r="R889" i="1" s="1"/>
  <c r="R542" i="1"/>
  <c r="R541" i="1"/>
  <c r="R887" i="1" s="1"/>
  <c r="R540" i="1"/>
  <c r="R886" i="1" s="1"/>
  <c r="R539" i="1"/>
  <c r="R885" i="1" s="1"/>
  <c r="R538" i="1"/>
  <c r="R537" i="1"/>
  <c r="R536" i="1"/>
  <c r="R535" i="1"/>
  <c r="R534" i="1"/>
  <c r="R533" i="1"/>
  <c r="R532" i="1"/>
  <c r="R878" i="1" s="1"/>
  <c r="R531" i="1"/>
  <c r="R530" i="1"/>
  <c r="R876" i="1" s="1"/>
  <c r="R529" i="1"/>
  <c r="R875" i="1" s="1"/>
  <c r="R528" i="1"/>
  <c r="R874" i="1" s="1"/>
  <c r="R527" i="1"/>
  <c r="R873" i="1" s="1"/>
  <c r="R526" i="1"/>
  <c r="R525" i="1"/>
  <c r="R524" i="1"/>
  <c r="R523" i="1"/>
  <c r="R522" i="1"/>
  <c r="R868" i="1" s="1"/>
  <c r="R521" i="1"/>
  <c r="R867" i="1" s="1"/>
  <c r="R520" i="1"/>
  <c r="R519" i="1"/>
  <c r="AJ519" i="1" s="1"/>
  <c r="R518" i="1"/>
  <c r="R864" i="1" s="1"/>
  <c r="R517" i="1"/>
  <c r="R863" i="1" s="1"/>
  <c r="R516" i="1"/>
  <c r="R862" i="1" s="1"/>
  <c r="R515" i="1"/>
  <c r="R861" i="1" s="1"/>
  <c r="R514" i="1"/>
  <c r="R513" i="1"/>
  <c r="R512" i="1"/>
  <c r="R511" i="1"/>
  <c r="R510" i="1"/>
  <c r="R856" i="1" s="1"/>
  <c r="R509" i="1"/>
  <c r="R508" i="1"/>
  <c r="R507" i="1"/>
  <c r="R506" i="1"/>
  <c r="R852" i="1" s="1"/>
  <c r="R505" i="1"/>
  <c r="R851" i="1" s="1"/>
  <c r="R504" i="1"/>
  <c r="R850" i="1" s="1"/>
  <c r="R503" i="1"/>
  <c r="R849" i="1" s="1"/>
  <c r="R502" i="1"/>
  <c r="R501" i="1"/>
  <c r="R500" i="1"/>
  <c r="R499" i="1"/>
  <c r="R498" i="1"/>
  <c r="R497" i="1"/>
  <c r="R843" i="1" s="1"/>
  <c r="R496" i="1"/>
  <c r="R495" i="1"/>
  <c r="R494" i="1"/>
  <c r="R840" i="1" s="1"/>
  <c r="R493" i="1"/>
  <c r="R839" i="1" s="1"/>
  <c r="R492" i="1"/>
  <c r="R838" i="1" s="1"/>
  <c r="R491" i="1"/>
  <c r="R837" i="1" s="1"/>
  <c r="R490" i="1"/>
  <c r="R489" i="1"/>
  <c r="R488" i="1"/>
  <c r="R487" i="1"/>
  <c r="R486" i="1"/>
  <c r="R832" i="1" s="1"/>
  <c r="R484" i="1"/>
  <c r="R483" i="1"/>
  <c r="R482" i="1"/>
  <c r="R481" i="1"/>
  <c r="R827" i="1" s="1"/>
  <c r="R480" i="1"/>
  <c r="R826" i="1" s="1"/>
  <c r="R479" i="1"/>
  <c r="R825" i="1" s="1"/>
  <c r="R478" i="1"/>
  <c r="R824" i="1" s="1"/>
  <c r="R476" i="1"/>
  <c r="R475" i="1"/>
  <c r="R474" i="1"/>
  <c r="R473" i="1"/>
  <c r="R472" i="1"/>
  <c r="R818" i="1" s="1"/>
  <c r="R471" i="1"/>
  <c r="R470" i="1"/>
  <c r="R469" i="1"/>
  <c r="R815" i="1" s="1"/>
  <c r="R468" i="1"/>
  <c r="R814" i="1" s="1"/>
  <c r="R467" i="1"/>
  <c r="R813" i="1" s="1"/>
  <c r="R466" i="1"/>
  <c r="R812" i="1" s="1"/>
  <c r="R465" i="1"/>
  <c r="R811" i="1" s="1"/>
  <c r="R464" i="1"/>
  <c r="R463" i="1"/>
  <c r="R462" i="1"/>
  <c r="R461" i="1"/>
  <c r="R460" i="1"/>
  <c r="R459" i="1"/>
  <c r="R458" i="1"/>
  <c r="R457" i="1"/>
  <c r="R803" i="1" s="1"/>
  <c r="R456" i="1"/>
  <c r="R802" i="1" s="1"/>
  <c r="R455" i="1"/>
  <c r="R801" i="1" s="1"/>
  <c r="R454" i="1"/>
  <c r="R800" i="1" s="1"/>
  <c r="R453" i="1"/>
  <c r="R799" i="1" s="1"/>
  <c r="R452" i="1"/>
  <c r="R451" i="1"/>
  <c r="R450" i="1"/>
  <c r="R449" i="1"/>
  <c r="R448" i="1"/>
  <c r="R447" i="1"/>
  <c r="R446" i="1"/>
  <c r="R445" i="1"/>
  <c r="R791" i="1" s="1"/>
  <c r="R444" i="1"/>
  <c r="R790" i="1" s="1"/>
  <c r="R443" i="1"/>
  <c r="R789" i="1" s="1"/>
  <c r="R442" i="1"/>
  <c r="R788" i="1" s="1"/>
  <c r="R441" i="1"/>
  <c r="R440" i="1"/>
  <c r="R439" i="1"/>
  <c r="R438" i="1"/>
  <c r="R437" i="1"/>
  <c r="R436" i="1"/>
  <c r="R435" i="1"/>
  <c r="R434" i="1"/>
  <c r="R780" i="1" s="1"/>
  <c r="R433" i="1"/>
  <c r="R779" i="1" s="1"/>
  <c r="R432" i="1"/>
  <c r="R778" i="1" s="1"/>
  <c r="R431" i="1"/>
  <c r="R777" i="1" s="1"/>
  <c r="R430" i="1"/>
  <c r="R429" i="1"/>
  <c r="R775" i="1" s="1"/>
  <c r="R428" i="1"/>
  <c r="R427" i="1"/>
  <c r="R426" i="1"/>
  <c r="R425" i="1"/>
  <c r="R424" i="1"/>
  <c r="R770" i="1" s="1"/>
  <c r="R423" i="1"/>
  <c r="R422" i="1"/>
  <c r="R421" i="1"/>
  <c r="R767" i="1" s="1"/>
  <c r="R420" i="1"/>
  <c r="R766" i="1" s="1"/>
  <c r="R419" i="1"/>
  <c r="R418" i="1"/>
  <c r="R764" i="1" s="1"/>
  <c r="R417" i="1"/>
  <c r="R763" i="1" s="1"/>
  <c r="R416" i="1"/>
  <c r="R415" i="1"/>
  <c r="R414" i="1"/>
  <c r="R413" i="1"/>
  <c r="R412" i="1"/>
  <c r="R758" i="1" s="1"/>
  <c r="R411" i="1"/>
  <c r="R410" i="1"/>
  <c r="R409" i="1"/>
  <c r="R755" i="1" s="1"/>
  <c r="R408" i="1"/>
  <c r="R754" i="1" s="1"/>
  <c r="R407" i="1"/>
  <c r="AJ407" i="1" s="1"/>
  <c r="R406" i="1"/>
  <c r="R752" i="1" s="1"/>
  <c r="R405" i="1"/>
  <c r="R751" i="1" s="1"/>
  <c r="R404" i="1"/>
  <c r="R403" i="1"/>
  <c r="R402" i="1"/>
  <c r="R401" i="1"/>
  <c r="R400" i="1"/>
  <c r="R399" i="1"/>
  <c r="R398" i="1"/>
  <c r="R397" i="1"/>
  <c r="R396" i="1"/>
  <c r="R742" i="1" s="1"/>
  <c r="R395" i="1"/>
  <c r="R741" i="1" s="1"/>
  <c r="R394" i="1"/>
  <c r="R740" i="1" s="1"/>
  <c r="R393" i="1"/>
  <c r="R739" i="1" s="1"/>
  <c r="R392" i="1"/>
  <c r="R391" i="1"/>
  <c r="R390" i="1"/>
  <c r="R389" i="1"/>
  <c r="R388" i="1"/>
  <c r="R387" i="1"/>
  <c r="R386" i="1"/>
  <c r="R385" i="1"/>
  <c r="R384" i="1"/>
  <c r="R730" i="1" s="1"/>
  <c r="R383" i="1"/>
  <c r="R729" i="1" s="1"/>
  <c r="R382" i="1"/>
  <c r="R728" i="1" s="1"/>
  <c r="R381" i="1"/>
  <c r="R727" i="1" s="1"/>
  <c r="R380" i="1"/>
  <c r="R379" i="1"/>
  <c r="R378" i="1"/>
  <c r="R377" i="1"/>
  <c r="R376" i="1"/>
  <c r="R722" i="1" s="1"/>
  <c r="R375" i="1"/>
  <c r="R374" i="1"/>
  <c r="R373" i="1"/>
  <c r="R719" i="1" s="1"/>
  <c r="R372" i="1"/>
  <c r="R718" i="1" s="1"/>
  <c r="R371" i="1"/>
  <c r="R717" i="1" s="1"/>
  <c r="R370" i="1"/>
  <c r="R716" i="1" s="1"/>
  <c r="R369" i="1"/>
  <c r="R715" i="1" s="1"/>
  <c r="R368" i="1"/>
  <c r="R367" i="1"/>
  <c r="R366" i="1"/>
  <c r="R365" i="1"/>
  <c r="R364" i="1"/>
  <c r="R363" i="1"/>
  <c r="R362" i="1"/>
  <c r="R361" i="1"/>
  <c r="R359" i="1"/>
  <c r="R705" i="1" s="1"/>
  <c r="R358" i="1"/>
  <c r="R704" i="1" s="1"/>
  <c r="R357" i="1"/>
  <c r="R703" i="1" s="1"/>
  <c r="R356" i="1"/>
  <c r="R702" i="1" s="1"/>
  <c r="R355" i="1"/>
  <c r="R354" i="1"/>
  <c r="R353" i="1"/>
  <c r="R352" i="1"/>
  <c r="R351" i="1"/>
  <c r="R1037" i="1"/>
  <c r="R485" i="1"/>
  <c r="R477" i="1"/>
  <c r="R360" i="1"/>
  <c r="R706" i="1" s="1"/>
  <c r="R346" i="1" a="1"/>
  <c r="R346" i="1" s="1"/>
  <c r="R345" i="1" a="1"/>
  <c r="R345" i="1" s="1"/>
  <c r="R344" i="1" a="1"/>
  <c r="R344" i="1" s="1"/>
  <c r="R343" i="1" a="1"/>
  <c r="R343" i="1" s="1"/>
  <c r="R342" i="1" a="1"/>
  <c r="R342" i="1" s="1"/>
  <c r="R341" i="1" a="1"/>
  <c r="R341" i="1" s="1"/>
  <c r="R340" i="1" a="1"/>
  <c r="R340" i="1" s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 a="1"/>
  <c r="R319" i="1" s="1"/>
  <c r="R318" i="1"/>
  <c r="R317" i="1"/>
  <c r="R316" i="1"/>
  <c r="R315" i="1"/>
  <c r="R314" i="1"/>
  <c r="R313" i="1"/>
  <c r="R312" i="1"/>
  <c r="R311" i="1"/>
  <c r="R310" i="1"/>
  <c r="R309" i="1"/>
  <c r="R308" i="1" a="1"/>
  <c r="R308" i="1" s="1"/>
  <c r="R307" i="1"/>
  <c r="R306" i="1"/>
  <c r="R305" i="1"/>
  <c r="R304" i="1"/>
  <c r="R303" i="1"/>
  <c r="R302" i="1"/>
  <c r="R301" i="1"/>
  <c r="R300" i="1"/>
  <c r="R299" i="1"/>
  <c r="R298" i="1"/>
  <c r="R297" i="1" a="1"/>
  <c r="R297" i="1" s="1"/>
  <c r="R296" i="1"/>
  <c r="R295" i="1"/>
  <c r="R294" i="1"/>
  <c r="R293" i="1"/>
  <c r="R292" i="1"/>
  <c r="R291" i="1" a="1"/>
  <c r="R291" i="1" s="1"/>
  <c r="AJ291" i="1" s="1"/>
  <c r="R290" i="1"/>
  <c r="R289" i="1"/>
  <c r="R288" i="1"/>
  <c r="R287" i="1"/>
  <c r="R286" i="1"/>
  <c r="R285" i="1" a="1"/>
  <c r="R285" i="1" s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 a="1"/>
  <c r="R263" i="1" s="1"/>
  <c r="AJ263" i="1" s="1"/>
  <c r="R262" i="1"/>
  <c r="R261" i="1"/>
  <c r="R260" i="1"/>
  <c r="R259" i="1"/>
  <c r="R258" i="1"/>
  <c r="R257" i="1"/>
  <c r="R256" i="1"/>
  <c r="R255" i="1"/>
  <c r="R254" i="1"/>
  <c r="R253" i="1"/>
  <c r="R252" i="1" a="1"/>
  <c r="R252" i="1" s="1"/>
  <c r="AJ252" i="1" s="1"/>
  <c r="R251" i="1"/>
  <c r="R250" i="1"/>
  <c r="R249" i="1"/>
  <c r="R248" i="1"/>
  <c r="R247" i="1"/>
  <c r="R246" i="1"/>
  <c r="R245" i="1"/>
  <c r="R244" i="1"/>
  <c r="R243" i="1"/>
  <c r="R242" i="1"/>
  <c r="R241" i="1" a="1"/>
  <c r="R241" i="1" s="1"/>
  <c r="AJ241" i="1" s="1"/>
  <c r="R240" i="1"/>
  <c r="R239" i="1"/>
  <c r="R238" i="1"/>
  <c r="R237" i="1"/>
  <c r="R236" i="1"/>
  <c r="R235" i="1" a="1"/>
  <c r="R235" i="1" s="1"/>
  <c r="AJ235" i="1" s="1"/>
  <c r="R234" i="1"/>
  <c r="R233" i="1"/>
  <c r="R232" i="1"/>
  <c r="R231" i="1"/>
  <c r="R230" i="1"/>
  <c r="R229" i="1" a="1"/>
  <c r="R229" i="1" s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 a="1"/>
  <c r="R207" i="1" s="1"/>
  <c r="AJ207" i="1" s="1"/>
  <c r="R206" i="1"/>
  <c r="R205" i="1"/>
  <c r="R204" i="1"/>
  <c r="R203" i="1"/>
  <c r="R202" i="1"/>
  <c r="R201" i="1"/>
  <c r="R200" i="1"/>
  <c r="R199" i="1"/>
  <c r="R198" i="1"/>
  <c r="R197" i="1"/>
  <c r="R196" i="1" a="1"/>
  <c r="R196" i="1" s="1"/>
  <c r="R195" i="1"/>
  <c r="R194" i="1"/>
  <c r="R193" i="1"/>
  <c r="R192" i="1"/>
  <c r="R191" i="1"/>
  <c r="R190" i="1"/>
  <c r="R189" i="1"/>
  <c r="R188" i="1"/>
  <c r="R187" i="1"/>
  <c r="R186" i="1"/>
  <c r="R185" i="1" a="1"/>
  <c r="R185" i="1" s="1"/>
  <c r="R184" i="1"/>
  <c r="R183" i="1"/>
  <c r="R182" i="1"/>
  <c r="R181" i="1"/>
  <c r="R180" i="1"/>
  <c r="R179" i="1" a="1"/>
  <c r="R179" i="1" s="1"/>
  <c r="R178" i="1"/>
  <c r="R177" i="1"/>
  <c r="R176" i="1"/>
  <c r="R175" i="1"/>
  <c r="R174" i="1"/>
  <c r="R173" i="1" a="1"/>
  <c r="R173" i="1" s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 a="1"/>
  <c r="R151" i="1" s="1"/>
  <c r="AJ151" i="1" s="1"/>
  <c r="R150" i="1"/>
  <c r="R149" i="1"/>
  <c r="R148" i="1"/>
  <c r="R147" i="1"/>
  <c r="R146" i="1"/>
  <c r="R145" i="1"/>
  <c r="R144" i="1"/>
  <c r="R143" i="1"/>
  <c r="R142" i="1"/>
  <c r="R141" i="1"/>
  <c r="R140" i="1" a="1"/>
  <c r="R140" i="1" s="1"/>
  <c r="R139" i="1"/>
  <c r="R138" i="1"/>
  <c r="R137" i="1"/>
  <c r="R136" i="1"/>
  <c r="R135" i="1"/>
  <c r="R134" i="1"/>
  <c r="R133" i="1"/>
  <c r="R132" i="1"/>
  <c r="R131" i="1"/>
  <c r="R130" i="1"/>
  <c r="R129" i="1" a="1"/>
  <c r="R129" i="1" s="1"/>
  <c r="R128" i="1"/>
  <c r="R127" i="1"/>
  <c r="R126" i="1"/>
  <c r="R125" i="1"/>
  <c r="R124" i="1"/>
  <c r="R123" i="1" a="1"/>
  <c r="R123" i="1" s="1"/>
  <c r="R122" i="1"/>
  <c r="R121" i="1"/>
  <c r="R120" i="1"/>
  <c r="R119" i="1"/>
  <c r="R118" i="1"/>
  <c r="R117" i="1" a="1"/>
  <c r="R117" i="1" s="1"/>
  <c r="AJ117" i="1" s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 a="1"/>
  <c r="R95" i="1" s="1"/>
  <c r="R94" i="1"/>
  <c r="R93" i="1"/>
  <c r="R92" i="1"/>
  <c r="R91" i="1"/>
  <c r="R90" i="1"/>
  <c r="R89" i="1"/>
  <c r="R88" i="1"/>
  <c r="R87" i="1"/>
  <c r="R86" i="1"/>
  <c r="R85" i="1"/>
  <c r="R84" i="1" a="1"/>
  <c r="R84" i="1" s="1"/>
  <c r="R83" i="1"/>
  <c r="R82" i="1"/>
  <c r="R81" i="1"/>
  <c r="R80" i="1"/>
  <c r="R79" i="1"/>
  <c r="R78" i="1"/>
  <c r="R77" i="1"/>
  <c r="R76" i="1"/>
  <c r="R75" i="1"/>
  <c r="R74" i="1"/>
  <c r="R73" i="1" a="1"/>
  <c r="R73" i="1" s="1"/>
  <c r="R72" i="1"/>
  <c r="R71" i="1"/>
  <c r="R70" i="1"/>
  <c r="R69" i="1"/>
  <c r="R68" i="1"/>
  <c r="R67" i="1" a="1"/>
  <c r="R67" i="1" s="1"/>
  <c r="AJ67" i="1" s="1"/>
  <c r="R66" i="1"/>
  <c r="R65" i="1"/>
  <c r="R64" i="1"/>
  <c r="R63" i="1"/>
  <c r="R62" i="1"/>
  <c r="R61" i="1" a="1"/>
  <c r="R61" i="1" s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 a="1"/>
  <c r="R39" i="1" s="1"/>
  <c r="AJ39" i="1" s="1"/>
  <c r="R38" i="1"/>
  <c r="R37" i="1"/>
  <c r="R36" i="1"/>
  <c r="R35" i="1"/>
  <c r="R34" i="1"/>
  <c r="R33" i="1"/>
  <c r="R32" i="1"/>
  <c r="R31" i="1"/>
  <c r="R30" i="1"/>
  <c r="R29" i="1"/>
  <c r="R28" i="1" a="1"/>
  <c r="R28" i="1" s="1"/>
  <c r="AJ28" i="1" s="1"/>
  <c r="R27" i="1"/>
  <c r="R26" i="1"/>
  <c r="R25" i="1"/>
  <c r="R24" i="1"/>
  <c r="R23" i="1"/>
  <c r="R22" i="1"/>
  <c r="R21" i="1"/>
  <c r="R20" i="1"/>
  <c r="R19" i="1"/>
  <c r="R18" i="1"/>
  <c r="R17" i="1" a="1"/>
  <c r="R17" i="1" s="1"/>
  <c r="AJ17" i="1" s="1"/>
  <c r="R16" i="1"/>
  <c r="R15" i="1"/>
  <c r="R14" i="1"/>
  <c r="R13" i="1"/>
  <c r="R12" i="1"/>
  <c r="R11" i="1" a="1"/>
  <c r="R11" i="1" s="1"/>
  <c r="AJ11" i="1" s="1"/>
  <c r="R10" i="1"/>
  <c r="R9" i="1"/>
  <c r="R8" i="1"/>
  <c r="R7" i="1"/>
  <c r="R6" i="1"/>
  <c r="R5" i="1" a="1"/>
  <c r="R5" i="1" s="1"/>
  <c r="AJ5" i="1" s="1"/>
  <c r="R4" i="1"/>
  <c r="M13" i="2"/>
  <c r="M18" i="2"/>
  <c r="M23" i="2"/>
  <c r="L13" i="2" a="1"/>
  <c r="L13" i="2" s="1"/>
  <c r="C17" i="2" s="1"/>
  <c r="K13" i="2"/>
  <c r="J13" i="2"/>
  <c r="H13" i="2"/>
  <c r="Q1035" i="1"/>
  <c r="Q1034" i="1"/>
  <c r="Q1033" i="1"/>
  <c r="Q1015" i="1"/>
  <c r="Q1011" i="1"/>
  <c r="Q1010" i="1"/>
  <c r="Q1009" i="1"/>
  <c r="Q1008" i="1"/>
  <c r="Q1007" i="1"/>
  <c r="Q991" i="1"/>
  <c r="Q985" i="1"/>
  <c r="Q974" i="1"/>
  <c r="Q973" i="1"/>
  <c r="Q972" i="1"/>
  <c r="Q971" i="1"/>
  <c r="Q961" i="1"/>
  <c r="Q954" i="1"/>
  <c r="Q950" i="1"/>
  <c r="Q930" i="1"/>
  <c r="Q926" i="1"/>
  <c r="Q925" i="1"/>
  <c r="Q924" i="1"/>
  <c r="Q923" i="1"/>
  <c r="Q913" i="1"/>
  <c r="Q902" i="1"/>
  <c r="Q901" i="1"/>
  <c r="Q889" i="1"/>
  <c r="Q882" i="1"/>
  <c r="Q878" i="1"/>
  <c r="Q864" i="1"/>
  <c r="Q863" i="1"/>
  <c r="Q853" i="1"/>
  <c r="Q832" i="1"/>
  <c r="Q828" i="1"/>
  <c r="Q827" i="1"/>
  <c r="Q826" i="1"/>
  <c r="Q824" i="1"/>
  <c r="Q815" i="1"/>
  <c r="Q791" i="1"/>
  <c r="Q784" i="1"/>
  <c r="Q780" i="1"/>
  <c r="Q779" i="1"/>
  <c r="Q778" i="1"/>
  <c r="Q756" i="1"/>
  <c r="Q755" i="1"/>
  <c r="Q743" i="1"/>
  <c r="Q731" i="1"/>
  <c r="Q711" i="1"/>
  <c r="Q707" i="1"/>
  <c r="Q706" i="1"/>
  <c r="Q692" i="1" a="1"/>
  <c r="Q692" i="1" s="1"/>
  <c r="Q1038" i="1" s="1" a="1"/>
  <c r="Q1038" i="1" s="1"/>
  <c r="Q691" i="1"/>
  <c r="Q690" i="1"/>
  <c r="Q1036" i="1" s="1"/>
  <c r="Q689" i="1"/>
  <c r="Q688" i="1"/>
  <c r="Q687" i="1"/>
  <c r="Q686" i="1" a="1"/>
  <c r="Q686" i="1" s="1"/>
  <c r="Q1032" i="1" s="1" a="1"/>
  <c r="Q1032" i="1" s="1"/>
  <c r="Q685" i="1"/>
  <c r="Q1031" i="1" s="1"/>
  <c r="Q684" i="1"/>
  <c r="Q1030" i="1" s="1"/>
  <c r="Q683" i="1"/>
  <c r="Q1029" i="1" s="1"/>
  <c r="Q682" i="1"/>
  <c r="Q681" i="1"/>
  <c r="Q1027" i="1" s="1"/>
  <c r="Q680" i="1"/>
  <c r="Q1026" i="1" s="1"/>
  <c r="Q679" i="1"/>
  <c r="Q1025" i="1" s="1"/>
  <c r="Q678" i="1"/>
  <c r="Q1024" i="1" s="1"/>
  <c r="Q677" i="1"/>
  <c r="Q1023" i="1" s="1"/>
  <c r="Q676" i="1"/>
  <c r="Q1022" i="1" s="1"/>
  <c r="Q675" i="1"/>
  <c r="Q1021" i="1" s="1"/>
  <c r="Q674" i="1"/>
  <c r="Q1020" i="1" s="1"/>
  <c r="Q673" i="1"/>
  <c r="Q1019" i="1" s="1"/>
  <c r="Q672" i="1"/>
  <c r="Q1018" i="1" s="1"/>
  <c r="Q671" i="1"/>
  <c r="Q1017" i="1" s="1"/>
  <c r="Q670" i="1"/>
  <c r="Q1016" i="1" s="1"/>
  <c r="Q669" i="1"/>
  <c r="Q668" i="1"/>
  <c r="Q1014" i="1" s="1"/>
  <c r="Q667" i="1"/>
  <c r="Q1013" i="1" s="1"/>
  <c r="Q666" i="1"/>
  <c r="Q1012" i="1" s="1"/>
  <c r="Q665" i="1"/>
  <c r="Q664" i="1"/>
  <c r="Q663" i="1"/>
  <c r="Q662" i="1"/>
  <c r="Q661" i="1"/>
  <c r="Q660" i="1"/>
  <c r="Q1006" i="1" s="1"/>
  <c r="Q659" i="1"/>
  <c r="Q1005" i="1" s="1"/>
  <c r="Q658" i="1"/>
  <c r="Q1004" i="1" s="1"/>
  <c r="Q657" i="1"/>
  <c r="Q1003" i="1" s="1"/>
  <c r="Q656" i="1"/>
  <c r="Q1002" i="1" s="1"/>
  <c r="Q655" i="1"/>
  <c r="Q1001" i="1" s="1"/>
  <c r="Q654" i="1"/>
  <c r="Q1000" i="1" s="1"/>
  <c r="Q653" i="1"/>
  <c r="Q999" i="1" s="1"/>
  <c r="Q652" i="1"/>
  <c r="Q998" i="1" s="1"/>
  <c r="Q651" i="1"/>
  <c r="Q997" i="1" s="1"/>
  <c r="Q650" i="1"/>
  <c r="Q996" i="1" s="1"/>
  <c r="Q649" i="1"/>
  <c r="Q995" i="1" s="1"/>
  <c r="Q648" i="1"/>
  <c r="Q994" i="1" s="1"/>
  <c r="Q647" i="1"/>
  <c r="Q993" i="1" s="1"/>
  <c r="Q646" i="1"/>
  <c r="Q992" i="1" s="1"/>
  <c r="Q645" i="1"/>
  <c r="Q644" i="1"/>
  <c r="Q990" i="1" s="1"/>
  <c r="Q643" i="1"/>
  <c r="Q989" i="1" s="1"/>
  <c r="Q642" i="1"/>
  <c r="Q988" i="1" s="1"/>
  <c r="Q641" i="1"/>
  <c r="Q987" i="1" s="1"/>
  <c r="Q640" i="1"/>
  <c r="Q986" i="1" s="1"/>
  <c r="Q639" i="1"/>
  <c r="Q638" i="1"/>
  <c r="Q984" i="1" s="1"/>
  <c r="Q637" i="1"/>
  <c r="Q983" i="1" s="1"/>
  <c r="Q636" i="1"/>
  <c r="Q982" i="1" s="1"/>
  <c r="Q635" i="1"/>
  <c r="Q981" i="1" s="1"/>
  <c r="Q634" i="1"/>
  <c r="Q980" i="1" s="1"/>
  <c r="Q633" i="1"/>
  <c r="Q979" i="1" s="1"/>
  <c r="Q632" i="1"/>
  <c r="Q978" i="1" s="1"/>
  <c r="Q631" i="1"/>
  <c r="Q977" i="1" s="1"/>
  <c r="Q630" i="1"/>
  <c r="Q976" i="1" s="1"/>
  <c r="Q629" i="1"/>
  <c r="Q628" i="1"/>
  <c r="Q627" i="1"/>
  <c r="Q626" i="1"/>
  <c r="Q625" i="1"/>
  <c r="Q624" i="1"/>
  <c r="Q970" i="1" s="1"/>
  <c r="Q623" i="1"/>
  <c r="Q969" i="1" s="1"/>
  <c r="Q622" i="1"/>
  <c r="Q968" i="1" s="1"/>
  <c r="Q621" i="1"/>
  <c r="Q967" i="1" s="1"/>
  <c r="Q620" i="1"/>
  <c r="Q966" i="1" s="1"/>
  <c r="Q619" i="1"/>
  <c r="Q965" i="1" s="1"/>
  <c r="Q618" i="1"/>
  <c r="Q964" i="1" s="1"/>
  <c r="Q617" i="1"/>
  <c r="Q963" i="1" s="1"/>
  <c r="Q616" i="1"/>
  <c r="Q962" i="1" s="1"/>
  <c r="Q615" i="1"/>
  <c r="Q614" i="1"/>
  <c r="Q960" i="1" s="1"/>
  <c r="Q613" i="1"/>
  <c r="Q959" i="1" s="1"/>
  <c r="Q612" i="1"/>
  <c r="Q958" i="1" s="1"/>
  <c r="Q611" i="1"/>
  <c r="Q957" i="1" s="1"/>
  <c r="Q610" i="1"/>
  <c r="Q956" i="1" s="1"/>
  <c r="Q609" i="1"/>
  <c r="Q608" i="1"/>
  <c r="Q607" i="1"/>
  <c r="Q953" i="1" s="1"/>
  <c r="Q606" i="1"/>
  <c r="Q952" i="1" s="1"/>
  <c r="Q605" i="1"/>
  <c r="Q951" i="1" s="1"/>
  <c r="Q604" i="1"/>
  <c r="Q603" i="1"/>
  <c r="Q949" i="1" s="1"/>
  <c r="Q602" i="1"/>
  <c r="Q948" i="1" s="1"/>
  <c r="Q601" i="1"/>
  <c r="Q947" i="1" s="1"/>
  <c r="Q600" i="1"/>
  <c r="Q946" i="1" s="1"/>
  <c r="Q599" i="1"/>
  <c r="Q945" i="1" s="1"/>
  <c r="Q598" i="1"/>
  <c r="Q597" i="1"/>
  <c r="Q943" i="1" s="1"/>
  <c r="Q596" i="1"/>
  <c r="Q942" i="1" s="1"/>
  <c r="Q595" i="1"/>
  <c r="Q941" i="1" s="1"/>
  <c r="Q594" i="1"/>
  <c r="Q940" i="1" s="1"/>
  <c r="Q593" i="1"/>
  <c r="Q939" i="1" s="1"/>
  <c r="Q592" i="1"/>
  <c r="Q938" i="1" s="1"/>
  <c r="Q591" i="1"/>
  <c r="Q937" i="1" s="1"/>
  <c r="Q590" i="1"/>
  <c r="Q936" i="1" s="1"/>
  <c r="Q589" i="1"/>
  <c r="Q935" i="1" s="1"/>
  <c r="Q588" i="1"/>
  <c r="Q934" i="1" s="1"/>
  <c r="Q587" i="1"/>
  <c r="Q933" i="1" s="1"/>
  <c r="Q586" i="1"/>
  <c r="Q932" i="1" s="1"/>
  <c r="Q585" i="1"/>
  <c r="Q931" i="1" s="1"/>
  <c r="Q584" i="1"/>
  <c r="Q583" i="1"/>
  <c r="Q929" i="1" s="1"/>
  <c r="Q582" i="1"/>
  <c r="Q928" i="1" s="1"/>
  <c r="Q581" i="1"/>
  <c r="Q927" i="1" s="1"/>
  <c r="Q580" i="1"/>
  <c r="Q579" i="1"/>
  <c r="Q578" i="1"/>
  <c r="Q577" i="1"/>
  <c r="Q576" i="1"/>
  <c r="Q922" i="1" s="1"/>
  <c r="Q575" i="1"/>
  <c r="Q921" i="1" s="1"/>
  <c r="Q574" i="1"/>
  <c r="Q573" i="1"/>
  <c r="Q919" i="1" s="1"/>
  <c r="Q572" i="1"/>
  <c r="Q918" i="1" s="1"/>
  <c r="Q571" i="1"/>
  <c r="Q917" i="1" s="1"/>
  <c r="Q570" i="1"/>
  <c r="Q916" i="1" s="1"/>
  <c r="Q569" i="1"/>
  <c r="Q915" i="1" s="1"/>
  <c r="Q568" i="1"/>
  <c r="Q914" i="1" s="1"/>
  <c r="Q567" i="1"/>
  <c r="Q566" i="1"/>
  <c r="Q912" i="1" s="1"/>
  <c r="Q565" i="1"/>
  <c r="Q911" i="1" s="1"/>
  <c r="Q564" i="1"/>
  <c r="Q910" i="1" s="1"/>
  <c r="Q563" i="1"/>
  <c r="Q909" i="1" s="1"/>
  <c r="Q562" i="1"/>
  <c r="Q908" i="1" s="1"/>
  <c r="Q561" i="1"/>
  <c r="Q907" i="1" s="1"/>
  <c r="Q560" i="1"/>
  <c r="Q906" i="1" s="1"/>
  <c r="Q559" i="1"/>
  <c r="Q905" i="1" s="1"/>
  <c r="Q558" i="1"/>
  <c r="Q904" i="1" s="1"/>
  <c r="Q557" i="1"/>
  <c r="Q903" i="1" s="1"/>
  <c r="Q556" i="1"/>
  <c r="Q555" i="1"/>
  <c r="Q554" i="1"/>
  <c r="Q900" i="1" s="1"/>
  <c r="Q553" i="1"/>
  <c r="Q552" i="1"/>
  <c r="Q898" i="1" s="1"/>
  <c r="Q551" i="1"/>
  <c r="Q897" i="1" s="1"/>
  <c r="Q550" i="1"/>
  <c r="Q896" i="1" s="1"/>
  <c r="Q549" i="1"/>
  <c r="Q895" i="1" s="1"/>
  <c r="Q548" i="1"/>
  <c r="Q894" i="1" s="1"/>
  <c r="Q547" i="1"/>
  <c r="Q893" i="1" s="1"/>
  <c r="Q546" i="1"/>
  <c r="Q892" i="1" s="1"/>
  <c r="Q545" i="1"/>
  <c r="Q891" i="1" s="1"/>
  <c r="Q544" i="1"/>
  <c r="Q890" i="1" s="1"/>
  <c r="Q543" i="1"/>
  <c r="Q542" i="1"/>
  <c r="Q888" i="1" s="1"/>
  <c r="Q541" i="1"/>
  <c r="Q887" i="1" s="1"/>
  <c r="Q540" i="1"/>
  <c r="Q886" i="1" s="1"/>
  <c r="Q539" i="1"/>
  <c r="Q885" i="1" s="1"/>
  <c r="Q538" i="1"/>
  <c r="Q884" i="1" s="1"/>
  <c r="Q537" i="1"/>
  <c r="Q883" i="1" s="1"/>
  <c r="Q536" i="1"/>
  <c r="Q535" i="1"/>
  <c r="Q881" i="1" s="1"/>
  <c r="Q534" i="1"/>
  <c r="Q880" i="1" s="1"/>
  <c r="Q533" i="1"/>
  <c r="Q879" i="1" s="1"/>
  <c r="Q532" i="1"/>
  <c r="Q531" i="1"/>
  <c r="Q877" i="1" s="1"/>
  <c r="Q530" i="1"/>
  <c r="Q876" i="1" s="1"/>
  <c r="Q529" i="1"/>
  <c r="Q875" i="1" s="1"/>
  <c r="Q528" i="1"/>
  <c r="Q874" i="1" s="1"/>
  <c r="Q527" i="1"/>
  <c r="Q873" i="1" s="1"/>
  <c r="Q526" i="1"/>
  <c r="Q872" i="1" s="1"/>
  <c r="Q525" i="1"/>
  <c r="Q871" i="1" s="1"/>
  <c r="Q524" i="1"/>
  <c r="Q870" i="1" s="1"/>
  <c r="Q523" i="1"/>
  <c r="Q869" i="1" s="1"/>
  <c r="Q522" i="1"/>
  <c r="Q868" i="1" s="1"/>
  <c r="Q521" i="1"/>
  <c r="Q520" i="1"/>
  <c r="Q866" i="1" s="1"/>
  <c r="Q519" i="1"/>
  <c r="Q865" i="1" s="1"/>
  <c r="Q518" i="1"/>
  <c r="Q517" i="1"/>
  <c r="Q516" i="1"/>
  <c r="Q862" i="1" s="1"/>
  <c r="Q515" i="1"/>
  <c r="Q861" i="1" s="1"/>
  <c r="Q514" i="1"/>
  <c r="Q860" i="1" s="1"/>
  <c r="Q513" i="1"/>
  <c r="Q859" i="1" s="1"/>
  <c r="Q512" i="1"/>
  <c r="Q858" i="1" s="1"/>
  <c r="Q511" i="1"/>
  <c r="Q857" i="1" s="1"/>
  <c r="Q510" i="1"/>
  <c r="Q856" i="1" s="1"/>
  <c r="Q509" i="1"/>
  <c r="Q855" i="1" s="1"/>
  <c r="Q508" i="1"/>
  <c r="Q854" i="1" s="1"/>
  <c r="Q507" i="1"/>
  <c r="Q506" i="1"/>
  <c r="Q852" i="1" s="1"/>
  <c r="Q505" i="1"/>
  <c r="Q851" i="1" s="1"/>
  <c r="Q504" i="1"/>
  <c r="Q850" i="1" s="1"/>
  <c r="Q503" i="1"/>
  <c r="Q849" i="1" s="1"/>
  <c r="Q502" i="1"/>
  <c r="Q848" i="1" s="1"/>
  <c r="Q501" i="1"/>
  <c r="Q847" i="1" s="1"/>
  <c r="Q500" i="1"/>
  <c r="Q846" i="1" s="1"/>
  <c r="Q499" i="1"/>
  <c r="Q845" i="1" s="1"/>
  <c r="Q498" i="1"/>
  <c r="Q844" i="1" s="1"/>
  <c r="Q497" i="1"/>
  <c r="Q496" i="1"/>
  <c r="Q842" i="1" s="1"/>
  <c r="Q495" i="1"/>
  <c r="Q841" i="1" s="1"/>
  <c r="Q494" i="1"/>
  <c r="Q840" i="1" s="1"/>
  <c r="Q493" i="1"/>
  <c r="Q839" i="1" s="1"/>
  <c r="Q492" i="1"/>
  <c r="Q838" i="1" s="1"/>
  <c r="Q491" i="1"/>
  <c r="Q837" i="1" s="1"/>
  <c r="Q490" i="1"/>
  <c r="Q836" i="1" s="1"/>
  <c r="Q489" i="1"/>
  <c r="Q835" i="1" s="1"/>
  <c r="Q488" i="1"/>
  <c r="Q834" i="1" s="1"/>
  <c r="Q487" i="1"/>
  <c r="Q833" i="1" s="1"/>
  <c r="Q486" i="1"/>
  <c r="AI486" i="1" s="1"/>
  <c r="Q484" i="1"/>
  <c r="Q830" i="1" s="1"/>
  <c r="Q483" i="1"/>
  <c r="Q829" i="1" s="1"/>
  <c r="Q482" i="1"/>
  <c r="Q481" i="1"/>
  <c r="Q480" i="1"/>
  <c r="Q479" i="1"/>
  <c r="Q825" i="1" s="1"/>
  <c r="Q478" i="1"/>
  <c r="Q476" i="1"/>
  <c r="Q822" i="1" s="1"/>
  <c r="Q475" i="1"/>
  <c r="Q821" i="1" s="1"/>
  <c r="Q474" i="1"/>
  <c r="Q820" i="1" s="1"/>
  <c r="Q473" i="1"/>
  <c r="Q819" i="1" s="1"/>
  <c r="Q472" i="1"/>
  <c r="Q818" i="1" s="1"/>
  <c r="Q471" i="1"/>
  <c r="Q817" i="1" s="1"/>
  <c r="Q470" i="1"/>
  <c r="Q816" i="1" s="1"/>
  <c r="Q469" i="1"/>
  <c r="Q468" i="1"/>
  <c r="Q814" i="1" s="1"/>
  <c r="Q467" i="1"/>
  <c r="Q813" i="1" s="1"/>
  <c r="Q466" i="1"/>
  <c r="Q812" i="1" s="1"/>
  <c r="Q465" i="1"/>
  <c r="Q811" i="1" s="1"/>
  <c r="Q464" i="1"/>
  <c r="Q810" i="1" s="1"/>
  <c r="Q463" i="1"/>
  <c r="Q809" i="1" s="1"/>
  <c r="Q462" i="1"/>
  <c r="Q461" i="1"/>
  <c r="Q807" i="1" s="1"/>
  <c r="Q460" i="1"/>
  <c r="Q806" i="1" s="1"/>
  <c r="Q459" i="1"/>
  <c r="Q805" i="1" s="1"/>
  <c r="Q458" i="1"/>
  <c r="Q804" i="1" s="1"/>
  <c r="Q457" i="1"/>
  <c r="Q803" i="1" s="1"/>
  <c r="Q456" i="1"/>
  <c r="Q802" i="1" s="1"/>
  <c r="Q455" i="1"/>
  <c r="Q801" i="1" s="1"/>
  <c r="Q454" i="1"/>
  <c r="Q800" i="1" s="1"/>
  <c r="Q453" i="1"/>
  <c r="Q799" i="1" s="1"/>
  <c r="Q452" i="1"/>
  <c r="Q798" i="1" s="1"/>
  <c r="Q451" i="1"/>
  <c r="Q797" i="1" s="1"/>
  <c r="Q450" i="1"/>
  <c r="Q796" i="1" s="1"/>
  <c r="Q449" i="1"/>
  <c r="Q795" i="1" s="1"/>
  <c r="Q448" i="1"/>
  <c r="Q794" i="1" s="1"/>
  <c r="Q447" i="1"/>
  <c r="Q793" i="1" s="1"/>
  <c r="Q446" i="1"/>
  <c r="Q792" i="1" s="1"/>
  <c r="Q445" i="1"/>
  <c r="Q444" i="1"/>
  <c r="Q790" i="1" s="1"/>
  <c r="Q443" i="1"/>
  <c r="Q789" i="1" s="1"/>
  <c r="Q442" i="1"/>
  <c r="Q788" i="1" s="1"/>
  <c r="Q441" i="1"/>
  <c r="Q440" i="1"/>
  <c r="Q786" i="1" s="1"/>
  <c r="Q439" i="1"/>
  <c r="Q785" i="1" s="1"/>
  <c r="Q438" i="1"/>
  <c r="Q437" i="1"/>
  <c r="Q783" i="1" s="1"/>
  <c r="Q436" i="1"/>
  <c r="Q782" i="1" s="1"/>
  <c r="Q435" i="1"/>
  <c r="Q781" i="1" s="1"/>
  <c r="Q434" i="1"/>
  <c r="Q433" i="1"/>
  <c r="Q432" i="1"/>
  <c r="Q431" i="1"/>
  <c r="Q777" i="1" s="1"/>
  <c r="Q430" i="1"/>
  <c r="Q776" i="1" s="1"/>
  <c r="Q429" i="1"/>
  <c r="Q775" i="1" s="1"/>
  <c r="Q428" i="1"/>
  <c r="Q774" i="1" s="1"/>
  <c r="Q427" i="1"/>
  <c r="Q773" i="1" s="1"/>
  <c r="Q426" i="1"/>
  <c r="Q772" i="1" s="1"/>
  <c r="Q425" i="1"/>
  <c r="Q771" i="1" s="1"/>
  <c r="Q424" i="1"/>
  <c r="Q770" i="1" s="1"/>
  <c r="Q423" i="1"/>
  <c r="Q769" i="1" s="1"/>
  <c r="Q422" i="1"/>
  <c r="Q768" i="1" s="1"/>
  <c r="Q421" i="1"/>
  <c r="Q767" i="1" s="1"/>
  <c r="Q420" i="1"/>
  <c r="Q766" i="1" s="1"/>
  <c r="Q419" i="1"/>
  <c r="Q765" i="1" s="1"/>
  <c r="Q418" i="1"/>
  <c r="Q764" i="1" s="1"/>
  <c r="Q417" i="1"/>
  <c r="Q763" i="1" s="1"/>
  <c r="Q416" i="1"/>
  <c r="Q762" i="1" s="1"/>
  <c r="Q415" i="1"/>
  <c r="Q761" i="1" s="1"/>
  <c r="Q414" i="1"/>
  <c r="Q760" i="1" s="1"/>
  <c r="Q413" i="1"/>
  <c r="Q759" i="1" s="1"/>
  <c r="Q412" i="1"/>
  <c r="Q758" i="1" s="1"/>
  <c r="Q411" i="1"/>
  <c r="Q757" i="1" s="1"/>
  <c r="Q410" i="1"/>
  <c r="Q409" i="1"/>
  <c r="Q408" i="1"/>
  <c r="Q754" i="1" s="1"/>
  <c r="Q407" i="1"/>
  <c r="AI407" i="1" s="1"/>
  <c r="Q406" i="1"/>
  <c r="Q405" i="1"/>
  <c r="Q751" i="1" s="1"/>
  <c r="Q404" i="1"/>
  <c r="Q750" i="1" s="1"/>
  <c r="Q403" i="1"/>
  <c r="Q749" i="1" s="1"/>
  <c r="Q402" i="1"/>
  <c r="Q748" i="1" s="1"/>
  <c r="Q401" i="1"/>
  <c r="Q747" i="1" s="1"/>
  <c r="Q400" i="1"/>
  <c r="Q746" i="1" s="1"/>
  <c r="Q399" i="1"/>
  <c r="Q745" i="1" s="1"/>
  <c r="Q398" i="1"/>
  <c r="Q744" i="1" s="1"/>
  <c r="Q397" i="1"/>
  <c r="Q396" i="1"/>
  <c r="Q742" i="1" s="1"/>
  <c r="Q395" i="1"/>
  <c r="Q741" i="1" s="1"/>
  <c r="Q394" i="1"/>
  <c r="Q740" i="1" s="1"/>
  <c r="Q393" i="1"/>
  <c r="Q739" i="1" s="1"/>
  <c r="Q392" i="1"/>
  <c r="Q738" i="1" s="1"/>
  <c r="Q391" i="1"/>
  <c r="Q737" i="1" s="1"/>
  <c r="Q390" i="1"/>
  <c r="Q736" i="1" s="1"/>
  <c r="Q389" i="1"/>
  <c r="Q735" i="1" s="1"/>
  <c r="Q388" i="1"/>
  <c r="Q734" i="1" s="1"/>
  <c r="Q387" i="1"/>
  <c r="Q733" i="1" s="1"/>
  <c r="Q386" i="1"/>
  <c r="Q732" i="1" s="1"/>
  <c r="Q385" i="1"/>
  <c r="Q384" i="1"/>
  <c r="Q730" i="1" s="1"/>
  <c r="Q383" i="1"/>
  <c r="Q729" i="1" s="1"/>
  <c r="Q382" i="1"/>
  <c r="Q728" i="1" s="1"/>
  <c r="Q381" i="1"/>
  <c r="Q727" i="1" s="1"/>
  <c r="Q380" i="1"/>
  <c r="Q726" i="1" s="1"/>
  <c r="Q379" i="1"/>
  <c r="Q725" i="1" s="1"/>
  <c r="Q378" i="1"/>
  <c r="Q724" i="1" s="1"/>
  <c r="Q377" i="1"/>
  <c r="Q723" i="1" s="1"/>
  <c r="Q376" i="1"/>
  <c r="Q722" i="1" s="1"/>
  <c r="Q375" i="1"/>
  <c r="Q721" i="1" s="1"/>
  <c r="Q374" i="1"/>
  <c r="Q720" i="1" s="1"/>
  <c r="Q373" i="1"/>
  <c r="Q719" i="1" s="1"/>
  <c r="Q372" i="1"/>
  <c r="Q718" i="1" s="1"/>
  <c r="Q371" i="1"/>
  <c r="Q717" i="1" s="1"/>
  <c r="Q370" i="1"/>
  <c r="Q716" i="1" s="1"/>
  <c r="Q369" i="1"/>
  <c r="Q715" i="1" s="1"/>
  <c r="Q368" i="1"/>
  <c r="Q714" i="1" s="1"/>
  <c r="Q367" i="1"/>
  <c r="Q713" i="1" s="1"/>
  <c r="Q366" i="1"/>
  <c r="Q712" i="1" s="1"/>
  <c r="Q365" i="1"/>
  <c r="Q364" i="1"/>
  <c r="Q710" i="1" s="1"/>
  <c r="Q363" i="1"/>
  <c r="Q709" i="1" s="1"/>
  <c r="Q362" i="1"/>
  <c r="Q708" i="1" s="1"/>
  <c r="Q361" i="1"/>
  <c r="Q359" i="1"/>
  <c r="Q705" i="1" s="1"/>
  <c r="Q358" i="1"/>
  <c r="Q704" i="1" s="1"/>
  <c r="Q357" i="1"/>
  <c r="Q703" i="1" s="1"/>
  <c r="Q356" i="1"/>
  <c r="Q702" i="1" s="1"/>
  <c r="Q355" i="1"/>
  <c r="Q701" i="1" s="1"/>
  <c r="Q354" i="1"/>
  <c r="Q700" i="1" s="1"/>
  <c r="Q353" i="1"/>
  <c r="Q699" i="1" s="1"/>
  <c r="Q352" i="1"/>
  <c r="Q698" i="1" s="1"/>
  <c r="Q351" i="1"/>
  <c r="Q697" i="1" s="1"/>
  <c r="Q350" i="1"/>
  <c r="Q696" i="1" s="1"/>
  <c r="Q485" i="1"/>
  <c r="Q831" i="1" s="1"/>
  <c r="Q477" i="1"/>
  <c r="Q823" i="1" s="1"/>
  <c r="Q360" i="1"/>
  <c r="AK692" i="1" l="1"/>
  <c r="AK691" i="1"/>
  <c r="AK690" i="1"/>
  <c r="AK689" i="1"/>
  <c r="AK688" i="1"/>
  <c r="AK687" i="1"/>
  <c r="AJ690" i="1"/>
  <c r="AJ172" i="1"/>
  <c r="AJ285" i="1"/>
  <c r="AJ179" i="1"/>
  <c r="AJ95" i="1"/>
  <c r="AJ319" i="1"/>
  <c r="AJ61" i="1"/>
  <c r="AJ340" i="1"/>
  <c r="AJ173" i="1"/>
  <c r="AJ229" i="1"/>
  <c r="AJ116" i="1"/>
  <c r="AJ686" i="1"/>
  <c r="R1032" i="1" a="1"/>
  <c r="R1032" i="1" s="1"/>
  <c r="AJ441" i="1"/>
  <c r="R787" i="1"/>
  <c r="AJ598" i="1"/>
  <c r="R945" i="1"/>
  <c r="AJ525" i="1"/>
  <c r="AI518" i="1"/>
  <c r="R888" i="1"/>
  <c r="AJ542" i="1"/>
  <c r="AJ463" i="1"/>
  <c r="AI654" i="1"/>
  <c r="AI385" i="1"/>
  <c r="AJ308" i="1"/>
  <c r="R823" i="1"/>
  <c r="AJ475" i="1"/>
  <c r="AJ385" i="1"/>
  <c r="R877" i="1"/>
  <c r="AJ531" i="1"/>
  <c r="AI469" i="1"/>
  <c r="Q752" i="1"/>
  <c r="AI406" i="1"/>
  <c r="AJ140" i="1"/>
  <c r="R765" i="1"/>
  <c r="AJ419" i="1"/>
  <c r="AI357" i="1"/>
  <c r="AJ60" i="1"/>
  <c r="R753" i="1"/>
  <c r="AJ357" i="1"/>
  <c r="AJ574" i="1"/>
  <c r="AI363" i="1"/>
  <c r="AI575" i="1"/>
  <c r="AJ84" i="1"/>
  <c r="AJ374" i="1"/>
  <c r="AI374" i="1"/>
  <c r="AJ469" i="1"/>
  <c r="AJ575" i="1"/>
  <c r="Q920" i="1"/>
  <c r="AI574" i="1"/>
  <c r="AI419" i="1"/>
  <c r="R933" i="1"/>
  <c r="AJ587" i="1"/>
  <c r="AI430" i="1"/>
  <c r="R776" i="1"/>
  <c r="AJ430" i="1"/>
  <c r="AJ351" i="1"/>
  <c r="AI531" i="1"/>
  <c r="AI553" i="1"/>
  <c r="AJ553" i="1"/>
  <c r="R899" i="1"/>
  <c r="AI463" i="1"/>
  <c r="AI542" i="1"/>
  <c r="AI643" i="1"/>
  <c r="AI497" i="1"/>
  <c r="AI665" i="1"/>
  <c r="Q899" i="1"/>
  <c r="AJ73" i="1"/>
  <c r="AJ297" i="1"/>
  <c r="AJ363" i="1"/>
  <c r="AJ665" i="1"/>
  <c r="AJ406" i="1"/>
  <c r="AI475" i="1"/>
  <c r="AJ284" i="1"/>
  <c r="AJ486" i="1"/>
  <c r="AJ654" i="1"/>
  <c r="AJ123" i="1"/>
  <c r="AJ4" i="1"/>
  <c r="AJ518" i="1"/>
  <c r="AI587" i="1"/>
  <c r="R720" i="1"/>
  <c r="AI462" i="1"/>
  <c r="Q808" i="1"/>
  <c r="AJ196" i="1"/>
  <c r="AI413" i="1"/>
  <c r="AI519" i="1"/>
  <c r="Q944" i="1"/>
  <c r="AI598" i="1"/>
  <c r="AI525" i="1"/>
  <c r="Q787" i="1"/>
  <c r="AI441" i="1"/>
  <c r="AJ228" i="1"/>
  <c r="R993" i="1"/>
  <c r="AJ643" i="1"/>
  <c r="AI351" i="1"/>
  <c r="AJ129" i="1"/>
  <c r="AI581" i="1"/>
  <c r="Q955" i="1"/>
  <c r="AI609" i="1"/>
  <c r="AJ185" i="1"/>
  <c r="AJ609" i="1"/>
  <c r="AJ413" i="1"/>
  <c r="AI631" i="1"/>
  <c r="AJ497" i="1"/>
  <c r="AI350" i="1"/>
  <c r="AI630" i="1"/>
  <c r="N8" i="2"/>
  <c r="E18" i="2" s="1"/>
  <c r="O8" i="2"/>
  <c r="D18" i="2" s="1"/>
  <c r="AI691" i="1"/>
  <c r="AI690" i="1"/>
  <c r="AI692" i="1"/>
  <c r="O13" i="2"/>
  <c r="D17" i="2" s="1"/>
  <c r="AI686" i="1"/>
  <c r="AJ688" i="1"/>
  <c r="AI689" i="1"/>
  <c r="AJ689" i="1"/>
  <c r="AJ691" i="1"/>
  <c r="AJ692" i="1"/>
  <c r="AI687" i="1"/>
  <c r="AJ687" i="1"/>
  <c r="AI688" i="1"/>
  <c r="N13" i="2"/>
  <c r="E17" i="2" s="1"/>
  <c r="P4" i="1"/>
  <c r="Q346" i="1" a="1"/>
  <c r="Q346" i="1" s="1"/>
  <c r="Q345" i="1" a="1"/>
  <c r="Q345" i="1" s="1"/>
  <c r="Q344" i="1" a="1"/>
  <c r="Q344" i="1" s="1"/>
  <c r="Q343" i="1" a="1"/>
  <c r="Q343" i="1" s="1"/>
  <c r="Q342" i="1" a="1"/>
  <c r="Q342" i="1" s="1"/>
  <c r="Q341" i="1" a="1"/>
  <c r="Q341" i="1" s="1"/>
  <c r="Q340" i="1" a="1"/>
  <c r="Q340" i="1" s="1"/>
  <c r="AI340" i="1" s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 a="1"/>
  <c r="Q319" i="1" s="1"/>
  <c r="Q318" i="1"/>
  <c r="Q317" i="1"/>
  <c r="Q316" i="1"/>
  <c r="Q315" i="1"/>
  <c r="Q314" i="1"/>
  <c r="Q313" i="1"/>
  <c r="Q312" i="1"/>
  <c r="Q311" i="1"/>
  <c r="Q310" i="1"/>
  <c r="Q309" i="1"/>
  <c r="Q308" i="1" a="1"/>
  <c r="Q308" i="1" s="1"/>
  <c r="Q307" i="1"/>
  <c r="Q306" i="1"/>
  <c r="Q305" i="1"/>
  <c r="Q304" i="1"/>
  <c r="Q303" i="1"/>
  <c r="Q302" i="1"/>
  <c r="Q301" i="1"/>
  <c r="Q300" i="1"/>
  <c r="Q299" i="1"/>
  <c r="Q298" i="1"/>
  <c r="Q297" i="1" a="1"/>
  <c r="Q297" i="1" s="1"/>
  <c r="Q296" i="1"/>
  <c r="Q295" i="1"/>
  <c r="Q294" i="1"/>
  <c r="Q293" i="1"/>
  <c r="Q292" i="1"/>
  <c r="Q291" i="1" a="1"/>
  <c r="Q291" i="1" s="1"/>
  <c r="AI291" i="1" s="1"/>
  <c r="Q290" i="1"/>
  <c r="Q289" i="1"/>
  <c r="Q288" i="1"/>
  <c r="Q287" i="1"/>
  <c r="Q286" i="1"/>
  <c r="Q285" i="1" a="1"/>
  <c r="Q285" i="1" s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 a="1"/>
  <c r="Q263" i="1" s="1"/>
  <c r="Q262" i="1"/>
  <c r="Q261" i="1"/>
  <c r="Q260" i="1"/>
  <c r="Q259" i="1"/>
  <c r="Q258" i="1"/>
  <c r="Q257" i="1"/>
  <c r="Q256" i="1"/>
  <c r="Q255" i="1"/>
  <c r="Q254" i="1"/>
  <c r="Q253" i="1"/>
  <c r="Q252" i="1" a="1"/>
  <c r="Q252" i="1" s="1"/>
  <c r="Q251" i="1"/>
  <c r="Q250" i="1"/>
  <c r="Q249" i="1"/>
  <c r="Q248" i="1"/>
  <c r="Q247" i="1"/>
  <c r="Q246" i="1"/>
  <c r="Q245" i="1"/>
  <c r="Q244" i="1"/>
  <c r="Q243" i="1"/>
  <c r="Q242" i="1"/>
  <c r="Q241" i="1" a="1"/>
  <c r="Q241" i="1" s="1"/>
  <c r="Q240" i="1"/>
  <c r="Q239" i="1"/>
  <c r="Q238" i="1"/>
  <c r="Q237" i="1"/>
  <c r="Q236" i="1"/>
  <c r="Q235" i="1" a="1"/>
  <c r="Q235" i="1" s="1"/>
  <c r="Q234" i="1"/>
  <c r="Q233" i="1"/>
  <c r="Q232" i="1"/>
  <c r="Q231" i="1"/>
  <c r="Q230" i="1"/>
  <c r="Q229" i="1" a="1"/>
  <c r="Q229" i="1" s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 a="1"/>
  <c r="Q207" i="1" s="1"/>
  <c r="AI207" i="1" s="1"/>
  <c r="Q206" i="1"/>
  <c r="Q205" i="1"/>
  <c r="Q204" i="1"/>
  <c r="Q203" i="1"/>
  <c r="Q202" i="1"/>
  <c r="Q201" i="1"/>
  <c r="Q200" i="1"/>
  <c r="Q199" i="1"/>
  <c r="Q198" i="1"/>
  <c r="Q197" i="1"/>
  <c r="Q196" i="1" a="1"/>
  <c r="Q196" i="1" s="1"/>
  <c r="AI196" i="1" s="1"/>
  <c r="Q195" i="1"/>
  <c r="Q194" i="1"/>
  <c r="Q193" i="1"/>
  <c r="Q192" i="1"/>
  <c r="Q191" i="1"/>
  <c r="Q190" i="1"/>
  <c r="Q189" i="1"/>
  <c r="Q188" i="1"/>
  <c r="Q187" i="1"/>
  <c r="Q186" i="1"/>
  <c r="Q185" i="1" a="1"/>
  <c r="Q185" i="1" s="1"/>
  <c r="Q184" i="1"/>
  <c r="Q183" i="1"/>
  <c r="Q182" i="1"/>
  <c r="Q181" i="1"/>
  <c r="Q180" i="1"/>
  <c r="Q179" i="1" a="1"/>
  <c r="Q179" i="1" s="1"/>
  <c r="Q178" i="1"/>
  <c r="Q177" i="1"/>
  <c r="Q176" i="1"/>
  <c r="Q175" i="1"/>
  <c r="Q174" i="1"/>
  <c r="Q173" i="1" a="1"/>
  <c r="Q173" i="1" s="1"/>
  <c r="AI173" i="1" s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 a="1"/>
  <c r="Q151" i="1" s="1"/>
  <c r="Q150" i="1"/>
  <c r="Q149" i="1"/>
  <c r="Q148" i="1"/>
  <c r="Q147" i="1"/>
  <c r="Q146" i="1"/>
  <c r="Q145" i="1"/>
  <c r="Q144" i="1"/>
  <c r="Q143" i="1"/>
  <c r="Q142" i="1"/>
  <c r="Q141" i="1"/>
  <c r="Q140" i="1" a="1"/>
  <c r="Q140" i="1" s="1"/>
  <c r="Q139" i="1"/>
  <c r="Q138" i="1"/>
  <c r="Q137" i="1"/>
  <c r="Q136" i="1"/>
  <c r="Q135" i="1"/>
  <c r="Q134" i="1"/>
  <c r="Q133" i="1"/>
  <c r="Q132" i="1"/>
  <c r="Q131" i="1"/>
  <c r="Q130" i="1"/>
  <c r="Q129" i="1" a="1"/>
  <c r="Q129" i="1" s="1"/>
  <c r="Q128" i="1"/>
  <c r="Q127" i="1"/>
  <c r="Q126" i="1"/>
  <c r="Q125" i="1"/>
  <c r="Q124" i="1"/>
  <c r="Q123" i="1" a="1"/>
  <c r="Q123" i="1" s="1"/>
  <c r="AI123" i="1" s="1"/>
  <c r="Q122" i="1"/>
  <c r="Q121" i="1"/>
  <c r="Q120" i="1"/>
  <c r="Q119" i="1"/>
  <c r="Q118" i="1"/>
  <c r="Q117" i="1" a="1"/>
  <c r="Q117" i="1" s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 a="1"/>
  <c r="Q95" i="1" s="1"/>
  <c r="Q94" i="1"/>
  <c r="Q93" i="1"/>
  <c r="Q92" i="1"/>
  <c r="Q91" i="1"/>
  <c r="Q90" i="1"/>
  <c r="Q89" i="1"/>
  <c r="Q88" i="1"/>
  <c r="Q87" i="1"/>
  <c r="Q86" i="1"/>
  <c r="Q85" i="1"/>
  <c r="Q84" i="1" a="1"/>
  <c r="Q84" i="1" s="1"/>
  <c r="Q83" i="1"/>
  <c r="Q82" i="1"/>
  <c r="Q81" i="1"/>
  <c r="Q80" i="1"/>
  <c r="Q79" i="1"/>
  <c r="Q78" i="1"/>
  <c r="Q77" i="1"/>
  <c r="Q76" i="1"/>
  <c r="Q75" i="1"/>
  <c r="Q74" i="1"/>
  <c r="Q73" i="1" a="1"/>
  <c r="Q73" i="1" s="1"/>
  <c r="Q72" i="1"/>
  <c r="Q71" i="1"/>
  <c r="Q70" i="1"/>
  <c r="Q69" i="1"/>
  <c r="Q68" i="1"/>
  <c r="Q67" i="1" a="1"/>
  <c r="Q67" i="1" s="1"/>
  <c r="Q66" i="1"/>
  <c r="Q65" i="1"/>
  <c r="Q64" i="1"/>
  <c r="Q63" i="1"/>
  <c r="Q62" i="1"/>
  <c r="Q61" i="1" a="1"/>
  <c r="Q61" i="1" s="1"/>
  <c r="Q60" i="1"/>
  <c r="Q39" i="1" a="1"/>
  <c r="Q39" i="1" s="1"/>
  <c r="Q28" i="1" a="1"/>
  <c r="Q28" i="1" s="1"/>
  <c r="Q17" i="1" a="1"/>
  <c r="Q17" i="1" s="1"/>
  <c r="Q11" i="1" a="1"/>
  <c r="Q11" i="1" s="1"/>
  <c r="Q5" i="1" a="1"/>
  <c r="Q5" i="1" s="1"/>
  <c r="Q1037" i="1"/>
  <c r="Q1028" i="1"/>
  <c r="Q975" i="1"/>
  <c r="Q867" i="1"/>
  <c r="Q843" i="1"/>
  <c r="Q753" i="1"/>
  <c r="L18" i="2" a="1"/>
  <c r="L18" i="2" s="1"/>
  <c r="C16" i="2" s="1"/>
  <c r="L23" i="2" a="1"/>
  <c r="L23" i="2" s="1"/>
  <c r="H18" i="2"/>
  <c r="K18" i="2"/>
  <c r="J18" i="2"/>
  <c r="B16" i="2" s="1"/>
  <c r="P1011" i="1"/>
  <c r="P999" i="1"/>
  <c r="P987" i="1"/>
  <c r="P891" i="1"/>
  <c r="P862" i="1"/>
  <c r="P830" i="1"/>
  <c r="P817" i="1"/>
  <c r="P793" i="1"/>
  <c r="P787" i="1"/>
  <c r="P867" i="1"/>
  <c r="P843" i="1"/>
  <c r="P692" i="1" a="1"/>
  <c r="P692" i="1" s="1"/>
  <c r="P1038" i="1" s="1" a="1"/>
  <c r="P1038" i="1" s="1"/>
  <c r="P691" i="1"/>
  <c r="P1037" i="1" s="1"/>
  <c r="P690" i="1"/>
  <c r="P1036" i="1" s="1"/>
  <c r="P689" i="1"/>
  <c r="P1035" i="1" s="1"/>
  <c r="P688" i="1"/>
  <c r="P1034" i="1" s="1"/>
  <c r="P687" i="1"/>
  <c r="P1033" i="1" s="1"/>
  <c r="P686" i="1" a="1"/>
  <c r="P686" i="1" s="1"/>
  <c r="P1032" i="1" s="1" a="1"/>
  <c r="P1032" i="1" s="1"/>
  <c r="P685" i="1"/>
  <c r="P1031" i="1" s="1"/>
  <c r="P684" i="1"/>
  <c r="P1030" i="1" s="1"/>
  <c r="P683" i="1"/>
  <c r="P1029" i="1" s="1"/>
  <c r="P682" i="1"/>
  <c r="P1028" i="1" s="1"/>
  <c r="P681" i="1"/>
  <c r="P1027" i="1" s="1"/>
  <c r="P680" i="1"/>
  <c r="P1026" i="1" s="1"/>
  <c r="P679" i="1"/>
  <c r="P1025" i="1" s="1"/>
  <c r="P678" i="1"/>
  <c r="P1024" i="1" s="1"/>
  <c r="P677" i="1"/>
  <c r="P1023" i="1" s="1"/>
  <c r="P676" i="1"/>
  <c r="P1022" i="1" s="1"/>
  <c r="P675" i="1"/>
  <c r="P1021" i="1" s="1"/>
  <c r="P674" i="1"/>
  <c r="P1020" i="1" s="1"/>
  <c r="P673" i="1"/>
  <c r="P1019" i="1" s="1"/>
  <c r="P672" i="1"/>
  <c r="P1018" i="1" s="1"/>
  <c r="P671" i="1"/>
  <c r="P1017" i="1" s="1"/>
  <c r="P670" i="1"/>
  <c r="P1016" i="1" s="1"/>
  <c r="P669" i="1"/>
  <c r="P1015" i="1" s="1"/>
  <c r="P668" i="1"/>
  <c r="P667" i="1"/>
  <c r="P1013" i="1" s="1"/>
  <c r="P666" i="1"/>
  <c r="P1012" i="1" s="1"/>
  <c r="P665" i="1"/>
  <c r="P664" i="1"/>
  <c r="P1010" i="1" s="1"/>
  <c r="P663" i="1"/>
  <c r="P1009" i="1" s="1"/>
  <c r="P662" i="1"/>
  <c r="P1008" i="1" s="1"/>
  <c r="P661" i="1"/>
  <c r="P1007" i="1" s="1"/>
  <c r="P660" i="1"/>
  <c r="P1006" i="1" s="1"/>
  <c r="P659" i="1"/>
  <c r="P1005" i="1" s="1"/>
  <c r="P658" i="1"/>
  <c r="P1004" i="1" s="1"/>
  <c r="P657" i="1"/>
  <c r="P1003" i="1" s="1"/>
  <c r="P656" i="1"/>
  <c r="P655" i="1"/>
  <c r="P1001" i="1" s="1"/>
  <c r="P654" i="1"/>
  <c r="P1000" i="1" s="1"/>
  <c r="P653" i="1"/>
  <c r="P652" i="1"/>
  <c r="P998" i="1" s="1"/>
  <c r="P651" i="1"/>
  <c r="P997" i="1" s="1"/>
  <c r="P650" i="1"/>
  <c r="P996" i="1" s="1"/>
  <c r="P649" i="1"/>
  <c r="P995" i="1" s="1"/>
  <c r="P648" i="1"/>
  <c r="P994" i="1" s="1"/>
  <c r="P647" i="1"/>
  <c r="P993" i="1" s="1"/>
  <c r="P646" i="1"/>
  <c r="P992" i="1" s="1"/>
  <c r="P645" i="1"/>
  <c r="P991" i="1" s="1"/>
  <c r="P644" i="1"/>
  <c r="P643" i="1"/>
  <c r="P989" i="1" s="1"/>
  <c r="P642" i="1"/>
  <c r="P988" i="1" s="1"/>
  <c r="P641" i="1"/>
  <c r="P640" i="1"/>
  <c r="P986" i="1" s="1"/>
  <c r="P639" i="1"/>
  <c r="P985" i="1" s="1"/>
  <c r="P638" i="1"/>
  <c r="P984" i="1" s="1"/>
  <c r="P637" i="1"/>
  <c r="P983" i="1" s="1"/>
  <c r="P636" i="1"/>
  <c r="P982" i="1" s="1"/>
  <c r="P635" i="1"/>
  <c r="P981" i="1" s="1"/>
  <c r="P634" i="1"/>
  <c r="P980" i="1" s="1"/>
  <c r="P633" i="1"/>
  <c r="P979" i="1" s="1"/>
  <c r="P632" i="1"/>
  <c r="P631" i="1"/>
  <c r="P977" i="1" s="1"/>
  <c r="P630" i="1"/>
  <c r="P976" i="1" s="1"/>
  <c r="P629" i="1"/>
  <c r="P975" i="1" s="1"/>
  <c r="P628" i="1"/>
  <c r="P974" i="1" s="1"/>
  <c r="P627" i="1"/>
  <c r="P973" i="1" s="1"/>
  <c r="P626" i="1"/>
  <c r="P972" i="1" s="1"/>
  <c r="P625" i="1"/>
  <c r="P971" i="1" s="1"/>
  <c r="P624" i="1"/>
  <c r="P970" i="1" s="1"/>
  <c r="P623" i="1"/>
  <c r="P969" i="1" s="1"/>
  <c r="P622" i="1"/>
  <c r="P968" i="1" s="1"/>
  <c r="P621" i="1"/>
  <c r="P967" i="1" s="1"/>
  <c r="P620" i="1"/>
  <c r="P966" i="1" s="1"/>
  <c r="P619" i="1"/>
  <c r="P965" i="1" s="1"/>
  <c r="P618" i="1"/>
  <c r="P964" i="1" s="1"/>
  <c r="P617" i="1"/>
  <c r="P963" i="1" s="1"/>
  <c r="P616" i="1"/>
  <c r="P962" i="1" s="1"/>
  <c r="P615" i="1"/>
  <c r="P961" i="1" s="1"/>
  <c r="P614" i="1"/>
  <c r="P960" i="1" s="1"/>
  <c r="P613" i="1"/>
  <c r="P959" i="1" s="1"/>
  <c r="P612" i="1"/>
  <c r="P958" i="1" s="1"/>
  <c r="P611" i="1"/>
  <c r="P957" i="1" s="1"/>
  <c r="P610" i="1"/>
  <c r="P956" i="1" s="1"/>
  <c r="P609" i="1"/>
  <c r="P608" i="1"/>
  <c r="P954" i="1" s="1"/>
  <c r="P607" i="1"/>
  <c r="P953" i="1" s="1"/>
  <c r="P606" i="1"/>
  <c r="P952" i="1" s="1"/>
  <c r="P605" i="1"/>
  <c r="P951" i="1" s="1"/>
  <c r="P604" i="1"/>
  <c r="P950" i="1" s="1"/>
  <c r="P603" i="1"/>
  <c r="P949" i="1" s="1"/>
  <c r="P602" i="1"/>
  <c r="P948" i="1" s="1"/>
  <c r="P601" i="1"/>
  <c r="P947" i="1" s="1"/>
  <c r="P600" i="1"/>
  <c r="P946" i="1" s="1"/>
  <c r="P599" i="1"/>
  <c r="P945" i="1" s="1"/>
  <c r="P598" i="1"/>
  <c r="P597" i="1"/>
  <c r="P943" i="1" s="1"/>
  <c r="P596" i="1"/>
  <c r="P942" i="1" s="1"/>
  <c r="P595" i="1"/>
  <c r="P941" i="1" s="1"/>
  <c r="P594" i="1"/>
  <c r="P940" i="1" s="1"/>
  <c r="P593" i="1"/>
  <c r="P939" i="1" s="1"/>
  <c r="P592" i="1"/>
  <c r="P938" i="1" s="1"/>
  <c r="P591" i="1"/>
  <c r="P937" i="1" s="1"/>
  <c r="P590" i="1"/>
  <c r="P936" i="1" s="1"/>
  <c r="P589" i="1"/>
  <c r="P935" i="1" s="1"/>
  <c r="P588" i="1"/>
  <c r="P934" i="1" s="1"/>
  <c r="P587" i="1"/>
  <c r="P933" i="1" s="1"/>
  <c r="P586" i="1"/>
  <c r="P932" i="1" s="1"/>
  <c r="P585" i="1"/>
  <c r="P931" i="1" s="1"/>
  <c r="P584" i="1"/>
  <c r="P930" i="1" s="1"/>
  <c r="P583" i="1"/>
  <c r="P929" i="1" s="1"/>
  <c r="P582" i="1"/>
  <c r="P928" i="1" s="1"/>
  <c r="P581" i="1"/>
  <c r="P580" i="1"/>
  <c r="P926" i="1" s="1"/>
  <c r="P579" i="1"/>
  <c r="P925" i="1" s="1"/>
  <c r="P578" i="1"/>
  <c r="P924" i="1" s="1"/>
  <c r="P577" i="1"/>
  <c r="P923" i="1" s="1"/>
  <c r="P576" i="1"/>
  <c r="P922" i="1" s="1"/>
  <c r="P575" i="1"/>
  <c r="P921" i="1" s="1"/>
  <c r="P574" i="1"/>
  <c r="P920" i="1" s="1"/>
  <c r="P573" i="1"/>
  <c r="P919" i="1" s="1"/>
  <c r="P572" i="1"/>
  <c r="P918" i="1" s="1"/>
  <c r="P571" i="1"/>
  <c r="P917" i="1" s="1"/>
  <c r="P570" i="1"/>
  <c r="P916" i="1" s="1"/>
  <c r="P569" i="1"/>
  <c r="P915" i="1" s="1"/>
  <c r="P568" i="1"/>
  <c r="P914" i="1" s="1"/>
  <c r="P567" i="1"/>
  <c r="P913" i="1" s="1"/>
  <c r="P566" i="1"/>
  <c r="P912" i="1" s="1"/>
  <c r="P565" i="1"/>
  <c r="P911" i="1" s="1"/>
  <c r="P564" i="1"/>
  <c r="P910" i="1" s="1"/>
  <c r="P563" i="1"/>
  <c r="P909" i="1" s="1"/>
  <c r="P562" i="1"/>
  <c r="P908" i="1" s="1"/>
  <c r="P561" i="1"/>
  <c r="P907" i="1" s="1"/>
  <c r="P560" i="1"/>
  <c r="P906" i="1" s="1"/>
  <c r="P559" i="1"/>
  <c r="P905" i="1" s="1"/>
  <c r="P558" i="1"/>
  <c r="P904" i="1" s="1"/>
  <c r="P557" i="1"/>
  <c r="P903" i="1" s="1"/>
  <c r="P556" i="1"/>
  <c r="P902" i="1" s="1"/>
  <c r="P555" i="1"/>
  <c r="P901" i="1" s="1"/>
  <c r="P554" i="1"/>
  <c r="P900" i="1" s="1"/>
  <c r="P553" i="1"/>
  <c r="P899" i="1" s="1"/>
  <c r="P552" i="1"/>
  <c r="P898" i="1" s="1"/>
  <c r="P551" i="1"/>
  <c r="P897" i="1" s="1"/>
  <c r="P550" i="1"/>
  <c r="P896" i="1" s="1"/>
  <c r="P549" i="1"/>
  <c r="P895" i="1" s="1"/>
  <c r="P548" i="1"/>
  <c r="P894" i="1" s="1"/>
  <c r="P547" i="1"/>
  <c r="P893" i="1" s="1"/>
  <c r="P546" i="1"/>
  <c r="P892" i="1" s="1"/>
  <c r="P545" i="1"/>
  <c r="P544" i="1"/>
  <c r="P890" i="1" s="1"/>
  <c r="P543" i="1"/>
  <c r="P889" i="1" s="1"/>
  <c r="P542" i="1"/>
  <c r="P541" i="1"/>
  <c r="P887" i="1" s="1"/>
  <c r="P540" i="1"/>
  <c r="P886" i="1" s="1"/>
  <c r="P539" i="1"/>
  <c r="P885" i="1" s="1"/>
  <c r="P538" i="1"/>
  <c r="P884" i="1" s="1"/>
  <c r="P537" i="1"/>
  <c r="P883" i="1" s="1"/>
  <c r="P536" i="1"/>
  <c r="P882" i="1" s="1"/>
  <c r="P535" i="1"/>
  <c r="P881" i="1" s="1"/>
  <c r="P534" i="1"/>
  <c r="P880" i="1" s="1"/>
  <c r="P533" i="1"/>
  <c r="P879" i="1" s="1"/>
  <c r="P532" i="1"/>
  <c r="P878" i="1" s="1"/>
  <c r="P531" i="1"/>
  <c r="P530" i="1"/>
  <c r="P876" i="1" s="1"/>
  <c r="P529" i="1"/>
  <c r="P875" i="1" s="1"/>
  <c r="P528" i="1"/>
  <c r="P874" i="1" s="1"/>
  <c r="P527" i="1"/>
  <c r="P873" i="1" s="1"/>
  <c r="P526" i="1"/>
  <c r="P872" i="1" s="1"/>
  <c r="P525" i="1"/>
  <c r="AH525" i="1" s="1"/>
  <c r="P524" i="1"/>
  <c r="P870" i="1" s="1"/>
  <c r="P523" i="1"/>
  <c r="P869" i="1" s="1"/>
  <c r="P522" i="1"/>
  <c r="P868" i="1" s="1"/>
  <c r="P521" i="1"/>
  <c r="P520" i="1"/>
  <c r="P866" i="1" s="1"/>
  <c r="P519" i="1"/>
  <c r="P865" i="1" s="1"/>
  <c r="P518" i="1"/>
  <c r="P864" i="1" s="1"/>
  <c r="P517" i="1"/>
  <c r="P863" i="1" s="1"/>
  <c r="P516" i="1"/>
  <c r="P515" i="1"/>
  <c r="P861" i="1" s="1"/>
  <c r="P514" i="1"/>
  <c r="P860" i="1" s="1"/>
  <c r="P513" i="1"/>
  <c r="P859" i="1" s="1"/>
  <c r="P512" i="1"/>
  <c r="P858" i="1" s="1"/>
  <c r="P511" i="1"/>
  <c r="P857" i="1" s="1"/>
  <c r="P510" i="1"/>
  <c r="P856" i="1" s="1"/>
  <c r="P509" i="1"/>
  <c r="P855" i="1" s="1"/>
  <c r="P508" i="1"/>
  <c r="P854" i="1" s="1"/>
  <c r="P507" i="1"/>
  <c r="P853" i="1" s="1"/>
  <c r="P506" i="1"/>
  <c r="P852" i="1" s="1"/>
  <c r="P505" i="1"/>
  <c r="P851" i="1" s="1"/>
  <c r="P504" i="1"/>
  <c r="P850" i="1" s="1"/>
  <c r="P503" i="1"/>
  <c r="P849" i="1" s="1"/>
  <c r="P502" i="1"/>
  <c r="P848" i="1" s="1"/>
  <c r="P501" i="1"/>
  <c r="P847" i="1" s="1"/>
  <c r="P500" i="1"/>
  <c r="P499" i="1"/>
  <c r="P845" i="1" s="1"/>
  <c r="P498" i="1"/>
  <c r="P844" i="1" s="1"/>
  <c r="P497" i="1"/>
  <c r="P496" i="1"/>
  <c r="P842" i="1" s="1"/>
  <c r="P495" i="1"/>
  <c r="P841" i="1" s="1"/>
  <c r="P494" i="1"/>
  <c r="P840" i="1" s="1"/>
  <c r="P493" i="1"/>
  <c r="P839" i="1" s="1"/>
  <c r="P492" i="1"/>
  <c r="P838" i="1" s="1"/>
  <c r="P491" i="1"/>
  <c r="P837" i="1" s="1"/>
  <c r="P490" i="1"/>
  <c r="P836" i="1" s="1"/>
  <c r="P489" i="1"/>
  <c r="P835" i="1" s="1"/>
  <c r="P488" i="1"/>
  <c r="P834" i="1" s="1"/>
  <c r="P487" i="1"/>
  <c r="P833" i="1" s="1"/>
  <c r="P486" i="1"/>
  <c r="P484" i="1"/>
  <c r="P483" i="1"/>
  <c r="P829" i="1" s="1"/>
  <c r="P482" i="1"/>
  <c r="P828" i="1" s="1"/>
  <c r="P481" i="1"/>
  <c r="P827" i="1" s="1"/>
  <c r="P480" i="1"/>
  <c r="P826" i="1" s="1"/>
  <c r="P479" i="1"/>
  <c r="P825" i="1" s="1"/>
  <c r="P478" i="1"/>
  <c r="P824" i="1" s="1"/>
  <c r="P476" i="1"/>
  <c r="P822" i="1" s="1"/>
  <c r="P475" i="1"/>
  <c r="P474" i="1"/>
  <c r="P820" i="1" s="1"/>
  <c r="P473" i="1"/>
  <c r="P819" i="1" s="1"/>
  <c r="P472" i="1"/>
  <c r="P818" i="1" s="1"/>
  <c r="P471" i="1"/>
  <c r="P470" i="1"/>
  <c r="P816" i="1" s="1"/>
  <c r="P469" i="1"/>
  <c r="P815" i="1" s="1"/>
  <c r="P468" i="1"/>
  <c r="P814" i="1" s="1"/>
  <c r="P467" i="1"/>
  <c r="P813" i="1" s="1"/>
  <c r="P466" i="1"/>
  <c r="P812" i="1" s="1"/>
  <c r="P465" i="1"/>
  <c r="P811" i="1" s="1"/>
  <c r="P464" i="1"/>
  <c r="P810" i="1" s="1"/>
  <c r="P463" i="1"/>
  <c r="P809" i="1" s="1"/>
  <c r="P462" i="1"/>
  <c r="P808" i="1" s="1"/>
  <c r="P461" i="1"/>
  <c r="P807" i="1" s="1"/>
  <c r="P460" i="1"/>
  <c r="P806" i="1" s="1"/>
  <c r="P459" i="1"/>
  <c r="P805" i="1" s="1"/>
  <c r="P458" i="1"/>
  <c r="P804" i="1" s="1"/>
  <c r="P457" i="1"/>
  <c r="P803" i="1" s="1"/>
  <c r="P456" i="1"/>
  <c r="P802" i="1" s="1"/>
  <c r="P455" i="1"/>
  <c r="P801" i="1" s="1"/>
  <c r="P454" i="1"/>
  <c r="P800" i="1" s="1"/>
  <c r="P453" i="1"/>
  <c r="P799" i="1" s="1"/>
  <c r="P452" i="1"/>
  <c r="P798" i="1" s="1"/>
  <c r="P451" i="1"/>
  <c r="P797" i="1" s="1"/>
  <c r="P450" i="1"/>
  <c r="P796" i="1" s="1"/>
  <c r="P449" i="1"/>
  <c r="P795" i="1" s="1"/>
  <c r="P448" i="1"/>
  <c r="P794" i="1" s="1"/>
  <c r="P447" i="1"/>
  <c r="P446" i="1"/>
  <c r="P792" i="1" s="1"/>
  <c r="P445" i="1"/>
  <c r="P791" i="1" s="1"/>
  <c r="P444" i="1"/>
  <c r="P790" i="1" s="1"/>
  <c r="P443" i="1"/>
  <c r="P789" i="1" s="1"/>
  <c r="P442" i="1"/>
  <c r="P788" i="1" s="1"/>
  <c r="P441" i="1"/>
  <c r="P440" i="1"/>
  <c r="P786" i="1" s="1"/>
  <c r="P439" i="1"/>
  <c r="P785" i="1" s="1"/>
  <c r="P438" i="1"/>
  <c r="P784" i="1" s="1"/>
  <c r="P437" i="1"/>
  <c r="P783" i="1" s="1"/>
  <c r="P436" i="1"/>
  <c r="P782" i="1" s="1"/>
  <c r="P435" i="1"/>
  <c r="P781" i="1" s="1"/>
  <c r="P434" i="1"/>
  <c r="P780" i="1" s="1"/>
  <c r="P433" i="1"/>
  <c r="P779" i="1" s="1"/>
  <c r="P432" i="1"/>
  <c r="P778" i="1" s="1"/>
  <c r="P431" i="1"/>
  <c r="P777" i="1" s="1"/>
  <c r="P430" i="1"/>
  <c r="P429" i="1"/>
  <c r="P775" i="1" s="1"/>
  <c r="P428" i="1"/>
  <c r="P774" i="1" s="1"/>
  <c r="P427" i="1"/>
  <c r="P773" i="1" s="1"/>
  <c r="P426" i="1"/>
  <c r="P772" i="1" s="1"/>
  <c r="P425" i="1"/>
  <c r="P771" i="1" s="1"/>
  <c r="P424" i="1"/>
  <c r="P770" i="1" s="1"/>
  <c r="P423" i="1"/>
  <c r="P769" i="1" s="1"/>
  <c r="P422" i="1"/>
  <c r="P768" i="1" s="1"/>
  <c r="P421" i="1"/>
  <c r="P767" i="1" s="1"/>
  <c r="P420" i="1"/>
  <c r="P766" i="1" s="1"/>
  <c r="P419" i="1"/>
  <c r="P765" i="1" s="1"/>
  <c r="P418" i="1"/>
  <c r="P764" i="1" s="1"/>
  <c r="P417" i="1"/>
  <c r="P763" i="1" s="1"/>
  <c r="P416" i="1"/>
  <c r="P762" i="1" s="1"/>
  <c r="P415" i="1"/>
  <c r="P761" i="1" s="1"/>
  <c r="P414" i="1"/>
  <c r="P760" i="1" s="1"/>
  <c r="P413" i="1"/>
  <c r="P412" i="1"/>
  <c r="P758" i="1" s="1"/>
  <c r="P411" i="1"/>
  <c r="P757" i="1" s="1"/>
  <c r="P410" i="1"/>
  <c r="P756" i="1" s="1"/>
  <c r="P409" i="1"/>
  <c r="P755" i="1" s="1"/>
  <c r="P408" i="1"/>
  <c r="P754" i="1" s="1"/>
  <c r="P407" i="1"/>
  <c r="P753" i="1" s="1"/>
  <c r="P406" i="1"/>
  <c r="P752" i="1" s="1"/>
  <c r="P405" i="1"/>
  <c r="P751" i="1" s="1"/>
  <c r="P404" i="1"/>
  <c r="P750" i="1" s="1"/>
  <c r="P403" i="1"/>
  <c r="P749" i="1" s="1"/>
  <c r="P402" i="1"/>
  <c r="P748" i="1" s="1"/>
  <c r="P401" i="1"/>
  <c r="P747" i="1" s="1"/>
  <c r="P400" i="1"/>
  <c r="P746" i="1" s="1"/>
  <c r="P399" i="1"/>
  <c r="P745" i="1" s="1"/>
  <c r="P398" i="1"/>
  <c r="P744" i="1" s="1"/>
  <c r="P397" i="1"/>
  <c r="P743" i="1" s="1"/>
  <c r="P396" i="1"/>
  <c r="P742" i="1" s="1"/>
  <c r="P395" i="1"/>
  <c r="P741" i="1" s="1"/>
  <c r="P394" i="1"/>
  <c r="P740" i="1" s="1"/>
  <c r="P393" i="1"/>
  <c r="P739" i="1" s="1"/>
  <c r="P392" i="1"/>
  <c r="P738" i="1" s="1"/>
  <c r="P391" i="1"/>
  <c r="P737" i="1" s="1"/>
  <c r="P390" i="1"/>
  <c r="P736" i="1" s="1"/>
  <c r="P389" i="1"/>
  <c r="P735" i="1" s="1"/>
  <c r="P388" i="1"/>
  <c r="P734" i="1" s="1"/>
  <c r="P387" i="1"/>
  <c r="P733" i="1" s="1"/>
  <c r="P386" i="1"/>
  <c r="P732" i="1" s="1"/>
  <c r="P385" i="1"/>
  <c r="P731" i="1" s="1"/>
  <c r="P384" i="1"/>
  <c r="P730" i="1" s="1"/>
  <c r="P383" i="1"/>
  <c r="P729" i="1" s="1"/>
  <c r="P382" i="1"/>
  <c r="P728" i="1" s="1"/>
  <c r="P381" i="1"/>
  <c r="P727" i="1" s="1"/>
  <c r="P380" i="1"/>
  <c r="P726" i="1" s="1"/>
  <c r="P379" i="1"/>
  <c r="P725" i="1" s="1"/>
  <c r="P378" i="1"/>
  <c r="P724" i="1" s="1"/>
  <c r="P377" i="1"/>
  <c r="P723" i="1" s="1"/>
  <c r="P376" i="1"/>
  <c r="P722" i="1" s="1"/>
  <c r="P375" i="1"/>
  <c r="P721" i="1" s="1"/>
  <c r="P374" i="1"/>
  <c r="P720" i="1" s="1"/>
  <c r="P373" i="1"/>
  <c r="P719" i="1" s="1"/>
  <c r="P372" i="1"/>
  <c r="P718" i="1" s="1"/>
  <c r="P371" i="1"/>
  <c r="P717" i="1" s="1"/>
  <c r="P370" i="1"/>
  <c r="P716" i="1" s="1"/>
  <c r="P369" i="1"/>
  <c r="P715" i="1" s="1"/>
  <c r="P368" i="1"/>
  <c r="P714" i="1" s="1"/>
  <c r="P367" i="1"/>
  <c r="P713" i="1" s="1"/>
  <c r="P366" i="1"/>
  <c r="P712" i="1" s="1"/>
  <c r="P365" i="1"/>
  <c r="P711" i="1" s="1"/>
  <c r="P364" i="1"/>
  <c r="P710" i="1" s="1"/>
  <c r="P363" i="1"/>
  <c r="P362" i="1"/>
  <c r="P708" i="1" s="1"/>
  <c r="P361" i="1"/>
  <c r="P707" i="1" s="1"/>
  <c r="P359" i="1"/>
  <c r="P705" i="1" s="1"/>
  <c r="P358" i="1"/>
  <c r="P704" i="1" s="1"/>
  <c r="P357" i="1"/>
  <c r="P703" i="1" s="1"/>
  <c r="P356" i="1"/>
  <c r="P702" i="1" s="1"/>
  <c r="P355" i="1"/>
  <c r="P701" i="1" s="1"/>
  <c r="P354" i="1"/>
  <c r="P700" i="1" s="1"/>
  <c r="P353" i="1"/>
  <c r="P699" i="1" s="1"/>
  <c r="P352" i="1"/>
  <c r="P698" i="1" s="1"/>
  <c r="P351" i="1"/>
  <c r="P350" i="1"/>
  <c r="P696" i="1" s="1"/>
  <c r="P485" i="1"/>
  <c r="P831" i="1" s="1"/>
  <c r="P477" i="1"/>
  <c r="P823" i="1" s="1"/>
  <c r="P360" i="1"/>
  <c r="P706" i="1" s="1"/>
  <c r="P346" i="1" a="1"/>
  <c r="P346" i="1" s="1"/>
  <c r="P345" i="1" a="1"/>
  <c r="P345" i="1" s="1"/>
  <c r="P344" i="1" a="1"/>
  <c r="P344" i="1" s="1"/>
  <c r="P343" i="1" a="1"/>
  <c r="P343" i="1" s="1"/>
  <c r="P342" i="1" a="1"/>
  <c r="P342" i="1" s="1"/>
  <c r="P341" i="1" a="1"/>
  <c r="P341" i="1" s="1"/>
  <c r="P340" i="1" a="1"/>
  <c r="P340" i="1" s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 a="1"/>
  <c r="P319" i="1" s="1"/>
  <c r="P318" i="1"/>
  <c r="P317" i="1"/>
  <c r="P316" i="1"/>
  <c r="P315" i="1"/>
  <c r="P314" i="1"/>
  <c r="P313" i="1"/>
  <c r="P312" i="1"/>
  <c r="P311" i="1"/>
  <c r="P310" i="1"/>
  <c r="P309" i="1"/>
  <c r="P308" i="1" a="1"/>
  <c r="P308" i="1" s="1"/>
  <c r="P307" i="1"/>
  <c r="P306" i="1"/>
  <c r="P305" i="1"/>
  <c r="P304" i="1"/>
  <c r="P303" i="1"/>
  <c r="P302" i="1"/>
  <c r="P301" i="1"/>
  <c r="P300" i="1"/>
  <c r="P299" i="1"/>
  <c r="P298" i="1"/>
  <c r="P297" i="1" a="1"/>
  <c r="P297" i="1" s="1"/>
  <c r="P296" i="1"/>
  <c r="P295" i="1"/>
  <c r="P294" i="1"/>
  <c r="P293" i="1"/>
  <c r="P292" i="1"/>
  <c r="P291" i="1" a="1"/>
  <c r="P291" i="1" s="1"/>
  <c r="P290" i="1"/>
  <c r="P289" i="1"/>
  <c r="P288" i="1"/>
  <c r="P287" i="1"/>
  <c r="P286" i="1"/>
  <c r="P285" i="1" a="1"/>
  <c r="P285" i="1" s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 a="1"/>
  <c r="P263" i="1" s="1"/>
  <c r="P262" i="1"/>
  <c r="P261" i="1"/>
  <c r="P260" i="1"/>
  <c r="P259" i="1"/>
  <c r="P258" i="1"/>
  <c r="P257" i="1"/>
  <c r="P256" i="1"/>
  <c r="P255" i="1"/>
  <c r="P254" i="1"/>
  <c r="P253" i="1"/>
  <c r="P252" i="1" a="1"/>
  <c r="P252" i="1" s="1"/>
  <c r="P251" i="1"/>
  <c r="P250" i="1"/>
  <c r="P249" i="1"/>
  <c r="P248" i="1"/>
  <c r="P247" i="1"/>
  <c r="P246" i="1"/>
  <c r="P245" i="1"/>
  <c r="P244" i="1"/>
  <c r="P243" i="1"/>
  <c r="P242" i="1"/>
  <c r="P241" i="1" a="1"/>
  <c r="P241" i="1" s="1"/>
  <c r="P240" i="1"/>
  <c r="P239" i="1"/>
  <c r="P238" i="1"/>
  <c r="P237" i="1"/>
  <c r="P236" i="1"/>
  <c r="P235" i="1" a="1"/>
  <c r="P235" i="1" s="1"/>
  <c r="P234" i="1"/>
  <c r="P233" i="1"/>
  <c r="P232" i="1"/>
  <c r="P231" i="1"/>
  <c r="P230" i="1"/>
  <c r="P229" i="1" a="1"/>
  <c r="P229" i="1" s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 a="1"/>
  <c r="P207" i="1" s="1"/>
  <c r="P206" i="1"/>
  <c r="P205" i="1"/>
  <c r="P204" i="1"/>
  <c r="P203" i="1"/>
  <c r="P202" i="1"/>
  <c r="P201" i="1"/>
  <c r="P200" i="1"/>
  <c r="P199" i="1"/>
  <c r="P198" i="1"/>
  <c r="P197" i="1"/>
  <c r="P196" i="1" a="1"/>
  <c r="P196" i="1" s="1"/>
  <c r="P195" i="1"/>
  <c r="P194" i="1"/>
  <c r="P193" i="1"/>
  <c r="P192" i="1"/>
  <c r="P191" i="1"/>
  <c r="P190" i="1"/>
  <c r="P189" i="1"/>
  <c r="P188" i="1"/>
  <c r="P187" i="1"/>
  <c r="P186" i="1"/>
  <c r="P185" i="1" a="1"/>
  <c r="P185" i="1" s="1"/>
  <c r="P184" i="1"/>
  <c r="P183" i="1"/>
  <c r="P182" i="1"/>
  <c r="P181" i="1"/>
  <c r="P180" i="1"/>
  <c r="P179" i="1" a="1"/>
  <c r="P179" i="1" s="1"/>
  <c r="P178" i="1"/>
  <c r="P177" i="1"/>
  <c r="P176" i="1"/>
  <c r="P175" i="1"/>
  <c r="P174" i="1"/>
  <c r="P173" i="1" a="1"/>
  <c r="P173" i="1" s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 a="1"/>
  <c r="P151" i="1" s="1"/>
  <c r="P150" i="1"/>
  <c r="P149" i="1"/>
  <c r="P148" i="1"/>
  <c r="P147" i="1"/>
  <c r="P146" i="1"/>
  <c r="P145" i="1"/>
  <c r="P144" i="1"/>
  <c r="P143" i="1"/>
  <c r="P142" i="1"/>
  <c r="P141" i="1"/>
  <c r="P140" i="1" a="1"/>
  <c r="P140" i="1" s="1"/>
  <c r="P139" i="1"/>
  <c r="P138" i="1"/>
  <c r="P137" i="1"/>
  <c r="P136" i="1"/>
  <c r="P135" i="1"/>
  <c r="P134" i="1"/>
  <c r="P133" i="1"/>
  <c r="P132" i="1"/>
  <c r="P131" i="1"/>
  <c r="P130" i="1"/>
  <c r="P129" i="1" a="1"/>
  <c r="P129" i="1" s="1"/>
  <c r="P128" i="1"/>
  <c r="P127" i="1"/>
  <c r="P126" i="1"/>
  <c r="P125" i="1"/>
  <c r="P124" i="1"/>
  <c r="P123" i="1" a="1"/>
  <c r="P123" i="1" s="1"/>
  <c r="P122" i="1"/>
  <c r="P121" i="1"/>
  <c r="P120" i="1"/>
  <c r="P119" i="1"/>
  <c r="P118" i="1"/>
  <c r="P117" i="1" a="1"/>
  <c r="P117" i="1" s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 a="1"/>
  <c r="P95" i="1" s="1"/>
  <c r="P94" i="1"/>
  <c r="P93" i="1"/>
  <c r="P92" i="1"/>
  <c r="P91" i="1"/>
  <c r="P90" i="1"/>
  <c r="P89" i="1"/>
  <c r="P88" i="1"/>
  <c r="P87" i="1"/>
  <c r="P86" i="1"/>
  <c r="P85" i="1"/>
  <c r="P84" i="1" a="1"/>
  <c r="P84" i="1" s="1"/>
  <c r="P83" i="1"/>
  <c r="P82" i="1"/>
  <c r="P81" i="1"/>
  <c r="P80" i="1"/>
  <c r="P79" i="1"/>
  <c r="P78" i="1"/>
  <c r="P77" i="1"/>
  <c r="P76" i="1"/>
  <c r="P75" i="1"/>
  <c r="P74" i="1"/>
  <c r="P73" i="1" a="1"/>
  <c r="P73" i="1" s="1"/>
  <c r="P72" i="1"/>
  <c r="P71" i="1"/>
  <c r="P70" i="1"/>
  <c r="P69" i="1"/>
  <c r="P68" i="1"/>
  <c r="P67" i="1" a="1"/>
  <c r="P67" i="1" s="1"/>
  <c r="P66" i="1"/>
  <c r="P65" i="1"/>
  <c r="P64" i="1"/>
  <c r="P63" i="1"/>
  <c r="P62" i="1"/>
  <c r="P61" i="1" a="1"/>
  <c r="P61" i="1" s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 a="1"/>
  <c r="P39" i="1" s="1"/>
  <c r="AH39" i="1" s="1"/>
  <c r="P38" i="1"/>
  <c r="P37" i="1"/>
  <c r="P36" i="1"/>
  <c r="P35" i="1"/>
  <c r="P34" i="1"/>
  <c r="P33" i="1"/>
  <c r="P32" i="1"/>
  <c r="P31" i="1"/>
  <c r="P30" i="1"/>
  <c r="P29" i="1"/>
  <c r="P28" i="1" a="1"/>
  <c r="P28" i="1" s="1"/>
  <c r="AH28" i="1" s="1"/>
  <c r="P27" i="1"/>
  <c r="P26" i="1"/>
  <c r="P25" i="1"/>
  <c r="P24" i="1"/>
  <c r="P23" i="1"/>
  <c r="P22" i="1"/>
  <c r="P21" i="1"/>
  <c r="P20" i="1"/>
  <c r="P19" i="1"/>
  <c r="P18" i="1"/>
  <c r="P17" i="1" a="1"/>
  <c r="P17" i="1" s="1"/>
  <c r="P16" i="1"/>
  <c r="P15" i="1"/>
  <c r="P14" i="1"/>
  <c r="P13" i="1"/>
  <c r="P12" i="1"/>
  <c r="P11" i="1" a="1"/>
  <c r="P11" i="1" s="1"/>
  <c r="P10" i="1"/>
  <c r="P9" i="1"/>
  <c r="P8" i="1"/>
  <c r="P7" i="1"/>
  <c r="P6" i="1"/>
  <c r="P5" i="1" a="1"/>
  <c r="P5" i="1" s="1"/>
  <c r="AI151" i="1" l="1"/>
  <c r="AI319" i="1"/>
  <c r="AI116" i="1"/>
  <c r="AI140" i="1"/>
  <c r="AI284" i="1"/>
  <c r="AI308" i="1"/>
  <c r="AI172" i="1"/>
  <c r="AI67" i="1"/>
  <c r="AI235" i="1"/>
  <c r="AH117" i="1"/>
  <c r="AI117" i="1"/>
  <c r="AI129" i="1"/>
  <c r="AI285" i="1"/>
  <c r="AI297" i="1"/>
  <c r="AI185" i="1"/>
  <c r="AI95" i="1"/>
  <c r="AI179" i="1"/>
  <c r="AI263" i="1"/>
  <c r="AI60" i="1"/>
  <c r="AI84" i="1"/>
  <c r="AI228" i="1"/>
  <c r="AI252" i="1"/>
  <c r="AI61" i="1"/>
  <c r="AI73" i="1"/>
  <c r="AI229" i="1"/>
  <c r="AI241" i="1"/>
  <c r="AH17" i="1"/>
  <c r="AH123" i="1"/>
  <c r="AH5" i="1"/>
  <c r="AH531" i="1"/>
  <c r="AH207" i="1"/>
  <c r="AH196" i="1"/>
  <c r="AH173" i="1"/>
  <c r="AH185" i="1"/>
  <c r="AH363" i="1"/>
  <c r="AH581" i="1"/>
  <c r="P709" i="1"/>
  <c r="AH67" i="1"/>
  <c r="AH151" i="1"/>
  <c r="AH235" i="1"/>
  <c r="AH340" i="1"/>
  <c r="AH413" i="1"/>
  <c r="P759" i="1"/>
  <c r="P927" i="1"/>
  <c r="AH351" i="1"/>
  <c r="AH486" i="1"/>
  <c r="AH11" i="1"/>
  <c r="AH140" i="1"/>
  <c r="AH497" i="1"/>
  <c r="AH631" i="1"/>
  <c r="AH643" i="1"/>
  <c r="AH654" i="1"/>
  <c r="AH665" i="1"/>
  <c r="AH598" i="1"/>
  <c r="AH95" i="1"/>
  <c r="AH179" i="1"/>
  <c r="AH308" i="1"/>
  <c r="AH441" i="1"/>
  <c r="AH575" i="1"/>
  <c r="AH587" i="1"/>
  <c r="AH475" i="1"/>
  <c r="AH609" i="1"/>
  <c r="AH84" i="1"/>
  <c r="AH285" i="1"/>
  <c r="AH297" i="1"/>
  <c r="AH406" i="1"/>
  <c r="AH430" i="1"/>
  <c r="AH61" i="1"/>
  <c r="AH73" i="1"/>
  <c r="AH229" i="1"/>
  <c r="AH419" i="1"/>
  <c r="AH553" i="1"/>
  <c r="AH637" i="1"/>
  <c r="P697" i="1"/>
  <c r="AH692" i="1" s="1"/>
  <c r="AH129" i="1"/>
  <c r="AH319" i="1"/>
  <c r="AH241" i="1"/>
  <c r="AH252" i="1"/>
  <c r="AH263" i="1"/>
  <c r="AH542" i="1"/>
  <c r="AH4" i="1"/>
  <c r="AH228" i="1"/>
  <c r="AH60" i="1"/>
  <c r="AH291" i="1"/>
  <c r="AH284" i="1"/>
  <c r="AH172" i="1"/>
  <c r="AH116" i="1"/>
  <c r="AH462" i="1"/>
  <c r="AH463" i="1"/>
  <c r="AH690" i="1"/>
  <c r="P832" i="1"/>
  <c r="P978" i="1"/>
  <c r="P990" i="1"/>
  <c r="P1002" i="1"/>
  <c r="P1014" i="1"/>
  <c r="AH357" i="1"/>
  <c r="AH469" i="1"/>
  <c r="AH686" i="1"/>
  <c r="P821" i="1"/>
  <c r="P846" i="1"/>
  <c r="P871" i="1"/>
  <c r="P955" i="1"/>
  <c r="AH350" i="1"/>
  <c r="AH574" i="1"/>
  <c r="P944" i="1"/>
  <c r="AH374" i="1"/>
  <c r="AH385" i="1"/>
  <c r="P776" i="1"/>
  <c r="AH518" i="1"/>
  <c r="AH630" i="1"/>
  <c r="AH407" i="1"/>
  <c r="AH519" i="1"/>
  <c r="P888" i="1"/>
  <c r="P877" i="1"/>
  <c r="AH688" i="1"/>
  <c r="AH689" i="1"/>
  <c r="AH691" i="1"/>
  <c r="AH687" i="1"/>
  <c r="N18" i="2"/>
  <c r="E16" i="2" s="1"/>
  <c r="O18" i="2"/>
  <c r="D16" i="2" s="1"/>
  <c r="H23" i="2" l="1"/>
  <c r="C15" i="2"/>
  <c r="K23" i="2"/>
  <c r="J23" i="2"/>
  <c r="B15" i="2" s="1"/>
  <c r="O778" i="1"/>
  <c r="O692" i="1" a="1"/>
  <c r="O692" i="1" s="1"/>
  <c r="O691" i="1"/>
  <c r="O1037" i="1" s="1"/>
  <c r="O690" i="1"/>
  <c r="O689" i="1"/>
  <c r="O1035" i="1" s="1"/>
  <c r="O688" i="1"/>
  <c r="O1034" i="1" s="1"/>
  <c r="O687" i="1"/>
  <c r="O1033" i="1" s="1"/>
  <c r="O686" i="1" a="1"/>
  <c r="O686" i="1" s="1"/>
  <c r="O685" i="1"/>
  <c r="O1031" i="1" s="1"/>
  <c r="O684" i="1"/>
  <c r="O1030" i="1" s="1"/>
  <c r="O683" i="1"/>
  <c r="O1029" i="1" s="1"/>
  <c r="O682" i="1"/>
  <c r="O1028" i="1" s="1"/>
  <c r="O681" i="1"/>
  <c r="O1027" i="1" s="1"/>
  <c r="O680" i="1"/>
  <c r="O1026" i="1" s="1"/>
  <c r="O679" i="1"/>
  <c r="O1025" i="1" s="1"/>
  <c r="O678" i="1"/>
  <c r="O1024" i="1" s="1"/>
  <c r="O677" i="1"/>
  <c r="O1023" i="1" s="1"/>
  <c r="O676" i="1"/>
  <c r="O1022" i="1" s="1"/>
  <c r="O675" i="1"/>
  <c r="O1021" i="1" s="1"/>
  <c r="O674" i="1"/>
  <c r="O1020" i="1" s="1"/>
  <c r="O673" i="1"/>
  <c r="O1019" i="1" s="1"/>
  <c r="O672" i="1"/>
  <c r="O1018" i="1" s="1"/>
  <c r="O671" i="1"/>
  <c r="O1017" i="1" s="1"/>
  <c r="O670" i="1"/>
  <c r="O1016" i="1" s="1"/>
  <c r="O669" i="1"/>
  <c r="O1015" i="1" s="1"/>
  <c r="O668" i="1"/>
  <c r="O1014" i="1" s="1"/>
  <c r="O667" i="1"/>
  <c r="O1013" i="1" s="1"/>
  <c r="O666" i="1"/>
  <c r="O1012" i="1" s="1"/>
  <c r="O665" i="1"/>
  <c r="O1011" i="1" s="1"/>
  <c r="O664" i="1"/>
  <c r="O1010" i="1" s="1"/>
  <c r="O663" i="1"/>
  <c r="O1009" i="1" s="1"/>
  <c r="O662" i="1"/>
  <c r="O1008" i="1" s="1"/>
  <c r="O661" i="1"/>
  <c r="O1007" i="1" s="1"/>
  <c r="O660" i="1"/>
  <c r="O1006" i="1" s="1"/>
  <c r="O659" i="1"/>
  <c r="O1005" i="1" s="1"/>
  <c r="O658" i="1"/>
  <c r="O1004" i="1" s="1"/>
  <c r="O657" i="1"/>
  <c r="O1003" i="1" s="1"/>
  <c r="O656" i="1"/>
  <c r="O1002" i="1" s="1"/>
  <c r="O655" i="1"/>
  <c r="O1001" i="1" s="1"/>
  <c r="O654" i="1"/>
  <c r="O1000" i="1" s="1"/>
  <c r="O653" i="1"/>
  <c r="O999" i="1" s="1"/>
  <c r="O652" i="1"/>
  <c r="O998" i="1" s="1"/>
  <c r="O651" i="1"/>
  <c r="O997" i="1" s="1"/>
  <c r="O650" i="1"/>
  <c r="O996" i="1" s="1"/>
  <c r="O649" i="1"/>
  <c r="O995" i="1" s="1"/>
  <c r="O648" i="1"/>
  <c r="O994" i="1" s="1"/>
  <c r="O647" i="1"/>
  <c r="O993" i="1" s="1"/>
  <c r="O646" i="1"/>
  <c r="O992" i="1" s="1"/>
  <c r="O645" i="1"/>
  <c r="O991" i="1" s="1"/>
  <c r="O644" i="1"/>
  <c r="O990" i="1" s="1"/>
  <c r="O643" i="1"/>
  <c r="O642" i="1"/>
  <c r="O988" i="1" s="1"/>
  <c r="O641" i="1"/>
  <c r="O987" i="1" s="1"/>
  <c r="O640" i="1"/>
  <c r="O986" i="1" s="1"/>
  <c r="O639" i="1"/>
  <c r="O985" i="1" s="1"/>
  <c r="O638" i="1"/>
  <c r="O984" i="1" s="1"/>
  <c r="O637" i="1"/>
  <c r="O636" i="1"/>
  <c r="O982" i="1" s="1"/>
  <c r="O635" i="1"/>
  <c r="O981" i="1" s="1"/>
  <c r="O634" i="1"/>
  <c r="O980" i="1" s="1"/>
  <c r="O633" i="1"/>
  <c r="O979" i="1" s="1"/>
  <c r="O632" i="1"/>
  <c r="O978" i="1" s="1"/>
  <c r="O631" i="1"/>
  <c r="O977" i="1" s="1"/>
  <c r="O630" i="1"/>
  <c r="O976" i="1" s="1"/>
  <c r="O629" i="1"/>
  <c r="O975" i="1" s="1"/>
  <c r="O628" i="1"/>
  <c r="O974" i="1" s="1"/>
  <c r="O627" i="1"/>
  <c r="O973" i="1" s="1"/>
  <c r="O626" i="1"/>
  <c r="O972" i="1" s="1"/>
  <c r="O625" i="1"/>
  <c r="O971" i="1" s="1"/>
  <c r="O624" i="1"/>
  <c r="O970" i="1" s="1"/>
  <c r="O623" i="1"/>
  <c r="O969" i="1" s="1"/>
  <c r="O622" i="1"/>
  <c r="O968" i="1" s="1"/>
  <c r="O621" i="1"/>
  <c r="O967" i="1" s="1"/>
  <c r="O620" i="1"/>
  <c r="O966" i="1" s="1"/>
  <c r="O619" i="1"/>
  <c r="O965" i="1" s="1"/>
  <c r="O618" i="1"/>
  <c r="O964" i="1" s="1"/>
  <c r="O617" i="1"/>
  <c r="O963" i="1" s="1"/>
  <c r="O616" i="1"/>
  <c r="O962" i="1" s="1"/>
  <c r="O615" i="1"/>
  <c r="O961" i="1" s="1"/>
  <c r="O614" i="1"/>
  <c r="O960" i="1" s="1"/>
  <c r="O613" i="1"/>
  <c r="O959" i="1" s="1"/>
  <c r="O612" i="1"/>
  <c r="O958" i="1" s="1"/>
  <c r="O611" i="1"/>
  <c r="O957" i="1" s="1"/>
  <c r="O610" i="1"/>
  <c r="O956" i="1" s="1"/>
  <c r="O609" i="1"/>
  <c r="O955" i="1" s="1"/>
  <c r="O608" i="1"/>
  <c r="O954" i="1" s="1"/>
  <c r="O607" i="1"/>
  <c r="O953" i="1" s="1"/>
  <c r="O606" i="1"/>
  <c r="O952" i="1" s="1"/>
  <c r="O605" i="1"/>
  <c r="O951" i="1" s="1"/>
  <c r="O604" i="1"/>
  <c r="O950" i="1" s="1"/>
  <c r="O603" i="1"/>
  <c r="O949" i="1" s="1"/>
  <c r="O602" i="1"/>
  <c r="O948" i="1" s="1"/>
  <c r="O601" i="1"/>
  <c r="O947" i="1" s="1"/>
  <c r="O600" i="1"/>
  <c r="O946" i="1" s="1"/>
  <c r="O599" i="1"/>
  <c r="O945" i="1" s="1"/>
  <c r="O598" i="1"/>
  <c r="O597" i="1"/>
  <c r="O943" i="1" s="1"/>
  <c r="O596" i="1"/>
  <c r="O942" i="1" s="1"/>
  <c r="O595" i="1"/>
  <c r="O941" i="1" s="1"/>
  <c r="O594" i="1"/>
  <c r="O940" i="1" s="1"/>
  <c r="O593" i="1"/>
  <c r="O939" i="1" s="1"/>
  <c r="O592" i="1"/>
  <c r="O938" i="1" s="1"/>
  <c r="O591" i="1"/>
  <c r="O937" i="1" s="1"/>
  <c r="O590" i="1"/>
  <c r="O936" i="1" s="1"/>
  <c r="O589" i="1"/>
  <c r="O935" i="1" s="1"/>
  <c r="O588" i="1"/>
  <c r="O934" i="1" s="1"/>
  <c r="O587" i="1"/>
  <c r="O586" i="1"/>
  <c r="O932" i="1" s="1"/>
  <c r="O585" i="1"/>
  <c r="O931" i="1" s="1"/>
  <c r="O584" i="1"/>
  <c r="O930" i="1" s="1"/>
  <c r="O583" i="1"/>
  <c r="O929" i="1" s="1"/>
  <c r="O582" i="1"/>
  <c r="O928" i="1" s="1"/>
  <c r="O581" i="1"/>
  <c r="O927" i="1" s="1"/>
  <c r="O580" i="1"/>
  <c r="O926" i="1" s="1"/>
  <c r="O579" i="1"/>
  <c r="O925" i="1" s="1"/>
  <c r="O578" i="1"/>
  <c r="O924" i="1" s="1"/>
  <c r="O577" i="1"/>
  <c r="O923" i="1" s="1"/>
  <c r="O576" i="1"/>
  <c r="O922" i="1" s="1"/>
  <c r="O575" i="1"/>
  <c r="O921" i="1" s="1"/>
  <c r="O574" i="1"/>
  <c r="O573" i="1"/>
  <c r="O919" i="1" s="1"/>
  <c r="O572" i="1"/>
  <c r="O918" i="1" s="1"/>
  <c r="O571" i="1"/>
  <c r="O917" i="1" s="1"/>
  <c r="O570" i="1"/>
  <c r="O916" i="1" s="1"/>
  <c r="O569" i="1"/>
  <c r="O915" i="1" s="1"/>
  <c r="O568" i="1"/>
  <c r="O914" i="1" s="1"/>
  <c r="O567" i="1"/>
  <c r="O913" i="1" s="1"/>
  <c r="O566" i="1"/>
  <c r="O912" i="1" s="1"/>
  <c r="O565" i="1"/>
  <c r="O911" i="1" s="1"/>
  <c r="O564" i="1"/>
  <c r="O910" i="1" s="1"/>
  <c r="O563" i="1"/>
  <c r="O909" i="1" s="1"/>
  <c r="O562" i="1"/>
  <c r="O908" i="1" s="1"/>
  <c r="O561" i="1"/>
  <c r="O907" i="1" s="1"/>
  <c r="O560" i="1"/>
  <c r="O906" i="1" s="1"/>
  <c r="O559" i="1"/>
  <c r="O905" i="1" s="1"/>
  <c r="O558" i="1"/>
  <c r="O904" i="1" s="1"/>
  <c r="O557" i="1"/>
  <c r="O903" i="1" s="1"/>
  <c r="O556" i="1"/>
  <c r="O902" i="1" s="1"/>
  <c r="O555" i="1"/>
  <c r="O554" i="1"/>
  <c r="O900" i="1" s="1"/>
  <c r="O553" i="1"/>
  <c r="O899" i="1" s="1"/>
  <c r="O552" i="1"/>
  <c r="O898" i="1" s="1"/>
  <c r="O551" i="1"/>
  <c r="O897" i="1" s="1"/>
  <c r="O550" i="1"/>
  <c r="O896" i="1" s="1"/>
  <c r="O549" i="1"/>
  <c r="O895" i="1" s="1"/>
  <c r="O548" i="1"/>
  <c r="O894" i="1" s="1"/>
  <c r="O547" i="1"/>
  <c r="O893" i="1" s="1"/>
  <c r="O546" i="1"/>
  <c r="O892" i="1" s="1"/>
  <c r="O545" i="1"/>
  <c r="O891" i="1" s="1"/>
  <c r="O544" i="1"/>
  <c r="O890" i="1" s="1"/>
  <c r="O543" i="1"/>
  <c r="O889" i="1" s="1"/>
  <c r="O542" i="1"/>
  <c r="O888" i="1" s="1"/>
  <c r="O541" i="1"/>
  <c r="O887" i="1" s="1"/>
  <c r="O540" i="1"/>
  <c r="O886" i="1" s="1"/>
  <c r="O539" i="1"/>
  <c r="O885" i="1" s="1"/>
  <c r="O538" i="1"/>
  <c r="O884" i="1" s="1"/>
  <c r="O537" i="1"/>
  <c r="O883" i="1" s="1"/>
  <c r="O536" i="1"/>
  <c r="O882" i="1" s="1"/>
  <c r="O535" i="1"/>
  <c r="O881" i="1" s="1"/>
  <c r="O534" i="1"/>
  <c r="O880" i="1" s="1"/>
  <c r="O533" i="1"/>
  <c r="O879" i="1" s="1"/>
  <c r="O532" i="1"/>
  <c r="O878" i="1" s="1"/>
  <c r="O531" i="1"/>
  <c r="O530" i="1"/>
  <c r="O876" i="1" s="1"/>
  <c r="O529" i="1"/>
  <c r="O875" i="1" s="1"/>
  <c r="O528" i="1"/>
  <c r="O874" i="1" s="1"/>
  <c r="O527" i="1"/>
  <c r="O873" i="1" s="1"/>
  <c r="O526" i="1"/>
  <c r="O872" i="1" s="1"/>
  <c r="O525" i="1"/>
  <c r="O524" i="1"/>
  <c r="O870" i="1" s="1"/>
  <c r="O523" i="1"/>
  <c r="O522" i="1"/>
  <c r="O868" i="1" s="1"/>
  <c r="O521" i="1"/>
  <c r="O867" i="1" s="1"/>
  <c r="O520" i="1"/>
  <c r="O866" i="1" s="1"/>
  <c r="O519" i="1"/>
  <c r="O865" i="1" s="1"/>
  <c r="O518" i="1"/>
  <c r="O864" i="1" s="1"/>
  <c r="O517" i="1"/>
  <c r="O863" i="1" s="1"/>
  <c r="O516" i="1"/>
  <c r="O862" i="1" s="1"/>
  <c r="O515" i="1"/>
  <c r="O861" i="1" s="1"/>
  <c r="O514" i="1"/>
  <c r="O860" i="1" s="1"/>
  <c r="O513" i="1"/>
  <c r="O859" i="1" s="1"/>
  <c r="O512" i="1"/>
  <c r="O858" i="1" s="1"/>
  <c r="O511" i="1"/>
  <c r="O857" i="1" s="1"/>
  <c r="O510" i="1"/>
  <c r="O856" i="1" s="1"/>
  <c r="O509" i="1"/>
  <c r="O855" i="1" s="1"/>
  <c r="O508" i="1"/>
  <c r="O854" i="1" s="1"/>
  <c r="O507" i="1"/>
  <c r="O853" i="1" s="1"/>
  <c r="O506" i="1"/>
  <c r="O852" i="1" s="1"/>
  <c r="O505" i="1"/>
  <c r="O851" i="1" s="1"/>
  <c r="O504" i="1"/>
  <c r="O850" i="1" s="1"/>
  <c r="O503" i="1"/>
  <c r="O849" i="1" s="1"/>
  <c r="O502" i="1"/>
  <c r="O848" i="1" s="1"/>
  <c r="O501" i="1"/>
  <c r="O847" i="1" s="1"/>
  <c r="O500" i="1"/>
  <c r="O846" i="1" s="1"/>
  <c r="O499" i="1"/>
  <c r="O845" i="1" s="1"/>
  <c r="O498" i="1"/>
  <c r="O844" i="1" s="1"/>
  <c r="O497" i="1"/>
  <c r="O496" i="1"/>
  <c r="O842" i="1" s="1"/>
  <c r="O495" i="1"/>
  <c r="O841" i="1" s="1"/>
  <c r="O494" i="1"/>
  <c r="O840" i="1" s="1"/>
  <c r="O493" i="1"/>
  <c r="O839" i="1" s="1"/>
  <c r="O492" i="1"/>
  <c r="O838" i="1" s="1"/>
  <c r="O491" i="1"/>
  <c r="O837" i="1" s="1"/>
  <c r="O490" i="1"/>
  <c r="O836" i="1" s="1"/>
  <c r="O489" i="1"/>
  <c r="O835" i="1" s="1"/>
  <c r="O488" i="1"/>
  <c r="O834" i="1" s="1"/>
  <c r="O487" i="1"/>
  <c r="O833" i="1" s="1"/>
  <c r="O486" i="1"/>
  <c r="O485" i="1"/>
  <c r="O831" i="1" s="1"/>
  <c r="O484" i="1"/>
  <c r="O830" i="1" s="1"/>
  <c r="O483" i="1"/>
  <c r="O829" i="1" s="1"/>
  <c r="O482" i="1"/>
  <c r="O828" i="1" s="1"/>
  <c r="O481" i="1"/>
  <c r="O827" i="1" s="1"/>
  <c r="O480" i="1"/>
  <c r="O826" i="1" s="1"/>
  <c r="O479" i="1"/>
  <c r="O825" i="1" s="1"/>
  <c r="O478" i="1"/>
  <c r="O824" i="1" s="1"/>
  <c r="O477" i="1"/>
  <c r="O823" i="1" s="1"/>
  <c r="O476" i="1"/>
  <c r="O822" i="1" s="1"/>
  <c r="O475" i="1"/>
  <c r="O474" i="1"/>
  <c r="O820" i="1" s="1"/>
  <c r="O473" i="1"/>
  <c r="O819" i="1" s="1"/>
  <c r="O472" i="1"/>
  <c r="O818" i="1" s="1"/>
  <c r="O471" i="1"/>
  <c r="O817" i="1" s="1"/>
  <c r="O470" i="1"/>
  <c r="O816" i="1" s="1"/>
  <c r="O469" i="1"/>
  <c r="O815" i="1" s="1"/>
  <c r="O468" i="1"/>
  <c r="O814" i="1" s="1"/>
  <c r="O467" i="1"/>
  <c r="O813" i="1" s="1"/>
  <c r="O466" i="1"/>
  <c r="O812" i="1" s="1"/>
  <c r="O465" i="1"/>
  <c r="O811" i="1" s="1"/>
  <c r="O464" i="1"/>
  <c r="O810" i="1" s="1"/>
  <c r="O463" i="1"/>
  <c r="O809" i="1" s="1"/>
  <c r="O462" i="1"/>
  <c r="O461" i="1"/>
  <c r="O807" i="1" s="1"/>
  <c r="O460" i="1"/>
  <c r="O806" i="1" s="1"/>
  <c r="O459" i="1"/>
  <c r="O805" i="1" s="1"/>
  <c r="O458" i="1"/>
  <c r="O804" i="1" s="1"/>
  <c r="O457" i="1"/>
  <c r="O803" i="1" s="1"/>
  <c r="O456" i="1"/>
  <c r="O802" i="1" s="1"/>
  <c r="O455" i="1"/>
  <c r="O801" i="1" s="1"/>
  <c r="O454" i="1"/>
  <c r="O800" i="1" s="1"/>
  <c r="O453" i="1"/>
  <c r="O799" i="1" s="1"/>
  <c r="O452" i="1"/>
  <c r="O798" i="1" s="1"/>
  <c r="O451" i="1"/>
  <c r="O797" i="1" s="1"/>
  <c r="O450" i="1"/>
  <c r="O796" i="1" s="1"/>
  <c r="O449" i="1"/>
  <c r="O795" i="1" s="1"/>
  <c r="O448" i="1"/>
  <c r="O794" i="1" s="1"/>
  <c r="O447" i="1"/>
  <c r="O793" i="1" s="1"/>
  <c r="O446" i="1"/>
  <c r="O792" i="1" s="1"/>
  <c r="O445" i="1"/>
  <c r="O791" i="1" s="1"/>
  <c r="O444" i="1"/>
  <c r="O790" i="1" s="1"/>
  <c r="O443" i="1"/>
  <c r="O789" i="1" s="1"/>
  <c r="O442" i="1"/>
  <c r="O788" i="1" s="1"/>
  <c r="O441" i="1"/>
  <c r="O787" i="1" s="1"/>
  <c r="O440" i="1"/>
  <c r="O786" i="1" s="1"/>
  <c r="O439" i="1"/>
  <c r="O785" i="1" s="1"/>
  <c r="O438" i="1"/>
  <c r="O784" i="1" s="1"/>
  <c r="O437" i="1"/>
  <c r="O783" i="1" s="1"/>
  <c r="O436" i="1"/>
  <c r="O782" i="1" s="1"/>
  <c r="O435" i="1"/>
  <c r="O781" i="1" s="1"/>
  <c r="O434" i="1"/>
  <c r="O780" i="1" s="1"/>
  <c r="O433" i="1"/>
  <c r="O779" i="1" s="1"/>
  <c r="O432" i="1"/>
  <c r="O431" i="1"/>
  <c r="O777" i="1" s="1"/>
  <c r="O430" i="1"/>
  <c r="O776" i="1" s="1"/>
  <c r="O429" i="1"/>
  <c r="O775" i="1" s="1"/>
  <c r="O428" i="1"/>
  <c r="O774" i="1" s="1"/>
  <c r="O427" i="1"/>
  <c r="O773" i="1" s="1"/>
  <c r="O426" i="1"/>
  <c r="O772" i="1" s="1"/>
  <c r="O425" i="1"/>
  <c r="O771" i="1" s="1"/>
  <c r="O424" i="1"/>
  <c r="O770" i="1" s="1"/>
  <c r="O423" i="1"/>
  <c r="O769" i="1" s="1"/>
  <c r="O422" i="1"/>
  <c r="O768" i="1" s="1"/>
  <c r="O421" i="1"/>
  <c r="O767" i="1" s="1"/>
  <c r="O420" i="1"/>
  <c r="O766" i="1" s="1"/>
  <c r="O419" i="1"/>
  <c r="O418" i="1"/>
  <c r="O764" i="1" s="1"/>
  <c r="O417" i="1"/>
  <c r="O763" i="1" s="1"/>
  <c r="O416" i="1"/>
  <c r="O762" i="1" s="1"/>
  <c r="O415" i="1"/>
  <c r="O761" i="1" s="1"/>
  <c r="O414" i="1"/>
  <c r="O760" i="1" s="1"/>
  <c r="O413" i="1"/>
  <c r="O412" i="1"/>
  <c r="O758" i="1" s="1"/>
  <c r="O411" i="1"/>
  <c r="O757" i="1" s="1"/>
  <c r="O410" i="1"/>
  <c r="O756" i="1" s="1"/>
  <c r="O409" i="1"/>
  <c r="O755" i="1" s="1"/>
  <c r="O408" i="1"/>
  <c r="O754" i="1" s="1"/>
  <c r="O407" i="1"/>
  <c r="O753" i="1" s="1"/>
  <c r="O406" i="1"/>
  <c r="O752" i="1" s="1"/>
  <c r="O405" i="1"/>
  <c r="O751" i="1" s="1"/>
  <c r="O404" i="1"/>
  <c r="O750" i="1" s="1"/>
  <c r="O403" i="1"/>
  <c r="O749" i="1" s="1"/>
  <c r="O402" i="1"/>
  <c r="O748" i="1" s="1"/>
  <c r="O401" i="1"/>
  <c r="O747" i="1" s="1"/>
  <c r="O400" i="1"/>
  <c r="O746" i="1" s="1"/>
  <c r="O399" i="1"/>
  <c r="O745" i="1" s="1"/>
  <c r="O398" i="1"/>
  <c r="O744" i="1" s="1"/>
  <c r="O397" i="1"/>
  <c r="O743" i="1" s="1"/>
  <c r="O396" i="1"/>
  <c r="O742" i="1" s="1"/>
  <c r="O395" i="1"/>
  <c r="O741" i="1" s="1"/>
  <c r="O394" i="1"/>
  <c r="O740" i="1" s="1"/>
  <c r="O393" i="1"/>
  <c r="O739" i="1" s="1"/>
  <c r="O392" i="1"/>
  <c r="O738" i="1" s="1"/>
  <c r="O391" i="1"/>
  <c r="O737" i="1" s="1"/>
  <c r="O390" i="1"/>
  <c r="O736" i="1" s="1"/>
  <c r="O389" i="1"/>
  <c r="O735" i="1" s="1"/>
  <c r="O388" i="1"/>
  <c r="O734" i="1" s="1"/>
  <c r="O387" i="1"/>
  <c r="O733" i="1" s="1"/>
  <c r="O386" i="1"/>
  <c r="O732" i="1" s="1"/>
  <c r="O385" i="1"/>
  <c r="O384" i="1"/>
  <c r="O730" i="1" s="1"/>
  <c r="O383" i="1"/>
  <c r="O729" i="1" s="1"/>
  <c r="O382" i="1"/>
  <c r="O728" i="1" s="1"/>
  <c r="O381" i="1"/>
  <c r="O727" i="1" s="1"/>
  <c r="O380" i="1"/>
  <c r="O726" i="1" s="1"/>
  <c r="O379" i="1"/>
  <c r="O725" i="1" s="1"/>
  <c r="O378" i="1"/>
  <c r="O724" i="1" s="1"/>
  <c r="O377" i="1"/>
  <c r="O723" i="1" s="1"/>
  <c r="O376" i="1"/>
  <c r="O722" i="1" s="1"/>
  <c r="O375" i="1"/>
  <c r="O721" i="1" s="1"/>
  <c r="O374" i="1"/>
  <c r="O720" i="1" s="1"/>
  <c r="O373" i="1"/>
  <c r="O719" i="1" s="1"/>
  <c r="O372" i="1"/>
  <c r="O718" i="1" s="1"/>
  <c r="O371" i="1"/>
  <c r="O717" i="1" s="1"/>
  <c r="O370" i="1"/>
  <c r="O716" i="1" s="1"/>
  <c r="O369" i="1"/>
  <c r="O715" i="1" s="1"/>
  <c r="O368" i="1"/>
  <c r="O714" i="1" s="1"/>
  <c r="O367" i="1"/>
  <c r="O713" i="1" s="1"/>
  <c r="O366" i="1"/>
  <c r="O712" i="1" s="1"/>
  <c r="O365" i="1"/>
  <c r="O711" i="1" s="1"/>
  <c r="O364" i="1"/>
  <c r="O710" i="1" s="1"/>
  <c r="O363" i="1"/>
  <c r="O709" i="1" s="1"/>
  <c r="O362" i="1"/>
  <c r="O708" i="1" s="1"/>
  <c r="O361" i="1"/>
  <c r="O707" i="1" s="1"/>
  <c r="O360" i="1"/>
  <c r="O706" i="1" s="1"/>
  <c r="O359" i="1"/>
  <c r="O705" i="1" s="1"/>
  <c r="O358" i="1"/>
  <c r="O704" i="1" s="1"/>
  <c r="O357" i="1"/>
  <c r="O703" i="1" s="1"/>
  <c r="O356" i="1"/>
  <c r="O702" i="1" s="1"/>
  <c r="O355" i="1"/>
  <c r="O701" i="1" s="1"/>
  <c r="O354" i="1"/>
  <c r="O700" i="1" s="1"/>
  <c r="O353" i="1"/>
  <c r="O699" i="1" s="1"/>
  <c r="O352" i="1"/>
  <c r="O698" i="1" s="1"/>
  <c r="O351" i="1"/>
  <c r="O350" i="1"/>
  <c r="O696" i="1" s="1"/>
  <c r="AG637" i="1" l="1"/>
  <c r="AG413" i="1"/>
  <c r="AG351" i="1"/>
  <c r="AG385" i="1"/>
  <c r="AG462" i="1"/>
  <c r="AG475" i="1"/>
  <c r="AG574" i="1"/>
  <c r="AG598" i="1"/>
  <c r="AG486" i="1"/>
  <c r="AG609" i="1"/>
  <c r="O697" i="1"/>
  <c r="AG419" i="1"/>
  <c r="AG587" i="1"/>
  <c r="AG643" i="1"/>
  <c r="AG525" i="1"/>
  <c r="AG531" i="1"/>
  <c r="AG553" i="1"/>
  <c r="AG497" i="1"/>
  <c r="AG519" i="1"/>
  <c r="O23" i="2"/>
  <c r="D15" i="2" s="1"/>
  <c r="AG690" i="1"/>
  <c r="AG686" i="1"/>
  <c r="O1032" i="1" a="1"/>
  <c r="O1032" i="1" s="1"/>
  <c r="AG692" i="1"/>
  <c r="O1036" i="1"/>
  <c r="AG631" i="1"/>
  <c r="AG407" i="1"/>
  <c r="O843" i="1"/>
  <c r="O1038" i="1" a="1"/>
  <c r="O1038" i="1" s="1"/>
  <c r="AG689" i="1"/>
  <c r="AG665" i="1"/>
  <c r="AG441" i="1"/>
  <c r="AG363" i="1"/>
  <c r="O731" i="1"/>
  <c r="O869" i="1"/>
  <c r="O877" i="1"/>
  <c r="O901" i="1"/>
  <c r="O933" i="1"/>
  <c r="O989" i="1"/>
  <c r="AG688" i="1"/>
  <c r="AG654" i="1"/>
  <c r="AG630" i="1"/>
  <c r="AG581" i="1"/>
  <c r="AG542" i="1"/>
  <c r="AG518" i="1"/>
  <c r="AG469" i="1"/>
  <c r="AG430" i="1"/>
  <c r="AG406" i="1"/>
  <c r="AG357" i="1"/>
  <c r="O765" i="1"/>
  <c r="O821" i="1"/>
  <c r="O871" i="1"/>
  <c r="O983" i="1"/>
  <c r="AG691" i="1"/>
  <c r="AG687" i="1"/>
  <c r="AG575" i="1"/>
  <c r="AG463" i="1"/>
  <c r="O759" i="1"/>
  <c r="O920" i="1"/>
  <c r="O944" i="1"/>
  <c r="O808" i="1"/>
  <c r="O832" i="1"/>
  <c r="AG374" i="1"/>
  <c r="AG350" i="1"/>
  <c r="N23" i="2"/>
  <c r="E15" i="2" s="1"/>
  <c r="O346" i="1" l="1" a="1"/>
  <c r="O346" i="1" s="1"/>
  <c r="O345" i="1" a="1"/>
  <c r="O345" i="1" s="1"/>
  <c r="O344" i="1" a="1"/>
  <c r="O344" i="1" s="1"/>
  <c r="O343" i="1" a="1"/>
  <c r="O343" i="1" s="1"/>
  <c r="O342" i="1" a="1"/>
  <c r="O342" i="1" s="1"/>
  <c r="O341" i="1" a="1"/>
  <c r="O341" i="1" s="1"/>
  <c r="O340" i="1" a="1"/>
  <c r="O340" i="1" s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 a="1"/>
  <c r="O319" i="1" s="1"/>
  <c r="O318" i="1"/>
  <c r="O317" i="1"/>
  <c r="O316" i="1"/>
  <c r="O315" i="1"/>
  <c r="O314" i="1"/>
  <c r="O313" i="1"/>
  <c r="O312" i="1"/>
  <c r="O311" i="1"/>
  <c r="O310" i="1"/>
  <c r="O309" i="1"/>
  <c r="O308" i="1" a="1"/>
  <c r="O308" i="1" s="1"/>
  <c r="O307" i="1"/>
  <c r="O306" i="1"/>
  <c r="O305" i="1"/>
  <c r="O304" i="1"/>
  <c r="O303" i="1"/>
  <c r="O302" i="1"/>
  <c r="O301" i="1"/>
  <c r="O300" i="1"/>
  <c r="O299" i="1"/>
  <c r="O298" i="1"/>
  <c r="O297" i="1" a="1"/>
  <c r="O297" i="1" s="1"/>
  <c r="O296" i="1"/>
  <c r="O295" i="1"/>
  <c r="O294" i="1"/>
  <c r="O293" i="1"/>
  <c r="O292" i="1"/>
  <c r="O291" i="1" a="1"/>
  <c r="O291" i="1" s="1"/>
  <c r="O290" i="1"/>
  <c r="O289" i="1"/>
  <c r="O288" i="1"/>
  <c r="O287" i="1"/>
  <c r="O286" i="1"/>
  <c r="O285" i="1" a="1"/>
  <c r="O285" i="1" s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 a="1"/>
  <c r="O263" i="1" s="1"/>
  <c r="O262" i="1"/>
  <c r="O261" i="1"/>
  <c r="O260" i="1"/>
  <c r="O259" i="1"/>
  <c r="O258" i="1"/>
  <c r="O257" i="1"/>
  <c r="O256" i="1"/>
  <c r="O255" i="1"/>
  <c r="O254" i="1"/>
  <c r="O253" i="1"/>
  <c r="O252" i="1" a="1"/>
  <c r="O252" i="1" s="1"/>
  <c r="O251" i="1"/>
  <c r="O250" i="1"/>
  <c r="O249" i="1"/>
  <c r="O248" i="1"/>
  <c r="O247" i="1"/>
  <c r="O246" i="1"/>
  <c r="O245" i="1"/>
  <c r="O244" i="1"/>
  <c r="O243" i="1"/>
  <c r="O242" i="1"/>
  <c r="O241" i="1" a="1"/>
  <c r="O241" i="1" s="1"/>
  <c r="O240" i="1"/>
  <c r="O239" i="1"/>
  <c r="O238" i="1"/>
  <c r="O237" i="1"/>
  <c r="O236" i="1"/>
  <c r="O235" i="1" a="1"/>
  <c r="O235" i="1" s="1"/>
  <c r="O234" i="1"/>
  <c r="O233" i="1"/>
  <c r="O232" i="1"/>
  <c r="O231" i="1"/>
  <c r="O230" i="1"/>
  <c r="O229" i="1" a="1"/>
  <c r="O229" i="1" s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 a="1"/>
  <c r="O207" i="1" s="1"/>
  <c r="O206" i="1"/>
  <c r="O205" i="1"/>
  <c r="O204" i="1"/>
  <c r="O203" i="1"/>
  <c r="O202" i="1"/>
  <c r="O201" i="1"/>
  <c r="O200" i="1"/>
  <c r="O199" i="1"/>
  <c r="O198" i="1"/>
  <c r="O197" i="1"/>
  <c r="O196" i="1" a="1"/>
  <c r="O196" i="1" s="1"/>
  <c r="O195" i="1"/>
  <c r="O194" i="1"/>
  <c r="O193" i="1"/>
  <c r="O192" i="1"/>
  <c r="O191" i="1"/>
  <c r="O190" i="1"/>
  <c r="O189" i="1"/>
  <c r="O188" i="1"/>
  <c r="O187" i="1"/>
  <c r="O186" i="1"/>
  <c r="O185" i="1" a="1"/>
  <c r="O185" i="1" s="1"/>
  <c r="O184" i="1"/>
  <c r="O183" i="1"/>
  <c r="O182" i="1"/>
  <c r="O181" i="1"/>
  <c r="O180" i="1"/>
  <c r="O179" i="1" a="1"/>
  <c r="O179" i="1" s="1"/>
  <c r="O178" i="1"/>
  <c r="O177" i="1"/>
  <c r="O176" i="1"/>
  <c r="O175" i="1"/>
  <c r="O174" i="1"/>
  <c r="O173" i="1" a="1"/>
  <c r="O173" i="1" s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 a="1"/>
  <c r="O151" i="1" s="1"/>
  <c r="O150" i="1"/>
  <c r="O149" i="1"/>
  <c r="O148" i="1"/>
  <c r="O147" i="1"/>
  <c r="O146" i="1"/>
  <c r="O145" i="1"/>
  <c r="O144" i="1"/>
  <c r="O143" i="1"/>
  <c r="O142" i="1"/>
  <c r="O141" i="1"/>
  <c r="O140" i="1" a="1"/>
  <c r="O140" i="1" s="1"/>
  <c r="O139" i="1"/>
  <c r="O138" i="1"/>
  <c r="O137" i="1"/>
  <c r="O136" i="1"/>
  <c r="O135" i="1"/>
  <c r="O134" i="1"/>
  <c r="O133" i="1"/>
  <c r="O132" i="1"/>
  <c r="O131" i="1"/>
  <c r="O130" i="1"/>
  <c r="O129" i="1" a="1"/>
  <c r="O129" i="1" s="1"/>
  <c r="O128" i="1"/>
  <c r="O127" i="1"/>
  <c r="O126" i="1"/>
  <c r="O125" i="1"/>
  <c r="O124" i="1"/>
  <c r="O123" i="1" a="1"/>
  <c r="O123" i="1" s="1"/>
  <c r="O122" i="1"/>
  <c r="O121" i="1"/>
  <c r="O120" i="1"/>
  <c r="O119" i="1"/>
  <c r="O118" i="1"/>
  <c r="O117" i="1" a="1"/>
  <c r="O117" i="1" s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 a="1"/>
  <c r="O95" i="1" s="1"/>
  <c r="O94" i="1"/>
  <c r="O93" i="1"/>
  <c r="O92" i="1"/>
  <c r="O91" i="1"/>
  <c r="O90" i="1"/>
  <c r="O89" i="1"/>
  <c r="O88" i="1"/>
  <c r="O87" i="1"/>
  <c r="O86" i="1"/>
  <c r="O85" i="1"/>
  <c r="O84" i="1" a="1"/>
  <c r="O84" i="1" s="1"/>
  <c r="O83" i="1"/>
  <c r="O82" i="1"/>
  <c r="O81" i="1"/>
  <c r="O80" i="1"/>
  <c r="O79" i="1"/>
  <c r="O78" i="1"/>
  <c r="O77" i="1"/>
  <c r="O76" i="1"/>
  <c r="O75" i="1"/>
  <c r="O74" i="1"/>
  <c r="O73" i="1" a="1"/>
  <c r="O73" i="1" s="1"/>
  <c r="O72" i="1"/>
  <c r="O71" i="1"/>
  <c r="O70" i="1"/>
  <c r="O69" i="1"/>
  <c r="O68" i="1"/>
  <c r="O67" i="1" a="1"/>
  <c r="O67" i="1" s="1"/>
  <c r="O66" i="1"/>
  <c r="O65" i="1"/>
  <c r="O64" i="1"/>
  <c r="O63" i="1"/>
  <c r="O62" i="1"/>
  <c r="O61" i="1" a="1"/>
  <c r="O61" i="1" s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AG252" i="1" l="1"/>
  <c r="AG229" i="1"/>
  <c r="AG241" i="1"/>
  <c r="AG173" i="1"/>
  <c r="AG291" i="1"/>
  <c r="AG285" i="1"/>
  <c r="AG340" i="1"/>
  <c r="AG151" i="1"/>
  <c r="AG207" i="1"/>
  <c r="AG284" i="1"/>
  <c r="AG73" i="1"/>
  <c r="AG129" i="1"/>
  <c r="AG185" i="1"/>
  <c r="AG263" i="1"/>
  <c r="AG319" i="1"/>
  <c r="AG95" i="1"/>
  <c r="AG308" i="1"/>
  <c r="AG67" i="1"/>
  <c r="AG123" i="1"/>
  <c r="AG60" i="1"/>
  <c r="AG84" i="1"/>
  <c r="AG116" i="1"/>
  <c r="AG179" i="1"/>
  <c r="AG235" i="1"/>
  <c r="AG297" i="1"/>
  <c r="AG61" i="1"/>
  <c r="AG117" i="1"/>
  <c r="AG140" i="1"/>
  <c r="AG172" i="1"/>
  <c r="AG196" i="1"/>
  <c r="AG228" i="1"/>
  <c r="O42" i="1"/>
  <c r="O41" i="1"/>
  <c r="O40" i="1"/>
  <c r="O39" i="1" a="1"/>
  <c r="O39" i="1" s="1"/>
  <c r="O38" i="1"/>
  <c r="O37" i="1"/>
  <c r="O36" i="1"/>
  <c r="O35" i="1"/>
  <c r="O34" i="1"/>
  <c r="O33" i="1"/>
  <c r="O32" i="1"/>
  <c r="O31" i="1"/>
  <c r="O30" i="1"/>
  <c r="O29" i="1"/>
  <c r="O28" i="1" a="1"/>
  <c r="O28" i="1" s="1"/>
  <c r="O27" i="1"/>
  <c r="O26" i="1"/>
  <c r="O25" i="1"/>
  <c r="O24" i="1"/>
  <c r="O23" i="1"/>
  <c r="O22" i="1"/>
  <c r="O21" i="1"/>
  <c r="O20" i="1"/>
  <c r="O19" i="1"/>
  <c r="O18" i="1"/>
  <c r="O17" i="1" a="1"/>
  <c r="O17" i="1" s="1"/>
  <c r="O16" i="1"/>
  <c r="O15" i="1"/>
  <c r="O14" i="1"/>
  <c r="O13" i="1"/>
  <c r="O12" i="1"/>
  <c r="O11" i="1" a="1"/>
  <c r="O11" i="1" s="1"/>
  <c r="O10" i="1"/>
  <c r="O9" i="1"/>
  <c r="O8" i="1"/>
  <c r="O7" i="1"/>
  <c r="O6" i="1"/>
  <c r="O5" i="1" a="1"/>
  <c r="O5" i="1" s="1"/>
  <c r="O4" i="1"/>
  <c r="M28" i="2"/>
  <c r="L28" i="2" a="1"/>
  <c r="L28" i="2" s="1"/>
  <c r="C14" i="2" s="1"/>
  <c r="H28" i="2"/>
  <c r="H33" i="2"/>
  <c r="K28" i="2"/>
  <c r="J28" i="2"/>
  <c r="B14" i="2" s="1"/>
  <c r="AG11" i="1" l="1"/>
  <c r="AG28" i="1"/>
  <c r="AG5" i="1"/>
  <c r="AG4" i="1"/>
  <c r="AG39" i="1"/>
  <c r="AG17" i="1"/>
  <c r="O28" i="2"/>
  <c r="D14" i="2" s="1"/>
  <c r="N28" i="2"/>
  <c r="E14" i="2" s="1"/>
  <c r="N686" i="1" a="1"/>
  <c r="N686" i="1" s="1"/>
  <c r="N692" i="1" a="1"/>
  <c r="N692" i="1" s="1"/>
  <c r="N691" i="1"/>
  <c r="N690" i="1"/>
  <c r="N689" i="1"/>
  <c r="N688" i="1"/>
  <c r="N687" i="1"/>
  <c r="N685" i="1"/>
  <c r="N1031" i="1" s="1"/>
  <c r="N684" i="1"/>
  <c r="N1030" i="1" s="1"/>
  <c r="N683" i="1"/>
  <c r="N1029" i="1" s="1"/>
  <c r="N682" i="1"/>
  <c r="N1028" i="1" s="1"/>
  <c r="N681" i="1"/>
  <c r="N1027" i="1" s="1"/>
  <c r="N680" i="1"/>
  <c r="N1026" i="1" s="1"/>
  <c r="N679" i="1"/>
  <c r="N1025" i="1" s="1"/>
  <c r="N678" i="1"/>
  <c r="N1024" i="1" s="1"/>
  <c r="N677" i="1"/>
  <c r="N1023" i="1" s="1"/>
  <c r="N676" i="1"/>
  <c r="N1022" i="1" s="1"/>
  <c r="N675" i="1"/>
  <c r="N1021" i="1" s="1"/>
  <c r="N674" i="1"/>
  <c r="N1020" i="1" s="1"/>
  <c r="N673" i="1"/>
  <c r="N1019" i="1" s="1"/>
  <c r="N672" i="1"/>
  <c r="N1018" i="1" s="1"/>
  <c r="N671" i="1"/>
  <c r="N1017" i="1" s="1"/>
  <c r="N670" i="1"/>
  <c r="N1016" i="1" s="1"/>
  <c r="N669" i="1"/>
  <c r="N1015" i="1" s="1"/>
  <c r="N668" i="1"/>
  <c r="N1014" i="1" s="1"/>
  <c r="N667" i="1"/>
  <c r="N1013" i="1" s="1"/>
  <c r="N666" i="1"/>
  <c r="N1012" i="1" s="1"/>
  <c r="N665" i="1"/>
  <c r="N664" i="1"/>
  <c r="N1010" i="1" s="1"/>
  <c r="N663" i="1"/>
  <c r="N1009" i="1" s="1"/>
  <c r="N662" i="1"/>
  <c r="N1008" i="1" s="1"/>
  <c r="N661" i="1"/>
  <c r="N1007" i="1" s="1"/>
  <c r="N660" i="1"/>
  <c r="N1006" i="1" s="1"/>
  <c r="N659" i="1"/>
  <c r="N1005" i="1" s="1"/>
  <c r="N658" i="1"/>
  <c r="N1004" i="1" s="1"/>
  <c r="N657" i="1"/>
  <c r="N1003" i="1" s="1"/>
  <c r="N656" i="1"/>
  <c r="N1002" i="1" s="1"/>
  <c r="N655" i="1"/>
  <c r="N1001" i="1" s="1"/>
  <c r="N654" i="1"/>
  <c r="N653" i="1"/>
  <c r="N999" i="1" s="1"/>
  <c r="N652" i="1"/>
  <c r="N998" i="1" s="1"/>
  <c r="N651" i="1"/>
  <c r="N997" i="1" s="1"/>
  <c r="N650" i="1"/>
  <c r="N996" i="1" s="1"/>
  <c r="N649" i="1"/>
  <c r="N995" i="1" s="1"/>
  <c r="N648" i="1"/>
  <c r="N994" i="1" s="1"/>
  <c r="N647" i="1"/>
  <c r="N993" i="1" s="1"/>
  <c r="N646" i="1"/>
  <c r="N992" i="1" s="1"/>
  <c r="N645" i="1"/>
  <c r="N991" i="1" s="1"/>
  <c r="N644" i="1"/>
  <c r="N990" i="1" s="1"/>
  <c r="N643" i="1"/>
  <c r="N642" i="1"/>
  <c r="N988" i="1" s="1"/>
  <c r="N641" i="1"/>
  <c r="N987" i="1" s="1"/>
  <c r="N640" i="1"/>
  <c r="N986" i="1" s="1"/>
  <c r="N639" i="1"/>
  <c r="N985" i="1" s="1"/>
  <c r="N638" i="1"/>
  <c r="N984" i="1" s="1"/>
  <c r="N637" i="1"/>
  <c r="N636" i="1"/>
  <c r="N982" i="1" s="1"/>
  <c r="N635" i="1"/>
  <c r="N981" i="1" s="1"/>
  <c r="N634" i="1"/>
  <c r="N980" i="1" s="1"/>
  <c r="N633" i="1"/>
  <c r="N979" i="1" s="1"/>
  <c r="N632" i="1"/>
  <c r="N978" i="1" s="1"/>
  <c r="N631" i="1"/>
  <c r="N630" i="1"/>
  <c r="N629" i="1"/>
  <c r="N975" i="1" s="1"/>
  <c r="N628" i="1"/>
  <c r="N974" i="1" s="1"/>
  <c r="N627" i="1"/>
  <c r="N973" i="1" s="1"/>
  <c r="N626" i="1"/>
  <c r="N972" i="1" s="1"/>
  <c r="N625" i="1"/>
  <c r="N971" i="1" s="1"/>
  <c r="N624" i="1"/>
  <c r="N970" i="1" s="1"/>
  <c r="N623" i="1"/>
  <c r="N969" i="1" s="1"/>
  <c r="N622" i="1"/>
  <c r="N968" i="1" s="1"/>
  <c r="N621" i="1"/>
  <c r="N967" i="1" s="1"/>
  <c r="N620" i="1"/>
  <c r="N966" i="1" s="1"/>
  <c r="N619" i="1"/>
  <c r="N965" i="1" s="1"/>
  <c r="N618" i="1"/>
  <c r="N964" i="1" s="1"/>
  <c r="N617" i="1"/>
  <c r="N963" i="1" s="1"/>
  <c r="N616" i="1"/>
  <c r="N962" i="1" s="1"/>
  <c r="N615" i="1"/>
  <c r="N961" i="1" s="1"/>
  <c r="N614" i="1"/>
  <c r="N960" i="1" s="1"/>
  <c r="N613" i="1"/>
  <c r="N959" i="1" s="1"/>
  <c r="N612" i="1"/>
  <c r="N958" i="1" s="1"/>
  <c r="N611" i="1"/>
  <c r="N957" i="1" s="1"/>
  <c r="N610" i="1"/>
  <c r="N956" i="1" s="1"/>
  <c r="N609" i="1"/>
  <c r="N608" i="1"/>
  <c r="N954" i="1" s="1"/>
  <c r="N607" i="1"/>
  <c r="N953" i="1" s="1"/>
  <c r="N606" i="1"/>
  <c r="N952" i="1" s="1"/>
  <c r="N605" i="1"/>
  <c r="N951" i="1" s="1"/>
  <c r="N604" i="1"/>
  <c r="N950" i="1" s="1"/>
  <c r="N603" i="1"/>
  <c r="N949" i="1" s="1"/>
  <c r="N602" i="1"/>
  <c r="N948" i="1" s="1"/>
  <c r="N601" i="1"/>
  <c r="N947" i="1" s="1"/>
  <c r="N600" i="1"/>
  <c r="N946" i="1" s="1"/>
  <c r="N599" i="1"/>
  <c r="N945" i="1" s="1"/>
  <c r="N598" i="1"/>
  <c r="N597" i="1"/>
  <c r="N943" i="1" s="1"/>
  <c r="N596" i="1"/>
  <c r="N942" i="1" s="1"/>
  <c r="N595" i="1"/>
  <c r="N941" i="1" s="1"/>
  <c r="N594" i="1"/>
  <c r="N940" i="1" s="1"/>
  <c r="N593" i="1"/>
  <c r="N939" i="1" s="1"/>
  <c r="N592" i="1"/>
  <c r="N938" i="1" s="1"/>
  <c r="N591" i="1"/>
  <c r="N937" i="1" s="1"/>
  <c r="N590" i="1"/>
  <c r="N936" i="1" s="1"/>
  <c r="N589" i="1"/>
  <c r="N935" i="1" s="1"/>
  <c r="N588" i="1"/>
  <c r="N934" i="1" s="1"/>
  <c r="N587" i="1"/>
  <c r="N586" i="1"/>
  <c r="N932" i="1" s="1"/>
  <c r="N585" i="1"/>
  <c r="N931" i="1" s="1"/>
  <c r="N584" i="1"/>
  <c r="N930" i="1" s="1"/>
  <c r="N583" i="1"/>
  <c r="N929" i="1" s="1"/>
  <c r="N582" i="1"/>
  <c r="N928" i="1" s="1"/>
  <c r="N581" i="1"/>
  <c r="N580" i="1"/>
  <c r="N926" i="1" s="1"/>
  <c r="N579" i="1"/>
  <c r="N925" i="1" s="1"/>
  <c r="N578" i="1"/>
  <c r="N924" i="1" s="1"/>
  <c r="N577" i="1"/>
  <c r="N923" i="1" s="1"/>
  <c r="N576" i="1"/>
  <c r="N922" i="1" s="1"/>
  <c r="N575" i="1"/>
  <c r="N574" i="1"/>
  <c r="N573" i="1"/>
  <c r="N919" i="1" s="1"/>
  <c r="N572" i="1"/>
  <c r="N918" i="1" s="1"/>
  <c r="N571" i="1"/>
  <c r="N917" i="1" s="1"/>
  <c r="N570" i="1"/>
  <c r="N916" i="1" s="1"/>
  <c r="N569" i="1"/>
  <c r="N915" i="1" s="1"/>
  <c r="N568" i="1"/>
  <c r="N914" i="1" s="1"/>
  <c r="N567" i="1"/>
  <c r="N913" i="1" s="1"/>
  <c r="N566" i="1"/>
  <c r="N912" i="1" s="1"/>
  <c r="N565" i="1"/>
  <c r="N911" i="1" s="1"/>
  <c r="N564" i="1"/>
  <c r="N910" i="1" s="1"/>
  <c r="N563" i="1"/>
  <c r="N909" i="1" s="1"/>
  <c r="N562" i="1"/>
  <c r="N908" i="1" s="1"/>
  <c r="N561" i="1"/>
  <c r="N907" i="1" s="1"/>
  <c r="N560" i="1"/>
  <c r="N906" i="1" s="1"/>
  <c r="N559" i="1"/>
  <c r="N905" i="1" s="1"/>
  <c r="N558" i="1"/>
  <c r="N904" i="1" s="1"/>
  <c r="N557" i="1"/>
  <c r="N903" i="1" s="1"/>
  <c r="N556" i="1"/>
  <c r="N902" i="1" s="1"/>
  <c r="N555" i="1"/>
  <c r="N901" i="1" s="1"/>
  <c r="N554" i="1"/>
  <c r="N900" i="1" s="1"/>
  <c r="N553" i="1"/>
  <c r="N552" i="1"/>
  <c r="N898" i="1" s="1"/>
  <c r="N551" i="1"/>
  <c r="N897" i="1" s="1"/>
  <c r="N550" i="1"/>
  <c r="N896" i="1" s="1"/>
  <c r="N549" i="1"/>
  <c r="N895" i="1" s="1"/>
  <c r="N548" i="1"/>
  <c r="N894" i="1" s="1"/>
  <c r="N547" i="1"/>
  <c r="N893" i="1" s="1"/>
  <c r="N546" i="1"/>
  <c r="N892" i="1" s="1"/>
  <c r="N545" i="1"/>
  <c r="N891" i="1" s="1"/>
  <c r="N544" i="1"/>
  <c r="N890" i="1" s="1"/>
  <c r="N543" i="1"/>
  <c r="N889" i="1" s="1"/>
  <c r="N542" i="1"/>
  <c r="N541" i="1"/>
  <c r="N887" i="1" s="1"/>
  <c r="N540" i="1"/>
  <c r="N886" i="1" s="1"/>
  <c r="N539" i="1"/>
  <c r="N885" i="1" s="1"/>
  <c r="N538" i="1"/>
  <c r="N884" i="1" s="1"/>
  <c r="N537" i="1"/>
  <c r="N883" i="1" s="1"/>
  <c r="N536" i="1"/>
  <c r="N882" i="1" s="1"/>
  <c r="N535" i="1"/>
  <c r="N881" i="1" s="1"/>
  <c r="N534" i="1"/>
  <c r="N880" i="1" s="1"/>
  <c r="N533" i="1"/>
  <c r="N879" i="1" s="1"/>
  <c r="N532" i="1"/>
  <c r="N878" i="1" s="1"/>
  <c r="N531" i="1"/>
  <c r="N530" i="1"/>
  <c r="N876" i="1" s="1"/>
  <c r="N529" i="1"/>
  <c r="N875" i="1" s="1"/>
  <c r="N528" i="1"/>
  <c r="N874" i="1" s="1"/>
  <c r="N527" i="1"/>
  <c r="N873" i="1" s="1"/>
  <c r="N526" i="1"/>
  <c r="N872" i="1" s="1"/>
  <c r="N525" i="1"/>
  <c r="N524" i="1"/>
  <c r="N870" i="1" s="1"/>
  <c r="N523" i="1"/>
  <c r="N869" i="1" s="1"/>
  <c r="N522" i="1"/>
  <c r="N868" i="1" s="1"/>
  <c r="N521" i="1"/>
  <c r="N867" i="1" s="1"/>
  <c r="N520" i="1"/>
  <c r="N866" i="1" s="1"/>
  <c r="N519" i="1"/>
  <c r="N518" i="1"/>
  <c r="N517" i="1"/>
  <c r="N863" i="1" s="1"/>
  <c r="N516" i="1"/>
  <c r="N862" i="1" s="1"/>
  <c r="N515" i="1"/>
  <c r="N861" i="1" s="1"/>
  <c r="N514" i="1"/>
  <c r="N860" i="1" s="1"/>
  <c r="N513" i="1"/>
  <c r="N859" i="1" s="1"/>
  <c r="N512" i="1"/>
  <c r="N858" i="1" s="1"/>
  <c r="N511" i="1"/>
  <c r="N857" i="1" s="1"/>
  <c r="N510" i="1"/>
  <c r="N856" i="1" s="1"/>
  <c r="N509" i="1"/>
  <c r="N855" i="1" s="1"/>
  <c r="N508" i="1"/>
  <c r="N854" i="1" s="1"/>
  <c r="N507" i="1"/>
  <c r="N853" i="1" s="1"/>
  <c r="N506" i="1"/>
  <c r="N852" i="1" s="1"/>
  <c r="N505" i="1"/>
  <c r="N851" i="1" s="1"/>
  <c r="N504" i="1"/>
  <c r="N850" i="1" s="1"/>
  <c r="N503" i="1"/>
  <c r="N849" i="1" s="1"/>
  <c r="N502" i="1"/>
  <c r="N848" i="1" s="1"/>
  <c r="N501" i="1"/>
  <c r="N847" i="1" s="1"/>
  <c r="N500" i="1"/>
  <c r="N846" i="1" s="1"/>
  <c r="N499" i="1"/>
  <c r="N845" i="1" s="1"/>
  <c r="N498" i="1"/>
  <c r="N844" i="1" s="1"/>
  <c r="N497" i="1"/>
  <c r="N496" i="1"/>
  <c r="N842" i="1" s="1"/>
  <c r="N495" i="1"/>
  <c r="N841" i="1" s="1"/>
  <c r="N494" i="1"/>
  <c r="N840" i="1" s="1"/>
  <c r="N493" i="1"/>
  <c r="N839" i="1" s="1"/>
  <c r="N492" i="1"/>
  <c r="N838" i="1" s="1"/>
  <c r="N491" i="1"/>
  <c r="N837" i="1" s="1"/>
  <c r="N490" i="1"/>
  <c r="N836" i="1" s="1"/>
  <c r="N489" i="1"/>
  <c r="N835" i="1" s="1"/>
  <c r="N488" i="1"/>
  <c r="N834" i="1" s="1"/>
  <c r="N487" i="1"/>
  <c r="N833" i="1" s="1"/>
  <c r="N486" i="1"/>
  <c r="N485" i="1"/>
  <c r="N831" i="1" s="1"/>
  <c r="N484" i="1"/>
  <c r="N830" i="1" s="1"/>
  <c r="N483" i="1"/>
  <c r="N829" i="1" s="1"/>
  <c r="N482" i="1"/>
  <c r="N828" i="1" s="1"/>
  <c r="N481" i="1"/>
  <c r="N827" i="1" s="1"/>
  <c r="N480" i="1"/>
  <c r="N826" i="1" s="1"/>
  <c r="N479" i="1"/>
  <c r="N825" i="1" s="1"/>
  <c r="N478" i="1"/>
  <c r="N824" i="1" s="1"/>
  <c r="N477" i="1"/>
  <c r="N823" i="1" s="1"/>
  <c r="N476" i="1"/>
  <c r="N822" i="1" s="1"/>
  <c r="N475" i="1"/>
  <c r="N474" i="1"/>
  <c r="N820" i="1" s="1"/>
  <c r="N473" i="1"/>
  <c r="N819" i="1" s="1"/>
  <c r="N472" i="1"/>
  <c r="N818" i="1" s="1"/>
  <c r="N471" i="1"/>
  <c r="N817" i="1" s="1"/>
  <c r="N470" i="1"/>
  <c r="N816" i="1" s="1"/>
  <c r="N469" i="1"/>
  <c r="N468" i="1"/>
  <c r="N814" i="1" s="1"/>
  <c r="N467" i="1"/>
  <c r="N813" i="1" s="1"/>
  <c r="N466" i="1"/>
  <c r="N812" i="1" s="1"/>
  <c r="N465" i="1"/>
  <c r="N811" i="1" s="1"/>
  <c r="N464" i="1"/>
  <c r="N810" i="1" s="1"/>
  <c r="N463" i="1"/>
  <c r="N462" i="1"/>
  <c r="N461" i="1"/>
  <c r="N807" i="1" s="1"/>
  <c r="N460" i="1"/>
  <c r="N806" i="1" s="1"/>
  <c r="N459" i="1"/>
  <c r="N805" i="1" s="1"/>
  <c r="N458" i="1"/>
  <c r="N804" i="1" s="1"/>
  <c r="N457" i="1"/>
  <c r="N803" i="1" s="1"/>
  <c r="N456" i="1"/>
  <c r="N802" i="1" s="1"/>
  <c r="N455" i="1"/>
  <c r="N801" i="1" s="1"/>
  <c r="N454" i="1"/>
  <c r="N800" i="1" s="1"/>
  <c r="N453" i="1"/>
  <c r="N799" i="1" s="1"/>
  <c r="N452" i="1"/>
  <c r="N798" i="1" s="1"/>
  <c r="N451" i="1"/>
  <c r="N797" i="1" s="1"/>
  <c r="N450" i="1"/>
  <c r="N796" i="1" s="1"/>
  <c r="N449" i="1"/>
  <c r="N795" i="1" s="1"/>
  <c r="N448" i="1"/>
  <c r="N794" i="1" s="1"/>
  <c r="N447" i="1"/>
  <c r="N793" i="1" s="1"/>
  <c r="N446" i="1"/>
  <c r="N792" i="1" s="1"/>
  <c r="N445" i="1"/>
  <c r="N791" i="1" s="1"/>
  <c r="N444" i="1"/>
  <c r="N790" i="1" s="1"/>
  <c r="N443" i="1"/>
  <c r="N789" i="1" s="1"/>
  <c r="N442" i="1"/>
  <c r="N788" i="1" s="1"/>
  <c r="N441" i="1"/>
  <c r="N440" i="1"/>
  <c r="N786" i="1" s="1"/>
  <c r="N439" i="1"/>
  <c r="N785" i="1" s="1"/>
  <c r="N438" i="1"/>
  <c r="N784" i="1" s="1"/>
  <c r="N437" i="1"/>
  <c r="N783" i="1" s="1"/>
  <c r="N436" i="1"/>
  <c r="N782" i="1" s="1"/>
  <c r="N435" i="1"/>
  <c r="N781" i="1" s="1"/>
  <c r="N434" i="1"/>
  <c r="N780" i="1" s="1"/>
  <c r="N433" i="1"/>
  <c r="N779" i="1" s="1"/>
  <c r="N432" i="1"/>
  <c r="N778" i="1" s="1"/>
  <c r="N431" i="1"/>
  <c r="N777" i="1" s="1"/>
  <c r="N430" i="1"/>
  <c r="N429" i="1"/>
  <c r="N775" i="1" s="1"/>
  <c r="N428" i="1"/>
  <c r="N774" i="1" s="1"/>
  <c r="N427" i="1"/>
  <c r="N773" i="1" s="1"/>
  <c r="N426" i="1"/>
  <c r="N772" i="1" s="1"/>
  <c r="N425" i="1"/>
  <c r="N771" i="1" s="1"/>
  <c r="N424" i="1"/>
  <c r="N770" i="1" s="1"/>
  <c r="N423" i="1"/>
  <c r="N769" i="1" s="1"/>
  <c r="N422" i="1"/>
  <c r="N768" i="1" s="1"/>
  <c r="N421" i="1"/>
  <c r="N767" i="1" s="1"/>
  <c r="N420" i="1"/>
  <c r="N766" i="1" s="1"/>
  <c r="N419" i="1"/>
  <c r="N418" i="1"/>
  <c r="N764" i="1" s="1"/>
  <c r="N417" i="1"/>
  <c r="N763" i="1" s="1"/>
  <c r="N416" i="1"/>
  <c r="N762" i="1" s="1"/>
  <c r="N415" i="1"/>
  <c r="N761" i="1" s="1"/>
  <c r="N414" i="1"/>
  <c r="N760" i="1" s="1"/>
  <c r="N413" i="1"/>
  <c r="N412" i="1"/>
  <c r="N758" i="1" s="1"/>
  <c r="N411" i="1"/>
  <c r="N757" i="1" s="1"/>
  <c r="N410" i="1"/>
  <c r="N756" i="1" s="1"/>
  <c r="N409" i="1"/>
  <c r="N755" i="1" s="1"/>
  <c r="N408" i="1"/>
  <c r="N754" i="1" s="1"/>
  <c r="N407" i="1"/>
  <c r="N406" i="1"/>
  <c r="N385" i="1"/>
  <c r="N382" i="1"/>
  <c r="N728" i="1" s="1"/>
  <c r="N374" i="1"/>
  <c r="N363" i="1"/>
  <c r="N357" i="1"/>
  <c r="N351" i="1"/>
  <c r="N346" i="1" a="1"/>
  <c r="N346" i="1" s="1"/>
  <c r="N345" i="1" a="1"/>
  <c r="N345" i="1" s="1"/>
  <c r="N344" i="1" a="1"/>
  <c r="N344" i="1" s="1"/>
  <c r="N343" i="1" a="1"/>
  <c r="N343" i="1" s="1"/>
  <c r="N342" i="1" a="1"/>
  <c r="N342" i="1" s="1"/>
  <c r="N341" i="1" a="1"/>
  <c r="N341" i="1" s="1"/>
  <c r="N340" i="1" a="1"/>
  <c r="N340" i="1" s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 a="1"/>
  <c r="N319" i="1" s="1"/>
  <c r="N318" i="1"/>
  <c r="N317" i="1"/>
  <c r="N316" i="1"/>
  <c r="N315" i="1"/>
  <c r="N314" i="1"/>
  <c r="N313" i="1"/>
  <c r="N312" i="1"/>
  <c r="N311" i="1"/>
  <c r="N310" i="1"/>
  <c r="N309" i="1"/>
  <c r="N308" i="1" a="1"/>
  <c r="N308" i="1" s="1"/>
  <c r="N307" i="1"/>
  <c r="N306" i="1"/>
  <c r="N305" i="1"/>
  <c r="N304" i="1"/>
  <c r="N303" i="1"/>
  <c r="N302" i="1"/>
  <c r="N301" i="1"/>
  <c r="N300" i="1"/>
  <c r="N299" i="1"/>
  <c r="N298" i="1"/>
  <c r="N297" i="1" a="1"/>
  <c r="N297" i="1" s="1"/>
  <c r="N296" i="1"/>
  <c r="N295" i="1"/>
  <c r="N294" i="1"/>
  <c r="N293" i="1"/>
  <c r="N292" i="1"/>
  <c r="N291" i="1" a="1"/>
  <c r="N291" i="1" s="1"/>
  <c r="N290" i="1"/>
  <c r="N289" i="1"/>
  <c r="N288" i="1"/>
  <c r="N287" i="1"/>
  <c r="N286" i="1"/>
  <c r="N285" i="1" a="1"/>
  <c r="N285" i="1" s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 a="1"/>
  <c r="N263" i="1" s="1"/>
  <c r="N262" i="1"/>
  <c r="N261" i="1"/>
  <c r="N260" i="1"/>
  <c r="N259" i="1"/>
  <c r="N258" i="1"/>
  <c r="N257" i="1"/>
  <c r="N256" i="1"/>
  <c r="N255" i="1"/>
  <c r="N254" i="1"/>
  <c r="N253" i="1"/>
  <c r="N252" i="1" a="1"/>
  <c r="N252" i="1" s="1"/>
  <c r="N251" i="1"/>
  <c r="N250" i="1"/>
  <c r="N249" i="1"/>
  <c r="N248" i="1"/>
  <c r="N247" i="1"/>
  <c r="N246" i="1"/>
  <c r="N245" i="1"/>
  <c r="N244" i="1"/>
  <c r="N243" i="1"/>
  <c r="N242" i="1"/>
  <c r="N241" i="1" a="1"/>
  <c r="N241" i="1" s="1"/>
  <c r="N240" i="1"/>
  <c r="N239" i="1"/>
  <c r="N238" i="1"/>
  <c r="N237" i="1"/>
  <c r="N236" i="1"/>
  <c r="N235" i="1" a="1"/>
  <c r="N235" i="1" s="1"/>
  <c r="N234" i="1"/>
  <c r="N233" i="1"/>
  <c r="N232" i="1"/>
  <c r="N231" i="1"/>
  <c r="N230" i="1"/>
  <c r="N229" i="1" a="1"/>
  <c r="N229" i="1" s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 a="1"/>
  <c r="N207" i="1" s="1"/>
  <c r="N206" i="1"/>
  <c r="N205" i="1"/>
  <c r="N204" i="1"/>
  <c r="N203" i="1"/>
  <c r="N202" i="1"/>
  <c r="N201" i="1"/>
  <c r="N200" i="1"/>
  <c r="N199" i="1"/>
  <c r="N198" i="1"/>
  <c r="N197" i="1"/>
  <c r="N196" i="1" a="1"/>
  <c r="N196" i="1" s="1"/>
  <c r="N195" i="1"/>
  <c r="N194" i="1"/>
  <c r="N193" i="1"/>
  <c r="N192" i="1"/>
  <c r="N191" i="1"/>
  <c r="N190" i="1"/>
  <c r="N189" i="1"/>
  <c r="N188" i="1"/>
  <c r="N187" i="1"/>
  <c r="N186" i="1"/>
  <c r="N185" i="1" a="1"/>
  <c r="N185" i="1" s="1"/>
  <c r="N184" i="1"/>
  <c r="N183" i="1"/>
  <c r="N182" i="1"/>
  <c r="N181" i="1"/>
  <c r="N180" i="1"/>
  <c r="N179" i="1" a="1"/>
  <c r="N179" i="1" s="1"/>
  <c r="N178" i="1"/>
  <c r="N177" i="1"/>
  <c r="N176" i="1"/>
  <c r="N175" i="1"/>
  <c r="N174" i="1"/>
  <c r="N173" i="1" a="1"/>
  <c r="N173" i="1" s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 a="1"/>
  <c r="N151" i="1" s="1"/>
  <c r="N150" i="1"/>
  <c r="N149" i="1"/>
  <c r="N148" i="1"/>
  <c r="N147" i="1"/>
  <c r="N146" i="1"/>
  <c r="N145" i="1"/>
  <c r="N144" i="1"/>
  <c r="N143" i="1"/>
  <c r="N142" i="1"/>
  <c r="N141" i="1"/>
  <c r="N140" i="1" a="1"/>
  <c r="N140" i="1" s="1"/>
  <c r="N139" i="1"/>
  <c r="N138" i="1"/>
  <c r="N137" i="1"/>
  <c r="N136" i="1"/>
  <c r="N135" i="1"/>
  <c r="N134" i="1"/>
  <c r="N133" i="1"/>
  <c r="N132" i="1"/>
  <c r="N131" i="1"/>
  <c r="N130" i="1"/>
  <c r="N129" i="1" a="1"/>
  <c r="N129" i="1" s="1"/>
  <c r="N128" i="1"/>
  <c r="N127" i="1"/>
  <c r="N126" i="1"/>
  <c r="N125" i="1"/>
  <c r="N124" i="1"/>
  <c r="N123" i="1" a="1"/>
  <c r="N123" i="1" s="1"/>
  <c r="N122" i="1"/>
  <c r="N121" i="1"/>
  <c r="N120" i="1"/>
  <c r="N119" i="1"/>
  <c r="N118" i="1"/>
  <c r="N117" i="1" a="1"/>
  <c r="N117" i="1" s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 a="1"/>
  <c r="N95" i="1" s="1"/>
  <c r="N94" i="1"/>
  <c r="N93" i="1"/>
  <c r="N92" i="1"/>
  <c r="N91" i="1"/>
  <c r="N90" i="1"/>
  <c r="N89" i="1"/>
  <c r="N88" i="1"/>
  <c r="N87" i="1"/>
  <c r="N86" i="1"/>
  <c r="N85" i="1"/>
  <c r="N84" i="1" a="1"/>
  <c r="N84" i="1" s="1"/>
  <c r="N83" i="1"/>
  <c r="N82" i="1"/>
  <c r="N81" i="1"/>
  <c r="N80" i="1"/>
  <c r="N79" i="1"/>
  <c r="N78" i="1"/>
  <c r="N77" i="1"/>
  <c r="N76" i="1"/>
  <c r="N75" i="1"/>
  <c r="N74" i="1"/>
  <c r="N73" i="1" a="1"/>
  <c r="N73" i="1" s="1"/>
  <c r="N72" i="1"/>
  <c r="N71" i="1"/>
  <c r="N70" i="1"/>
  <c r="N69" i="1"/>
  <c r="N68" i="1"/>
  <c r="N67" i="1" a="1"/>
  <c r="N67" i="1" s="1"/>
  <c r="N66" i="1"/>
  <c r="N65" i="1"/>
  <c r="N64" i="1"/>
  <c r="N63" i="1"/>
  <c r="N62" i="1"/>
  <c r="N61" i="1" a="1"/>
  <c r="N61" i="1" s="1"/>
  <c r="N60" i="1"/>
  <c r="N39" i="1" a="1"/>
  <c r="N39" i="1" s="1"/>
  <c r="N28" i="1" a="1"/>
  <c r="N28" i="1" s="1"/>
  <c r="N17" i="1" a="1"/>
  <c r="N17" i="1" s="1"/>
  <c r="N11" i="1" a="1"/>
  <c r="N11" i="1" s="1"/>
  <c r="N5" i="1" a="1"/>
  <c r="N5" i="1" s="1"/>
  <c r="AF207" i="1" l="1"/>
  <c r="AF151" i="1"/>
  <c r="AF319" i="1"/>
  <c r="AF95" i="1"/>
  <c r="AF263" i="1"/>
  <c r="N1032" i="1" a="1"/>
  <c r="N1032" i="1" s="1"/>
  <c r="AF686" i="1"/>
  <c r="N731" i="1"/>
  <c r="N759" i="1"/>
  <c r="AF413" i="1"/>
  <c r="N815" i="1"/>
  <c r="AF469" i="1"/>
  <c r="N871" i="1"/>
  <c r="AF525" i="1"/>
  <c r="N927" i="1"/>
  <c r="AF581" i="1"/>
  <c r="N983" i="1"/>
  <c r="AF637" i="1"/>
  <c r="AF73" i="1"/>
  <c r="AF297" i="1"/>
  <c r="N752" i="1"/>
  <c r="AF406" i="1"/>
  <c r="N776" i="1"/>
  <c r="AF430" i="1"/>
  <c r="N808" i="1"/>
  <c r="AF462" i="1"/>
  <c r="N832" i="1"/>
  <c r="AF486" i="1"/>
  <c r="N864" i="1"/>
  <c r="AF518" i="1"/>
  <c r="N888" i="1"/>
  <c r="AF542" i="1"/>
  <c r="N920" i="1"/>
  <c r="AF574" i="1"/>
  <c r="N944" i="1"/>
  <c r="AF598" i="1"/>
  <c r="N976" i="1"/>
  <c r="AF630" i="1"/>
  <c r="N1000" i="1"/>
  <c r="AF654" i="1"/>
  <c r="N1033" i="1"/>
  <c r="AF687" i="1"/>
  <c r="AF185" i="1"/>
  <c r="AF241" i="1"/>
  <c r="N753" i="1"/>
  <c r="AF407" i="1"/>
  <c r="N809" i="1"/>
  <c r="AF463" i="1"/>
  <c r="N865" i="1"/>
  <c r="AF519" i="1"/>
  <c r="N921" i="1"/>
  <c r="AF575" i="1"/>
  <c r="N977" i="1"/>
  <c r="AF631" i="1"/>
  <c r="N1034" i="1"/>
  <c r="AF688" i="1"/>
  <c r="AF129" i="1"/>
  <c r="AF67" i="1"/>
  <c r="AF123" i="1"/>
  <c r="AF179" i="1"/>
  <c r="AF235" i="1"/>
  <c r="AF291" i="1"/>
  <c r="N697" i="1"/>
  <c r="N1035" i="1"/>
  <c r="AF689" i="1"/>
  <c r="AF84" i="1"/>
  <c r="AF140" i="1"/>
  <c r="AF196" i="1"/>
  <c r="AF284" i="1"/>
  <c r="AF308" i="1"/>
  <c r="AF340" i="1"/>
  <c r="N703" i="1"/>
  <c r="N787" i="1"/>
  <c r="AF441" i="1"/>
  <c r="N843" i="1"/>
  <c r="AF497" i="1"/>
  <c r="N899" i="1"/>
  <c r="AF553" i="1"/>
  <c r="N955" i="1"/>
  <c r="AF609" i="1"/>
  <c r="N1011" i="1"/>
  <c r="AF665" i="1"/>
  <c r="N1036" i="1"/>
  <c r="AF690" i="1"/>
  <c r="AF116" i="1"/>
  <c r="AF172" i="1"/>
  <c r="AF228" i="1"/>
  <c r="AF252" i="1"/>
  <c r="AF61" i="1"/>
  <c r="AF117" i="1"/>
  <c r="AF173" i="1"/>
  <c r="AF229" i="1"/>
  <c r="AF285" i="1"/>
  <c r="N709" i="1"/>
  <c r="N1037" i="1"/>
  <c r="AF60" i="1"/>
  <c r="N720" i="1"/>
  <c r="N765" i="1"/>
  <c r="AF419" i="1"/>
  <c r="N821" i="1"/>
  <c r="AF475" i="1"/>
  <c r="N877" i="1"/>
  <c r="AF531" i="1"/>
  <c r="N933" i="1"/>
  <c r="AF587" i="1"/>
  <c r="N989" i="1"/>
  <c r="AF643" i="1"/>
  <c r="N1038" i="1" a="1"/>
  <c r="N1038" i="1" s="1"/>
  <c r="N36" i="1"/>
  <c r="N379" i="1" l="1"/>
  <c r="N725" i="1" s="1"/>
  <c r="N33" i="1"/>
  <c r="N32" i="1"/>
  <c r="N378" i="1"/>
  <c r="N724" i="1" s="1"/>
  <c r="N375" i="1"/>
  <c r="N29" i="1"/>
  <c r="N25" i="1"/>
  <c r="N371" i="1"/>
  <c r="N717" i="1" s="1"/>
  <c r="N368" i="1"/>
  <c r="N714" i="1" s="1"/>
  <c r="N22" i="1"/>
  <c r="N20" i="1"/>
  <c r="N366" i="1"/>
  <c r="N712" i="1" s="1"/>
  <c r="N19" i="1"/>
  <c r="N365" i="1"/>
  <c r="N711" i="1" s="1"/>
  <c r="N50" i="1"/>
  <c r="N396" i="1"/>
  <c r="N742" i="1" s="1"/>
  <c r="N393" i="1"/>
  <c r="N739" i="1" s="1"/>
  <c r="N47" i="1"/>
  <c r="N13" i="1"/>
  <c r="N359" i="1"/>
  <c r="N705" i="1" s="1"/>
  <c r="N44" i="1"/>
  <c r="N390" i="1"/>
  <c r="N736" i="1" s="1"/>
  <c r="N387" i="1"/>
  <c r="N733" i="1" s="1"/>
  <c r="N41" i="1"/>
  <c r="N37" i="1"/>
  <c r="N383" i="1"/>
  <c r="N729" i="1" s="1"/>
  <c r="N380" i="1"/>
  <c r="N726" i="1" s="1"/>
  <c r="N34" i="1"/>
  <c r="N31" i="1"/>
  <c r="N377" i="1"/>
  <c r="N723" i="1" s="1"/>
  <c r="N27" i="1"/>
  <c r="N373" i="1"/>
  <c r="N719" i="1" s="1"/>
  <c r="N370" i="1"/>
  <c r="N716" i="1" s="1"/>
  <c r="N24" i="1"/>
  <c r="N43" i="1"/>
  <c r="N389" i="1"/>
  <c r="N735" i="1" s="1"/>
  <c r="N367" i="1"/>
  <c r="N713" i="1" s="1"/>
  <c r="N21" i="1"/>
  <c r="N18" i="1"/>
  <c r="N364" i="1"/>
  <c r="N30" i="1"/>
  <c r="N376" i="1"/>
  <c r="N722" i="1" s="1"/>
  <c r="N405" i="1"/>
  <c r="N751" i="1" s="1"/>
  <c r="N59" i="1"/>
  <c r="N26" i="1"/>
  <c r="N372" i="1"/>
  <c r="N718" i="1" s="1"/>
  <c r="N56" i="1"/>
  <c r="N402" i="1"/>
  <c r="N748" i="1" s="1"/>
  <c r="N399" i="1"/>
  <c r="N745" i="1" s="1"/>
  <c r="N53" i="1"/>
  <c r="N15" i="1"/>
  <c r="N361" i="1"/>
  <c r="N707" i="1" s="1"/>
  <c r="N358" i="1"/>
  <c r="N12" i="1"/>
  <c r="N8" i="1"/>
  <c r="N354" i="1"/>
  <c r="N700" i="1" s="1"/>
  <c r="N6" i="1"/>
  <c r="N352" i="1"/>
  <c r="N350" i="1"/>
  <c r="N4" i="1"/>
  <c r="AF4" i="1" s="1"/>
  <c r="N49" i="1"/>
  <c r="N395" i="1"/>
  <c r="N741" i="1" s="1"/>
  <c r="N14" i="1"/>
  <c r="N360" i="1"/>
  <c r="N706" i="1" s="1"/>
  <c r="N404" i="1"/>
  <c r="N750" i="1" s="1"/>
  <c r="N58" i="1"/>
  <c r="N403" i="1"/>
  <c r="N749" i="1" s="1"/>
  <c r="N57" i="1"/>
  <c r="N356" i="1"/>
  <c r="N702" i="1" s="1"/>
  <c r="N10" i="1"/>
  <c r="N54" i="1"/>
  <c r="N400" i="1"/>
  <c r="N746" i="1" s="1"/>
  <c r="N7" i="1"/>
  <c r="N353" i="1"/>
  <c r="N699" i="1" s="1"/>
  <c r="N398" i="1"/>
  <c r="N744" i="1" s="1"/>
  <c r="N52" i="1"/>
  <c r="N51" i="1"/>
  <c r="N397" i="1"/>
  <c r="N743" i="1" s="1"/>
  <c r="N369" i="1"/>
  <c r="N715" i="1" s="1"/>
  <c r="N23" i="1"/>
  <c r="N394" i="1"/>
  <c r="N740" i="1" s="1"/>
  <c r="N48" i="1"/>
  <c r="N392" i="1"/>
  <c r="N738" i="1" s="1"/>
  <c r="N46" i="1"/>
  <c r="N391" i="1"/>
  <c r="N737" i="1" s="1"/>
  <c r="N45" i="1"/>
  <c r="N362" i="1"/>
  <c r="N708" i="1" s="1"/>
  <c r="N16" i="1"/>
  <c r="N42" i="1"/>
  <c r="N388" i="1"/>
  <c r="N734" i="1" s="1"/>
  <c r="N386" i="1"/>
  <c r="N40" i="1"/>
  <c r="N38" i="1"/>
  <c r="N384" i="1"/>
  <c r="N730" i="1" s="1"/>
  <c r="N355" i="1"/>
  <c r="N701" i="1" s="1"/>
  <c r="N9" i="1"/>
  <c r="N381" i="1"/>
  <c r="N727" i="1" s="1"/>
  <c r="N35" i="1"/>
  <c r="N55" i="1"/>
  <c r="N401" i="1"/>
  <c r="N747" i="1" s="1"/>
  <c r="AF5" i="1" l="1"/>
  <c r="AF11" i="1"/>
  <c r="AF28" i="1"/>
  <c r="AF17" i="1"/>
  <c r="N704" i="1"/>
  <c r="AF357" i="1"/>
  <c r="N721" i="1"/>
  <c r="AF374" i="1"/>
  <c r="N710" i="1"/>
  <c r="AF363" i="1"/>
  <c r="AF39" i="1"/>
  <c r="N732" i="1"/>
  <c r="AF385" i="1"/>
  <c r="N696" i="1"/>
  <c r="AF350" i="1"/>
  <c r="N698" i="1"/>
  <c r="AF351" i="1"/>
  <c r="K574" i="1"/>
  <c r="B2" i="2"/>
  <c r="B3" i="2"/>
  <c r="B4" i="2"/>
  <c r="M33" i="2"/>
  <c r="L33" i="2" a="1"/>
  <c r="L33" i="2" s="1"/>
  <c r="C13" i="2" s="1"/>
  <c r="K33" i="2"/>
  <c r="J33" i="2"/>
  <c r="B13" i="2" s="1"/>
  <c r="M692" i="1" a="1"/>
  <c r="M692" i="1" s="1"/>
  <c r="M1038" i="1" s="1" a="1"/>
  <c r="M1038" i="1" s="1"/>
  <c r="M691" i="1"/>
  <c r="M1037" i="1" s="1"/>
  <c r="M690" i="1"/>
  <c r="M1036" i="1" s="1"/>
  <c r="M689" i="1"/>
  <c r="M688" i="1"/>
  <c r="M1034" i="1" s="1"/>
  <c r="M687" i="1"/>
  <c r="M1033" i="1" s="1"/>
  <c r="M686" i="1" a="1"/>
  <c r="M686" i="1" s="1"/>
  <c r="M685" i="1"/>
  <c r="M1031" i="1" s="1"/>
  <c r="M684" i="1"/>
  <c r="M1030" i="1" s="1"/>
  <c r="M683" i="1"/>
  <c r="M1029" i="1" s="1"/>
  <c r="M682" i="1"/>
  <c r="M1028" i="1" s="1"/>
  <c r="M681" i="1"/>
  <c r="M1027" i="1" s="1"/>
  <c r="M680" i="1"/>
  <c r="M1026" i="1" s="1"/>
  <c r="M679" i="1"/>
  <c r="M1025" i="1" s="1"/>
  <c r="M678" i="1"/>
  <c r="M1024" i="1" s="1"/>
  <c r="M677" i="1"/>
  <c r="M1023" i="1" s="1"/>
  <c r="M676" i="1"/>
  <c r="M1022" i="1" s="1"/>
  <c r="M675" i="1"/>
  <c r="M1021" i="1" s="1"/>
  <c r="M674" i="1"/>
  <c r="M1020" i="1" s="1"/>
  <c r="M673" i="1"/>
  <c r="M1019" i="1" s="1"/>
  <c r="M672" i="1"/>
  <c r="M1018" i="1" s="1"/>
  <c r="M671" i="1"/>
  <c r="M1017" i="1" s="1"/>
  <c r="M670" i="1"/>
  <c r="M1016" i="1" s="1"/>
  <c r="M669" i="1"/>
  <c r="M1015" i="1" s="1"/>
  <c r="M668" i="1"/>
  <c r="M1014" i="1" s="1"/>
  <c r="M667" i="1"/>
  <c r="M1013" i="1" s="1"/>
  <c r="M666" i="1"/>
  <c r="M1012" i="1" s="1"/>
  <c r="M665" i="1"/>
  <c r="M1011" i="1" s="1"/>
  <c r="M664" i="1"/>
  <c r="M1010" i="1" s="1"/>
  <c r="M663" i="1"/>
  <c r="M1009" i="1" s="1"/>
  <c r="M662" i="1"/>
  <c r="M1008" i="1" s="1"/>
  <c r="M661" i="1"/>
  <c r="M1007" i="1" s="1"/>
  <c r="M660" i="1"/>
  <c r="M1006" i="1" s="1"/>
  <c r="M659" i="1"/>
  <c r="M1005" i="1" s="1"/>
  <c r="M658" i="1"/>
  <c r="M1004" i="1" s="1"/>
  <c r="M657" i="1"/>
  <c r="M1003" i="1" s="1"/>
  <c r="M656" i="1"/>
  <c r="M1002" i="1" s="1"/>
  <c r="M655" i="1"/>
  <c r="M1001" i="1" s="1"/>
  <c r="M654" i="1"/>
  <c r="M1000" i="1" s="1"/>
  <c r="M653" i="1"/>
  <c r="M999" i="1" s="1"/>
  <c r="M652" i="1"/>
  <c r="M998" i="1" s="1"/>
  <c r="M651" i="1"/>
  <c r="M997" i="1" s="1"/>
  <c r="M650" i="1"/>
  <c r="M996" i="1" s="1"/>
  <c r="M649" i="1"/>
  <c r="M995" i="1" s="1"/>
  <c r="M648" i="1"/>
  <c r="M994" i="1" s="1"/>
  <c r="M647" i="1"/>
  <c r="M993" i="1" s="1"/>
  <c r="M646" i="1"/>
  <c r="M992" i="1" s="1"/>
  <c r="M645" i="1"/>
  <c r="M991" i="1" s="1"/>
  <c r="M644" i="1"/>
  <c r="M990" i="1" s="1"/>
  <c r="M643" i="1"/>
  <c r="M642" i="1"/>
  <c r="M988" i="1" s="1"/>
  <c r="M641" i="1"/>
  <c r="M987" i="1" s="1"/>
  <c r="M640" i="1"/>
  <c r="M986" i="1" s="1"/>
  <c r="M639" i="1"/>
  <c r="M985" i="1" s="1"/>
  <c r="M638" i="1"/>
  <c r="M984" i="1" s="1"/>
  <c r="M637" i="1"/>
  <c r="M983" i="1" s="1"/>
  <c r="M636" i="1"/>
  <c r="M982" i="1" s="1"/>
  <c r="M635" i="1"/>
  <c r="M981" i="1" s="1"/>
  <c r="M634" i="1"/>
  <c r="M980" i="1" s="1"/>
  <c r="M633" i="1"/>
  <c r="M979" i="1" s="1"/>
  <c r="M632" i="1"/>
  <c r="M978" i="1" s="1"/>
  <c r="M631" i="1"/>
  <c r="M977" i="1" s="1"/>
  <c r="M630" i="1"/>
  <c r="M629" i="1"/>
  <c r="M975" i="1" s="1"/>
  <c r="M628" i="1"/>
  <c r="M974" i="1" s="1"/>
  <c r="M627" i="1"/>
  <c r="M973" i="1" s="1"/>
  <c r="M626" i="1"/>
  <c r="M972" i="1" s="1"/>
  <c r="M625" i="1"/>
  <c r="M971" i="1" s="1"/>
  <c r="M624" i="1"/>
  <c r="M970" i="1" s="1"/>
  <c r="M623" i="1"/>
  <c r="M969" i="1" s="1"/>
  <c r="M622" i="1"/>
  <c r="M968" i="1" s="1"/>
  <c r="M621" i="1"/>
  <c r="M967" i="1" s="1"/>
  <c r="M620" i="1"/>
  <c r="M966" i="1" s="1"/>
  <c r="M619" i="1"/>
  <c r="M965" i="1" s="1"/>
  <c r="M618" i="1"/>
  <c r="M964" i="1" s="1"/>
  <c r="M617" i="1"/>
  <c r="M963" i="1" s="1"/>
  <c r="M616" i="1"/>
  <c r="M962" i="1" s="1"/>
  <c r="M615" i="1"/>
  <c r="M961" i="1" s="1"/>
  <c r="M614" i="1"/>
  <c r="M960" i="1" s="1"/>
  <c r="M613" i="1"/>
  <c r="M959" i="1" s="1"/>
  <c r="M612" i="1"/>
  <c r="M958" i="1" s="1"/>
  <c r="M611" i="1"/>
  <c r="M957" i="1" s="1"/>
  <c r="M610" i="1"/>
  <c r="M956" i="1" s="1"/>
  <c r="M609" i="1"/>
  <c r="M608" i="1"/>
  <c r="M954" i="1" s="1"/>
  <c r="M607" i="1"/>
  <c r="M953" i="1" s="1"/>
  <c r="M606" i="1"/>
  <c r="M952" i="1" s="1"/>
  <c r="M605" i="1"/>
  <c r="M951" i="1" s="1"/>
  <c r="M604" i="1"/>
  <c r="M950" i="1" s="1"/>
  <c r="M603" i="1"/>
  <c r="M949" i="1" s="1"/>
  <c r="M602" i="1"/>
  <c r="M948" i="1" s="1"/>
  <c r="M601" i="1"/>
  <c r="M947" i="1" s="1"/>
  <c r="M600" i="1"/>
  <c r="M946" i="1" s="1"/>
  <c r="M599" i="1"/>
  <c r="M945" i="1" s="1"/>
  <c r="M598" i="1"/>
  <c r="M944" i="1" s="1"/>
  <c r="M597" i="1"/>
  <c r="M943" i="1" s="1"/>
  <c r="M596" i="1"/>
  <c r="M942" i="1" s="1"/>
  <c r="M595" i="1"/>
  <c r="M941" i="1" s="1"/>
  <c r="M594" i="1"/>
  <c r="M940" i="1" s="1"/>
  <c r="M593" i="1"/>
  <c r="M939" i="1" s="1"/>
  <c r="M592" i="1"/>
  <c r="M938" i="1" s="1"/>
  <c r="M591" i="1"/>
  <c r="M937" i="1" s="1"/>
  <c r="M590" i="1"/>
  <c r="M936" i="1" s="1"/>
  <c r="M589" i="1"/>
  <c r="M935" i="1" s="1"/>
  <c r="M588" i="1"/>
  <c r="M934" i="1" s="1"/>
  <c r="M587" i="1"/>
  <c r="M933" i="1" s="1"/>
  <c r="M586" i="1"/>
  <c r="M932" i="1" s="1"/>
  <c r="M585" i="1"/>
  <c r="M931" i="1" s="1"/>
  <c r="M584" i="1"/>
  <c r="M930" i="1" s="1"/>
  <c r="M583" i="1"/>
  <c r="M929" i="1" s="1"/>
  <c r="M582" i="1"/>
  <c r="M581" i="1"/>
  <c r="M580" i="1"/>
  <c r="M926" i="1" s="1"/>
  <c r="M579" i="1"/>
  <c r="M925" i="1" s="1"/>
  <c r="M578" i="1"/>
  <c r="M924" i="1" s="1"/>
  <c r="M577" i="1"/>
  <c r="M923" i="1" s="1"/>
  <c r="M576" i="1"/>
  <c r="M922" i="1" s="1"/>
  <c r="M575" i="1"/>
  <c r="M921" i="1" s="1"/>
  <c r="M574" i="1"/>
  <c r="M920" i="1" s="1"/>
  <c r="M573" i="1"/>
  <c r="M919" i="1" s="1"/>
  <c r="M572" i="1"/>
  <c r="M918" i="1" s="1"/>
  <c r="M571" i="1"/>
  <c r="M917" i="1" s="1"/>
  <c r="M570" i="1"/>
  <c r="M916" i="1" s="1"/>
  <c r="M569" i="1"/>
  <c r="M915" i="1" s="1"/>
  <c r="M568" i="1"/>
  <c r="M914" i="1" s="1"/>
  <c r="M567" i="1"/>
  <c r="M913" i="1" s="1"/>
  <c r="M566" i="1"/>
  <c r="M912" i="1" s="1"/>
  <c r="M565" i="1"/>
  <c r="M911" i="1" s="1"/>
  <c r="M564" i="1"/>
  <c r="M910" i="1" s="1"/>
  <c r="M563" i="1"/>
  <c r="M909" i="1" s="1"/>
  <c r="M562" i="1"/>
  <c r="M908" i="1" s="1"/>
  <c r="M561" i="1"/>
  <c r="M907" i="1" s="1"/>
  <c r="M560" i="1"/>
  <c r="M906" i="1" s="1"/>
  <c r="M559" i="1"/>
  <c r="M905" i="1" s="1"/>
  <c r="M558" i="1"/>
  <c r="M904" i="1" s="1"/>
  <c r="M557" i="1"/>
  <c r="M903" i="1" s="1"/>
  <c r="M556" i="1"/>
  <c r="M902" i="1" s="1"/>
  <c r="M555" i="1"/>
  <c r="M901" i="1" s="1"/>
  <c r="M554" i="1"/>
  <c r="M900" i="1" s="1"/>
  <c r="M553" i="1"/>
  <c r="M899" i="1" s="1"/>
  <c r="M552" i="1"/>
  <c r="M898" i="1" s="1"/>
  <c r="M551" i="1"/>
  <c r="M897" i="1" s="1"/>
  <c r="M550" i="1"/>
  <c r="M896" i="1" s="1"/>
  <c r="M549" i="1"/>
  <c r="M895" i="1" s="1"/>
  <c r="M548" i="1"/>
  <c r="M894" i="1" s="1"/>
  <c r="M547" i="1"/>
  <c r="M893" i="1" s="1"/>
  <c r="M546" i="1"/>
  <c r="M892" i="1" s="1"/>
  <c r="M545" i="1"/>
  <c r="M891" i="1" s="1"/>
  <c r="M544" i="1"/>
  <c r="M890" i="1" s="1"/>
  <c r="M543" i="1"/>
  <c r="M889" i="1" s="1"/>
  <c r="M542" i="1"/>
  <c r="M888" i="1" s="1"/>
  <c r="M541" i="1"/>
  <c r="M887" i="1" s="1"/>
  <c r="M540" i="1"/>
  <c r="M886" i="1" s="1"/>
  <c r="M539" i="1"/>
  <c r="M885" i="1" s="1"/>
  <c r="M538" i="1"/>
  <c r="M884" i="1" s="1"/>
  <c r="M537" i="1"/>
  <c r="M883" i="1" s="1"/>
  <c r="M536" i="1"/>
  <c r="M882" i="1" s="1"/>
  <c r="M535" i="1"/>
  <c r="M881" i="1" s="1"/>
  <c r="M534" i="1"/>
  <c r="M880" i="1" s="1"/>
  <c r="M533" i="1"/>
  <c r="M879" i="1" s="1"/>
  <c r="M532" i="1"/>
  <c r="M878" i="1" s="1"/>
  <c r="M531" i="1"/>
  <c r="M877" i="1" s="1"/>
  <c r="M530" i="1"/>
  <c r="M876" i="1" s="1"/>
  <c r="M529" i="1"/>
  <c r="M875" i="1" s="1"/>
  <c r="M528" i="1"/>
  <c r="M874" i="1" s="1"/>
  <c r="M527" i="1"/>
  <c r="M873" i="1" s="1"/>
  <c r="M526" i="1"/>
  <c r="M872" i="1" s="1"/>
  <c r="M525" i="1"/>
  <c r="M871" i="1" s="1"/>
  <c r="M524" i="1"/>
  <c r="M870" i="1" s="1"/>
  <c r="M523" i="1"/>
  <c r="M869" i="1" s="1"/>
  <c r="M522" i="1"/>
  <c r="M868" i="1" s="1"/>
  <c r="M521" i="1"/>
  <c r="M867" i="1" s="1"/>
  <c r="M520" i="1"/>
  <c r="M866" i="1" s="1"/>
  <c r="M519" i="1"/>
  <c r="M518" i="1"/>
  <c r="M864" i="1" s="1"/>
  <c r="M517" i="1"/>
  <c r="M863" i="1" s="1"/>
  <c r="M516" i="1"/>
  <c r="M862" i="1" s="1"/>
  <c r="M515" i="1"/>
  <c r="M861" i="1" s="1"/>
  <c r="M514" i="1"/>
  <c r="M860" i="1" s="1"/>
  <c r="M513" i="1"/>
  <c r="M859" i="1" s="1"/>
  <c r="M512" i="1"/>
  <c r="M858" i="1" s="1"/>
  <c r="M511" i="1"/>
  <c r="M857" i="1" s="1"/>
  <c r="M510" i="1"/>
  <c r="M856" i="1" s="1"/>
  <c r="M509" i="1"/>
  <c r="M855" i="1" s="1"/>
  <c r="M508" i="1"/>
  <c r="M854" i="1" s="1"/>
  <c r="M507" i="1"/>
  <c r="M853" i="1" s="1"/>
  <c r="M506" i="1"/>
  <c r="M852" i="1" s="1"/>
  <c r="M505" i="1"/>
  <c r="M851" i="1" s="1"/>
  <c r="M504" i="1"/>
  <c r="M850" i="1" s="1"/>
  <c r="M503" i="1"/>
  <c r="M849" i="1" s="1"/>
  <c r="M502" i="1"/>
  <c r="M848" i="1" s="1"/>
  <c r="M501" i="1"/>
  <c r="M847" i="1" s="1"/>
  <c r="M500" i="1"/>
  <c r="M846" i="1" s="1"/>
  <c r="M499" i="1"/>
  <c r="M845" i="1" s="1"/>
  <c r="M498" i="1"/>
  <c r="M497" i="1"/>
  <c r="M843" i="1" s="1"/>
  <c r="M496" i="1"/>
  <c r="M842" i="1" s="1"/>
  <c r="M495" i="1"/>
  <c r="M841" i="1" s="1"/>
  <c r="M494" i="1"/>
  <c r="M840" i="1" s="1"/>
  <c r="M493" i="1"/>
  <c r="M839" i="1" s="1"/>
  <c r="M492" i="1"/>
  <c r="M838" i="1" s="1"/>
  <c r="M491" i="1"/>
  <c r="M837" i="1" s="1"/>
  <c r="M490" i="1"/>
  <c r="M836" i="1" s="1"/>
  <c r="M489" i="1"/>
  <c r="M835" i="1" s="1"/>
  <c r="M488" i="1"/>
  <c r="M834" i="1" s="1"/>
  <c r="M487" i="1"/>
  <c r="M833" i="1" s="1"/>
  <c r="M486" i="1"/>
  <c r="M485" i="1"/>
  <c r="M831" i="1" s="1"/>
  <c r="M484" i="1"/>
  <c r="M830" i="1" s="1"/>
  <c r="M483" i="1"/>
  <c r="M829" i="1" s="1"/>
  <c r="M482" i="1"/>
  <c r="M828" i="1" s="1"/>
  <c r="M481" i="1"/>
  <c r="M827" i="1" s="1"/>
  <c r="M480" i="1"/>
  <c r="M826" i="1" s="1"/>
  <c r="M479" i="1"/>
  <c r="M825" i="1" s="1"/>
  <c r="M478" i="1"/>
  <c r="M824" i="1" s="1"/>
  <c r="M477" i="1"/>
  <c r="M823" i="1" s="1"/>
  <c r="M476" i="1"/>
  <c r="M822" i="1" s="1"/>
  <c r="M475" i="1"/>
  <c r="M474" i="1"/>
  <c r="M820" i="1" s="1"/>
  <c r="M473" i="1"/>
  <c r="M819" i="1" s="1"/>
  <c r="M472" i="1"/>
  <c r="M818" i="1" s="1"/>
  <c r="M471" i="1"/>
  <c r="M817" i="1" s="1"/>
  <c r="M470" i="1"/>
  <c r="M816" i="1" s="1"/>
  <c r="M469" i="1"/>
  <c r="M815" i="1" s="1"/>
  <c r="M468" i="1"/>
  <c r="M814" i="1" s="1"/>
  <c r="M467" i="1"/>
  <c r="M813" i="1" s="1"/>
  <c r="M466" i="1"/>
  <c r="M812" i="1" s="1"/>
  <c r="M465" i="1"/>
  <c r="M811" i="1" s="1"/>
  <c r="M464" i="1"/>
  <c r="M810" i="1" s="1"/>
  <c r="M463" i="1"/>
  <c r="M809" i="1" s="1"/>
  <c r="M462" i="1"/>
  <c r="M808" i="1" s="1"/>
  <c r="M461" i="1"/>
  <c r="M807" i="1" s="1"/>
  <c r="M460" i="1"/>
  <c r="M806" i="1" s="1"/>
  <c r="M459" i="1"/>
  <c r="M805" i="1" s="1"/>
  <c r="M458" i="1"/>
  <c r="M804" i="1" s="1"/>
  <c r="M457" i="1"/>
  <c r="M803" i="1" s="1"/>
  <c r="M456" i="1"/>
  <c r="M802" i="1" s="1"/>
  <c r="M455" i="1"/>
  <c r="M801" i="1" s="1"/>
  <c r="M454" i="1"/>
  <c r="M800" i="1" s="1"/>
  <c r="M453" i="1"/>
  <c r="M799" i="1" s="1"/>
  <c r="M452" i="1"/>
  <c r="M798" i="1" s="1"/>
  <c r="M451" i="1"/>
  <c r="M797" i="1" s="1"/>
  <c r="M450" i="1"/>
  <c r="M796" i="1" s="1"/>
  <c r="M449" i="1"/>
  <c r="M795" i="1" s="1"/>
  <c r="M448" i="1"/>
  <c r="M794" i="1" s="1"/>
  <c r="M447" i="1"/>
  <c r="M793" i="1" s="1"/>
  <c r="M446" i="1"/>
  <c r="M792" i="1" s="1"/>
  <c r="M445" i="1"/>
  <c r="M791" i="1" s="1"/>
  <c r="M444" i="1"/>
  <c r="M790" i="1" s="1"/>
  <c r="M443" i="1"/>
  <c r="M789" i="1" s="1"/>
  <c r="M442" i="1"/>
  <c r="M788" i="1" s="1"/>
  <c r="M441" i="1"/>
  <c r="M787" i="1" s="1"/>
  <c r="M440" i="1"/>
  <c r="M786" i="1" s="1"/>
  <c r="M439" i="1"/>
  <c r="M785" i="1" s="1"/>
  <c r="M438" i="1"/>
  <c r="M784" i="1" s="1"/>
  <c r="M437" i="1"/>
  <c r="M783" i="1" s="1"/>
  <c r="M436" i="1"/>
  <c r="M782" i="1" s="1"/>
  <c r="M435" i="1"/>
  <c r="M781" i="1" s="1"/>
  <c r="M434" i="1"/>
  <c r="M780" i="1" s="1"/>
  <c r="M433" i="1"/>
  <c r="M779" i="1" s="1"/>
  <c r="M432" i="1"/>
  <c r="M778" i="1" s="1"/>
  <c r="M431" i="1"/>
  <c r="M777" i="1" s="1"/>
  <c r="M430" i="1"/>
  <c r="M776" i="1" s="1"/>
  <c r="M429" i="1"/>
  <c r="M775" i="1" s="1"/>
  <c r="M428" i="1"/>
  <c r="M774" i="1" s="1"/>
  <c r="M427" i="1"/>
  <c r="M773" i="1" s="1"/>
  <c r="M426" i="1"/>
  <c r="M772" i="1" s="1"/>
  <c r="M425" i="1"/>
  <c r="M771" i="1" s="1"/>
  <c r="M424" i="1"/>
  <c r="M770" i="1" s="1"/>
  <c r="M423" i="1"/>
  <c r="M769" i="1" s="1"/>
  <c r="M422" i="1"/>
  <c r="M768" i="1" s="1"/>
  <c r="M421" i="1"/>
  <c r="M767" i="1" s="1"/>
  <c r="M420" i="1"/>
  <c r="M766" i="1" s="1"/>
  <c r="M419" i="1"/>
  <c r="M765" i="1" s="1"/>
  <c r="M418" i="1"/>
  <c r="M764" i="1" s="1"/>
  <c r="M417" i="1"/>
  <c r="M763" i="1" s="1"/>
  <c r="M416" i="1"/>
  <c r="M762" i="1" s="1"/>
  <c r="M415" i="1"/>
  <c r="M761" i="1" s="1"/>
  <c r="M414" i="1"/>
  <c r="M760" i="1" s="1"/>
  <c r="M413" i="1"/>
  <c r="M759" i="1" s="1"/>
  <c r="M412" i="1"/>
  <c r="M758" i="1" s="1"/>
  <c r="M411" i="1"/>
  <c r="M757" i="1" s="1"/>
  <c r="M410" i="1"/>
  <c r="M756" i="1" s="1"/>
  <c r="M409" i="1"/>
  <c r="M755" i="1" s="1"/>
  <c r="M408" i="1"/>
  <c r="M754" i="1" s="1"/>
  <c r="M407" i="1"/>
  <c r="M753" i="1" s="1"/>
  <c r="M406" i="1"/>
  <c r="M752" i="1" s="1"/>
  <c r="M405" i="1"/>
  <c r="M751" i="1" s="1"/>
  <c r="M404" i="1"/>
  <c r="M750" i="1" s="1"/>
  <c r="M403" i="1"/>
  <c r="M749" i="1" s="1"/>
  <c r="M402" i="1"/>
  <c r="M748" i="1" s="1"/>
  <c r="M401" i="1"/>
  <c r="M747" i="1" s="1"/>
  <c r="M400" i="1"/>
  <c r="M746" i="1" s="1"/>
  <c r="M399" i="1"/>
  <c r="M745" i="1" s="1"/>
  <c r="M398" i="1"/>
  <c r="M744" i="1" s="1"/>
  <c r="M397" i="1"/>
  <c r="M743" i="1" s="1"/>
  <c r="M396" i="1"/>
  <c r="M742" i="1" s="1"/>
  <c r="M395" i="1"/>
  <c r="M741" i="1" s="1"/>
  <c r="M394" i="1"/>
  <c r="M740" i="1" s="1"/>
  <c r="M393" i="1"/>
  <c r="M739" i="1" s="1"/>
  <c r="M392" i="1"/>
  <c r="M738" i="1" s="1"/>
  <c r="M391" i="1"/>
  <c r="M737" i="1" s="1"/>
  <c r="M390" i="1"/>
  <c r="M736" i="1" s="1"/>
  <c r="M389" i="1"/>
  <c r="M735" i="1" s="1"/>
  <c r="M388" i="1"/>
  <c r="M734" i="1" s="1"/>
  <c r="M387" i="1"/>
  <c r="M733" i="1" s="1"/>
  <c r="M386" i="1"/>
  <c r="M732" i="1" s="1"/>
  <c r="M385" i="1"/>
  <c r="M384" i="1"/>
  <c r="M730" i="1" s="1"/>
  <c r="M383" i="1"/>
  <c r="M729" i="1" s="1"/>
  <c r="M382" i="1"/>
  <c r="M728" i="1" s="1"/>
  <c r="M381" i="1"/>
  <c r="M727" i="1" s="1"/>
  <c r="M380" i="1"/>
  <c r="M726" i="1" s="1"/>
  <c r="M379" i="1"/>
  <c r="M725" i="1" s="1"/>
  <c r="M378" i="1"/>
  <c r="M724" i="1" s="1"/>
  <c r="M377" i="1"/>
  <c r="M723" i="1" s="1"/>
  <c r="M376" i="1"/>
  <c r="M722" i="1" s="1"/>
  <c r="M375" i="1"/>
  <c r="M721" i="1" s="1"/>
  <c r="M374" i="1"/>
  <c r="M720" i="1" s="1"/>
  <c r="M373" i="1"/>
  <c r="M719" i="1" s="1"/>
  <c r="M372" i="1"/>
  <c r="M718" i="1" s="1"/>
  <c r="M371" i="1"/>
  <c r="M717" i="1" s="1"/>
  <c r="M370" i="1"/>
  <c r="M716" i="1" s="1"/>
  <c r="M369" i="1"/>
  <c r="M715" i="1" s="1"/>
  <c r="M368" i="1"/>
  <c r="M714" i="1" s="1"/>
  <c r="M367" i="1"/>
  <c r="M713" i="1" s="1"/>
  <c r="M366" i="1"/>
  <c r="M712" i="1" s="1"/>
  <c r="M365" i="1"/>
  <c r="M711" i="1" s="1"/>
  <c r="M364" i="1"/>
  <c r="M710" i="1" s="1"/>
  <c r="M363" i="1"/>
  <c r="M362" i="1"/>
  <c r="M708" i="1" s="1"/>
  <c r="M361" i="1"/>
  <c r="M707" i="1" s="1"/>
  <c r="M360" i="1"/>
  <c r="M706" i="1" s="1"/>
  <c r="M359" i="1"/>
  <c r="M705" i="1" s="1"/>
  <c r="M358" i="1"/>
  <c r="M704" i="1" s="1"/>
  <c r="M357" i="1"/>
  <c r="M356" i="1"/>
  <c r="M702" i="1" s="1"/>
  <c r="M355" i="1"/>
  <c r="M701" i="1" s="1"/>
  <c r="M354" i="1"/>
  <c r="M353" i="1"/>
  <c r="M699" i="1" s="1"/>
  <c r="M352" i="1"/>
  <c r="M698" i="1" s="1"/>
  <c r="M351" i="1"/>
  <c r="M697" i="1" s="1"/>
  <c r="M350" i="1"/>
  <c r="M696" i="1" s="1"/>
  <c r="M346" i="1" a="1"/>
  <c r="M346" i="1" s="1"/>
  <c r="M345" i="1" a="1"/>
  <c r="M345" i="1" s="1"/>
  <c r="M344" i="1" a="1"/>
  <c r="M344" i="1" s="1"/>
  <c r="M343" i="1" a="1"/>
  <c r="M343" i="1" s="1"/>
  <c r="M342" i="1" a="1"/>
  <c r="M342" i="1" s="1"/>
  <c r="M341" i="1" a="1"/>
  <c r="M341" i="1" s="1"/>
  <c r="M340" i="1" a="1"/>
  <c r="M340" i="1" s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 a="1"/>
  <c r="M319" i="1" s="1"/>
  <c r="M318" i="1"/>
  <c r="M317" i="1"/>
  <c r="M316" i="1"/>
  <c r="M315" i="1"/>
  <c r="M314" i="1"/>
  <c r="M313" i="1"/>
  <c r="M312" i="1"/>
  <c r="M311" i="1"/>
  <c r="M310" i="1"/>
  <c r="M309" i="1"/>
  <c r="M308" i="1" a="1"/>
  <c r="M308" i="1" s="1"/>
  <c r="M307" i="1"/>
  <c r="M306" i="1"/>
  <c r="M305" i="1"/>
  <c r="M304" i="1"/>
  <c r="M303" i="1"/>
  <c r="M302" i="1"/>
  <c r="M301" i="1"/>
  <c r="M300" i="1"/>
  <c r="M299" i="1"/>
  <c r="M298" i="1"/>
  <c r="M297" i="1" a="1"/>
  <c r="M297" i="1" s="1"/>
  <c r="M296" i="1"/>
  <c r="M295" i="1"/>
  <c r="M294" i="1"/>
  <c r="M293" i="1"/>
  <c r="M292" i="1"/>
  <c r="M291" i="1" a="1"/>
  <c r="M291" i="1" s="1"/>
  <c r="M290" i="1"/>
  <c r="M289" i="1"/>
  <c r="M288" i="1"/>
  <c r="M287" i="1"/>
  <c r="M286" i="1"/>
  <c r="M285" i="1" a="1"/>
  <c r="M285" i="1" s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 a="1"/>
  <c r="M263" i="1" s="1"/>
  <c r="M262" i="1"/>
  <c r="M261" i="1"/>
  <c r="M260" i="1"/>
  <c r="M259" i="1"/>
  <c r="M258" i="1"/>
  <c r="M257" i="1"/>
  <c r="M256" i="1"/>
  <c r="M255" i="1"/>
  <c r="M254" i="1"/>
  <c r="M253" i="1"/>
  <c r="M252" i="1" a="1"/>
  <c r="M252" i="1" s="1"/>
  <c r="M251" i="1"/>
  <c r="M250" i="1"/>
  <c r="M249" i="1"/>
  <c r="M248" i="1"/>
  <c r="M247" i="1"/>
  <c r="M246" i="1"/>
  <c r="M245" i="1"/>
  <c r="M244" i="1"/>
  <c r="M243" i="1"/>
  <c r="M242" i="1"/>
  <c r="M241" i="1" a="1"/>
  <c r="M241" i="1" s="1"/>
  <c r="M240" i="1"/>
  <c r="M239" i="1"/>
  <c r="M238" i="1"/>
  <c r="M237" i="1"/>
  <c r="M236" i="1"/>
  <c r="M235" i="1" a="1"/>
  <c r="M235" i="1" s="1"/>
  <c r="M234" i="1"/>
  <c r="M233" i="1"/>
  <c r="M232" i="1"/>
  <c r="M231" i="1"/>
  <c r="M230" i="1"/>
  <c r="M229" i="1" a="1"/>
  <c r="M229" i="1" s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 a="1"/>
  <c r="M207" i="1" s="1"/>
  <c r="M206" i="1"/>
  <c r="M205" i="1"/>
  <c r="M204" i="1"/>
  <c r="M203" i="1"/>
  <c r="M202" i="1"/>
  <c r="M201" i="1"/>
  <c r="M200" i="1"/>
  <c r="M199" i="1"/>
  <c r="M198" i="1"/>
  <c r="M197" i="1"/>
  <c r="M196" i="1" a="1"/>
  <c r="M196" i="1" s="1"/>
  <c r="M195" i="1"/>
  <c r="M194" i="1"/>
  <c r="M193" i="1"/>
  <c r="M192" i="1"/>
  <c r="M191" i="1"/>
  <c r="M190" i="1"/>
  <c r="M189" i="1"/>
  <c r="M188" i="1"/>
  <c r="M187" i="1"/>
  <c r="M186" i="1"/>
  <c r="M185" i="1" a="1"/>
  <c r="M185" i="1" s="1"/>
  <c r="M184" i="1"/>
  <c r="M183" i="1"/>
  <c r="M182" i="1"/>
  <c r="M181" i="1"/>
  <c r="M180" i="1"/>
  <c r="M179" i="1" a="1"/>
  <c r="M179" i="1" s="1"/>
  <c r="M178" i="1"/>
  <c r="M177" i="1"/>
  <c r="M176" i="1"/>
  <c r="M175" i="1"/>
  <c r="M174" i="1"/>
  <c r="M173" i="1" a="1"/>
  <c r="M173" i="1" s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 a="1"/>
  <c r="M151" i="1" s="1"/>
  <c r="M150" i="1"/>
  <c r="M149" i="1"/>
  <c r="M148" i="1"/>
  <c r="M147" i="1"/>
  <c r="M146" i="1"/>
  <c r="M145" i="1"/>
  <c r="M144" i="1"/>
  <c r="M143" i="1"/>
  <c r="M142" i="1"/>
  <c r="M141" i="1"/>
  <c r="M140" i="1" a="1"/>
  <c r="M140" i="1" s="1"/>
  <c r="M139" i="1"/>
  <c r="M138" i="1"/>
  <c r="M137" i="1"/>
  <c r="M136" i="1"/>
  <c r="M135" i="1"/>
  <c r="M134" i="1"/>
  <c r="M133" i="1"/>
  <c r="M132" i="1"/>
  <c r="M131" i="1"/>
  <c r="M130" i="1"/>
  <c r="M129" i="1" a="1"/>
  <c r="M129" i="1" s="1"/>
  <c r="M128" i="1"/>
  <c r="M127" i="1"/>
  <c r="M126" i="1"/>
  <c r="M125" i="1"/>
  <c r="M124" i="1"/>
  <c r="M123" i="1" a="1"/>
  <c r="M123" i="1" s="1"/>
  <c r="M122" i="1"/>
  <c r="M121" i="1"/>
  <c r="M120" i="1"/>
  <c r="M119" i="1"/>
  <c r="M118" i="1"/>
  <c r="M117" i="1" a="1"/>
  <c r="M117" i="1" s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 a="1"/>
  <c r="M95" i="1" s="1"/>
  <c r="M94" i="1"/>
  <c r="M93" i="1"/>
  <c r="M92" i="1"/>
  <c r="M91" i="1"/>
  <c r="M90" i="1"/>
  <c r="M89" i="1"/>
  <c r="M88" i="1"/>
  <c r="M87" i="1"/>
  <c r="M86" i="1"/>
  <c r="M85" i="1"/>
  <c r="M84" i="1" a="1"/>
  <c r="M84" i="1" s="1"/>
  <c r="M83" i="1"/>
  <c r="M82" i="1"/>
  <c r="M81" i="1"/>
  <c r="M80" i="1"/>
  <c r="M79" i="1"/>
  <c r="M78" i="1"/>
  <c r="M77" i="1"/>
  <c r="M76" i="1"/>
  <c r="M75" i="1"/>
  <c r="M74" i="1"/>
  <c r="M73" i="1" a="1"/>
  <c r="M73" i="1" s="1"/>
  <c r="M72" i="1"/>
  <c r="M71" i="1"/>
  <c r="M70" i="1"/>
  <c r="M69" i="1"/>
  <c r="M68" i="1"/>
  <c r="M67" i="1" a="1"/>
  <c r="M67" i="1" s="1"/>
  <c r="M66" i="1"/>
  <c r="M65" i="1"/>
  <c r="M64" i="1"/>
  <c r="M63" i="1"/>
  <c r="M62" i="1"/>
  <c r="M61" i="1" a="1"/>
  <c r="M61" i="1" s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 a="1"/>
  <c r="M39" i="1" s="1"/>
  <c r="M38" i="1"/>
  <c r="M37" i="1"/>
  <c r="M36" i="1"/>
  <c r="M35" i="1"/>
  <c r="M34" i="1"/>
  <c r="M33" i="1"/>
  <c r="M32" i="1"/>
  <c r="M31" i="1"/>
  <c r="M30" i="1"/>
  <c r="M29" i="1"/>
  <c r="M28" i="1" a="1"/>
  <c r="M28" i="1" s="1"/>
  <c r="M27" i="1"/>
  <c r="M26" i="1"/>
  <c r="M25" i="1"/>
  <c r="M24" i="1"/>
  <c r="M23" i="1"/>
  <c r="M22" i="1"/>
  <c r="M21" i="1"/>
  <c r="M20" i="1"/>
  <c r="M19" i="1"/>
  <c r="M18" i="1"/>
  <c r="M17" i="1" a="1"/>
  <c r="M17" i="1" s="1"/>
  <c r="M16" i="1"/>
  <c r="M15" i="1"/>
  <c r="M14" i="1"/>
  <c r="M13" i="1"/>
  <c r="M12" i="1"/>
  <c r="M11" i="1" a="1"/>
  <c r="M11" i="1" s="1"/>
  <c r="M10" i="1"/>
  <c r="M9" i="1"/>
  <c r="M8" i="1"/>
  <c r="M7" i="1"/>
  <c r="M6" i="1"/>
  <c r="M5" i="1" a="1"/>
  <c r="M5" i="1" s="1"/>
  <c r="M4" i="1"/>
  <c r="J88" i="2"/>
  <c r="J38" i="2"/>
  <c r="B12" i="2" s="1"/>
  <c r="AE123" i="1" l="1"/>
  <c r="AF692" i="1"/>
  <c r="AF691" i="1"/>
  <c r="AE574" i="1"/>
  <c r="AE654" i="1"/>
  <c r="AE350" i="1"/>
  <c r="AE413" i="1"/>
  <c r="AE61" i="1"/>
  <c r="AE241" i="1"/>
  <c r="AE519" i="1"/>
  <c r="AE363" i="1"/>
  <c r="AE687" i="1"/>
  <c r="AE351" i="1"/>
  <c r="AE486" i="1"/>
  <c r="AE497" i="1"/>
  <c r="AE581" i="1"/>
  <c r="AE630" i="1"/>
  <c r="M927" i="1"/>
  <c r="AE67" i="1"/>
  <c r="AE235" i="1"/>
  <c r="AE475" i="1"/>
  <c r="AE643" i="1"/>
  <c r="M821" i="1"/>
  <c r="AE285" i="1"/>
  <c r="AE609" i="1"/>
  <c r="AE179" i="1"/>
  <c r="AE263" i="1"/>
  <c r="AE374" i="1"/>
  <c r="M865" i="1"/>
  <c r="AE129" i="1"/>
  <c r="AE357" i="1"/>
  <c r="AE252" i="1"/>
  <c r="AE525" i="1"/>
  <c r="AE690" i="1"/>
  <c r="AE692" i="1"/>
  <c r="M1032" i="1" a="1"/>
  <c r="M1032" i="1" s="1"/>
  <c r="AE686" i="1"/>
  <c r="M731" i="1"/>
  <c r="AE637" i="1"/>
  <c r="AE39" i="1"/>
  <c r="AE407" i="1"/>
  <c r="AE542" i="1"/>
  <c r="M1035" i="1"/>
  <c r="AE689" i="1"/>
  <c r="AE688" i="1"/>
  <c r="AE73" i="1"/>
  <c r="AE95" i="1"/>
  <c r="AE319" i="1"/>
  <c r="AE419" i="1"/>
  <c r="AE553" i="1"/>
  <c r="M709" i="1"/>
  <c r="AE531" i="1"/>
  <c r="AE665" i="1"/>
  <c r="AE84" i="1"/>
  <c r="AE462" i="1"/>
  <c r="AE308" i="1"/>
  <c r="AE430" i="1"/>
  <c r="AE575" i="1"/>
  <c r="M928" i="1"/>
  <c r="M976" i="1"/>
  <c r="AE441" i="1"/>
  <c r="M832" i="1"/>
  <c r="M844" i="1"/>
  <c r="M989" i="1"/>
  <c r="AE28" i="1"/>
  <c r="AE463" i="1"/>
  <c r="M700" i="1"/>
  <c r="AE207" i="1"/>
  <c r="AE469" i="1"/>
  <c r="AE598" i="1"/>
  <c r="M955" i="1"/>
  <c r="AE196" i="1"/>
  <c r="AE385" i="1"/>
  <c r="AE17" i="1"/>
  <c r="AE297" i="1"/>
  <c r="AE11" i="1"/>
  <c r="AE587" i="1"/>
  <c r="AE151" i="1"/>
  <c r="AE185" i="1"/>
  <c r="AE631" i="1"/>
  <c r="M703" i="1"/>
  <c r="AE140" i="1"/>
  <c r="AE691" i="1"/>
  <c r="N33" i="2"/>
  <c r="E13" i="2" s="1"/>
  <c r="O33" i="2"/>
  <c r="D13" i="2" s="1"/>
  <c r="AE518" i="1"/>
  <c r="AE406" i="1"/>
  <c r="AE229" i="1"/>
  <c r="AE228" i="1"/>
  <c r="AE4" i="1"/>
  <c r="AE5" i="1"/>
  <c r="AE173" i="1"/>
  <c r="AE172" i="1"/>
  <c r="AE116" i="1"/>
  <c r="AE117" i="1"/>
  <c r="AE284" i="1"/>
  <c r="AE291" i="1"/>
  <c r="AE60" i="1"/>
  <c r="AE340" i="1"/>
  <c r="M38" i="2"/>
  <c r="L38" i="2" a="1"/>
  <c r="L38" i="2" s="1"/>
  <c r="H38" i="2"/>
  <c r="L692" i="1" a="1"/>
  <c r="L692" i="1" s="1"/>
  <c r="L1038" i="1" s="1" a="1"/>
  <c r="L1038" i="1" s="1"/>
  <c r="L691" i="1"/>
  <c r="L1037" i="1" s="1"/>
  <c r="L690" i="1"/>
  <c r="L689" i="1"/>
  <c r="L688" i="1"/>
  <c r="L687" i="1"/>
  <c r="L1033" i="1" s="1"/>
  <c r="L686" i="1" a="1"/>
  <c r="L686" i="1" s="1"/>
  <c r="L685" i="1"/>
  <c r="L1031" i="1" s="1"/>
  <c r="L684" i="1"/>
  <c r="L1030" i="1" s="1"/>
  <c r="L683" i="1"/>
  <c r="L1029" i="1" s="1"/>
  <c r="L682" i="1"/>
  <c r="L1028" i="1" s="1"/>
  <c r="L681" i="1"/>
  <c r="L1027" i="1" s="1"/>
  <c r="L680" i="1"/>
  <c r="L1026" i="1" s="1"/>
  <c r="L679" i="1"/>
  <c r="L1025" i="1" s="1"/>
  <c r="L678" i="1"/>
  <c r="L1024" i="1" s="1"/>
  <c r="L677" i="1"/>
  <c r="L1023" i="1" s="1"/>
  <c r="L676" i="1"/>
  <c r="L1022" i="1" s="1"/>
  <c r="L675" i="1"/>
  <c r="L1021" i="1" s="1"/>
  <c r="L674" i="1"/>
  <c r="L1020" i="1" s="1"/>
  <c r="L673" i="1"/>
  <c r="L1019" i="1" s="1"/>
  <c r="L672" i="1"/>
  <c r="L1018" i="1" s="1"/>
  <c r="L671" i="1"/>
  <c r="L1017" i="1" s="1"/>
  <c r="L670" i="1"/>
  <c r="L1016" i="1" s="1"/>
  <c r="L669" i="1"/>
  <c r="L1015" i="1" s="1"/>
  <c r="L668" i="1"/>
  <c r="L1014" i="1" s="1"/>
  <c r="L667" i="1"/>
  <c r="L1013" i="1" s="1"/>
  <c r="L666" i="1"/>
  <c r="L1012" i="1" s="1"/>
  <c r="L665" i="1"/>
  <c r="L664" i="1"/>
  <c r="L1010" i="1" s="1"/>
  <c r="L663" i="1"/>
  <c r="L1009" i="1" s="1"/>
  <c r="L662" i="1"/>
  <c r="L1008" i="1" s="1"/>
  <c r="L661" i="1"/>
  <c r="L1007" i="1" s="1"/>
  <c r="L660" i="1"/>
  <c r="L1006" i="1" s="1"/>
  <c r="L659" i="1"/>
  <c r="L1005" i="1" s="1"/>
  <c r="L658" i="1"/>
  <c r="L1004" i="1" s="1"/>
  <c r="L657" i="1"/>
  <c r="L1003" i="1" s="1"/>
  <c r="L656" i="1"/>
  <c r="L1002" i="1" s="1"/>
  <c r="L655" i="1"/>
  <c r="L1001" i="1" s="1"/>
  <c r="L654" i="1"/>
  <c r="L653" i="1"/>
  <c r="L999" i="1" s="1"/>
  <c r="L652" i="1"/>
  <c r="L998" i="1" s="1"/>
  <c r="L651" i="1"/>
  <c r="L997" i="1" s="1"/>
  <c r="L650" i="1"/>
  <c r="L996" i="1" s="1"/>
  <c r="L649" i="1"/>
  <c r="L995" i="1" s="1"/>
  <c r="L648" i="1"/>
  <c r="L994" i="1" s="1"/>
  <c r="L647" i="1"/>
  <c r="L993" i="1" s="1"/>
  <c r="L646" i="1"/>
  <c r="L992" i="1" s="1"/>
  <c r="L645" i="1"/>
  <c r="L991" i="1" s="1"/>
  <c r="L644" i="1"/>
  <c r="L990" i="1" s="1"/>
  <c r="L643" i="1"/>
  <c r="L642" i="1"/>
  <c r="L988" i="1" s="1"/>
  <c r="L641" i="1"/>
  <c r="L987" i="1" s="1"/>
  <c r="L640" i="1"/>
  <c r="L986" i="1" s="1"/>
  <c r="L639" i="1"/>
  <c r="L985" i="1" s="1"/>
  <c r="L638" i="1"/>
  <c r="L984" i="1" s="1"/>
  <c r="L637" i="1"/>
  <c r="L983" i="1" s="1"/>
  <c r="L636" i="1"/>
  <c r="L982" i="1" s="1"/>
  <c r="L635" i="1"/>
  <c r="L981" i="1" s="1"/>
  <c r="L634" i="1"/>
  <c r="L980" i="1" s="1"/>
  <c r="L633" i="1"/>
  <c r="L979" i="1" s="1"/>
  <c r="L632" i="1"/>
  <c r="L978" i="1" s="1"/>
  <c r="L631" i="1"/>
  <c r="L630" i="1"/>
  <c r="L629" i="1"/>
  <c r="L975" i="1" s="1"/>
  <c r="L628" i="1"/>
  <c r="L974" i="1" s="1"/>
  <c r="L627" i="1"/>
  <c r="L973" i="1" s="1"/>
  <c r="L626" i="1"/>
  <c r="L972" i="1" s="1"/>
  <c r="L625" i="1"/>
  <c r="L971" i="1" s="1"/>
  <c r="L624" i="1"/>
  <c r="L970" i="1" s="1"/>
  <c r="L623" i="1"/>
  <c r="L969" i="1" s="1"/>
  <c r="L622" i="1"/>
  <c r="L968" i="1" s="1"/>
  <c r="L621" i="1"/>
  <c r="L967" i="1" s="1"/>
  <c r="L620" i="1"/>
  <c r="L966" i="1" s="1"/>
  <c r="L619" i="1"/>
  <c r="L965" i="1" s="1"/>
  <c r="L618" i="1"/>
  <c r="L964" i="1" s="1"/>
  <c r="L617" i="1"/>
  <c r="L963" i="1" s="1"/>
  <c r="L616" i="1"/>
  <c r="L962" i="1" s="1"/>
  <c r="L615" i="1"/>
  <c r="L961" i="1" s="1"/>
  <c r="L614" i="1"/>
  <c r="L960" i="1" s="1"/>
  <c r="L613" i="1"/>
  <c r="L959" i="1" s="1"/>
  <c r="L612" i="1"/>
  <c r="L958" i="1" s="1"/>
  <c r="L611" i="1"/>
  <c r="L957" i="1" s="1"/>
  <c r="L610" i="1"/>
  <c r="L956" i="1" s="1"/>
  <c r="L609" i="1"/>
  <c r="L955" i="1" s="1"/>
  <c r="L608" i="1"/>
  <c r="L954" i="1" s="1"/>
  <c r="L607" i="1"/>
  <c r="L953" i="1" s="1"/>
  <c r="L606" i="1"/>
  <c r="L952" i="1" s="1"/>
  <c r="L605" i="1"/>
  <c r="L951" i="1" s="1"/>
  <c r="L604" i="1"/>
  <c r="L950" i="1" s="1"/>
  <c r="L603" i="1"/>
  <c r="L949" i="1" s="1"/>
  <c r="L602" i="1"/>
  <c r="L948" i="1" s="1"/>
  <c r="L601" i="1"/>
  <c r="L947" i="1" s="1"/>
  <c r="L600" i="1"/>
  <c r="L946" i="1" s="1"/>
  <c r="L599" i="1"/>
  <c r="L945" i="1" s="1"/>
  <c r="L598" i="1"/>
  <c r="L944" i="1" s="1"/>
  <c r="L597" i="1"/>
  <c r="L943" i="1" s="1"/>
  <c r="L596" i="1"/>
  <c r="L942" i="1" s="1"/>
  <c r="L595" i="1"/>
  <c r="L941" i="1" s="1"/>
  <c r="L594" i="1"/>
  <c r="L940" i="1" s="1"/>
  <c r="L593" i="1"/>
  <c r="L939" i="1" s="1"/>
  <c r="L592" i="1"/>
  <c r="L938" i="1" s="1"/>
  <c r="L591" i="1"/>
  <c r="L937" i="1" s="1"/>
  <c r="L590" i="1"/>
  <c r="L936" i="1" s="1"/>
  <c r="L589" i="1"/>
  <c r="L935" i="1" s="1"/>
  <c r="L588" i="1"/>
  <c r="L934" i="1" s="1"/>
  <c r="L587" i="1"/>
  <c r="L933" i="1" s="1"/>
  <c r="L586" i="1"/>
  <c r="L932" i="1" s="1"/>
  <c r="L585" i="1"/>
  <c r="L931" i="1" s="1"/>
  <c r="L584" i="1"/>
  <c r="L930" i="1" s="1"/>
  <c r="L583" i="1"/>
  <c r="L929" i="1" s="1"/>
  <c r="L582" i="1"/>
  <c r="L928" i="1" s="1"/>
  <c r="L581" i="1"/>
  <c r="L580" i="1"/>
  <c r="L926" i="1" s="1"/>
  <c r="L579" i="1"/>
  <c r="L925" i="1" s="1"/>
  <c r="L578" i="1"/>
  <c r="L924" i="1" s="1"/>
  <c r="L577" i="1"/>
  <c r="L923" i="1" s="1"/>
  <c r="L576" i="1"/>
  <c r="L922" i="1" s="1"/>
  <c r="L575" i="1"/>
  <c r="L921" i="1" s="1"/>
  <c r="L574" i="1"/>
  <c r="L920" i="1" s="1"/>
  <c r="L573" i="1"/>
  <c r="L919" i="1" s="1"/>
  <c r="L572" i="1"/>
  <c r="L918" i="1" s="1"/>
  <c r="L571" i="1"/>
  <c r="L917" i="1" s="1"/>
  <c r="L570" i="1"/>
  <c r="L916" i="1" s="1"/>
  <c r="L569" i="1"/>
  <c r="L915" i="1" s="1"/>
  <c r="L568" i="1"/>
  <c r="L914" i="1" s="1"/>
  <c r="L567" i="1"/>
  <c r="L913" i="1" s="1"/>
  <c r="L566" i="1"/>
  <c r="L912" i="1" s="1"/>
  <c r="L565" i="1"/>
  <c r="L911" i="1" s="1"/>
  <c r="L564" i="1"/>
  <c r="L910" i="1" s="1"/>
  <c r="L563" i="1"/>
  <c r="L909" i="1" s="1"/>
  <c r="L562" i="1"/>
  <c r="L908" i="1" s="1"/>
  <c r="L561" i="1"/>
  <c r="L907" i="1" s="1"/>
  <c r="L560" i="1"/>
  <c r="L906" i="1" s="1"/>
  <c r="L559" i="1"/>
  <c r="L905" i="1" s="1"/>
  <c r="L558" i="1"/>
  <c r="L904" i="1" s="1"/>
  <c r="L557" i="1"/>
  <c r="L903" i="1" s="1"/>
  <c r="L556" i="1"/>
  <c r="L902" i="1" s="1"/>
  <c r="L555" i="1"/>
  <c r="L901" i="1" s="1"/>
  <c r="L554" i="1"/>
  <c r="L900" i="1" s="1"/>
  <c r="L553" i="1"/>
  <c r="L899" i="1" s="1"/>
  <c r="L552" i="1"/>
  <c r="L898" i="1" s="1"/>
  <c r="L551" i="1"/>
  <c r="L897" i="1" s="1"/>
  <c r="L550" i="1"/>
  <c r="L896" i="1" s="1"/>
  <c r="L549" i="1"/>
  <c r="L895" i="1" s="1"/>
  <c r="L548" i="1"/>
  <c r="L894" i="1" s="1"/>
  <c r="L547" i="1"/>
  <c r="L893" i="1" s="1"/>
  <c r="L546" i="1"/>
  <c r="L892" i="1" s="1"/>
  <c r="L545" i="1"/>
  <c r="L891" i="1" s="1"/>
  <c r="L544" i="1"/>
  <c r="L890" i="1" s="1"/>
  <c r="L543" i="1"/>
  <c r="L889" i="1" s="1"/>
  <c r="L542" i="1"/>
  <c r="L888" i="1" s="1"/>
  <c r="L541" i="1"/>
  <c r="L887" i="1" s="1"/>
  <c r="L540" i="1"/>
  <c r="L886" i="1" s="1"/>
  <c r="L539" i="1"/>
  <c r="L885" i="1" s="1"/>
  <c r="L538" i="1"/>
  <c r="L884" i="1" s="1"/>
  <c r="L537" i="1"/>
  <c r="L883" i="1" s="1"/>
  <c r="L536" i="1"/>
  <c r="L882" i="1" s="1"/>
  <c r="L535" i="1"/>
  <c r="L881" i="1" s="1"/>
  <c r="L534" i="1"/>
  <c r="L880" i="1" s="1"/>
  <c r="L533" i="1"/>
  <c r="L879" i="1" s="1"/>
  <c r="L532" i="1"/>
  <c r="L878" i="1" s="1"/>
  <c r="L531" i="1"/>
  <c r="L877" i="1" s="1"/>
  <c r="L530" i="1"/>
  <c r="L876" i="1" s="1"/>
  <c r="L529" i="1"/>
  <c r="L875" i="1" s="1"/>
  <c r="L528" i="1"/>
  <c r="L874" i="1" s="1"/>
  <c r="L527" i="1"/>
  <c r="L873" i="1" s="1"/>
  <c r="L526" i="1"/>
  <c r="L872" i="1" s="1"/>
  <c r="L525" i="1"/>
  <c r="L524" i="1"/>
  <c r="L870" i="1" s="1"/>
  <c r="L523" i="1"/>
  <c r="L869" i="1" s="1"/>
  <c r="L522" i="1"/>
  <c r="L868" i="1" s="1"/>
  <c r="L521" i="1"/>
  <c r="L867" i="1" s="1"/>
  <c r="L520" i="1"/>
  <c r="L866" i="1" s="1"/>
  <c r="L519" i="1"/>
  <c r="L865" i="1" s="1"/>
  <c r="L518" i="1"/>
  <c r="L864" i="1" s="1"/>
  <c r="L517" i="1"/>
  <c r="L863" i="1" s="1"/>
  <c r="L516" i="1"/>
  <c r="L862" i="1" s="1"/>
  <c r="L515" i="1"/>
  <c r="L861" i="1" s="1"/>
  <c r="L514" i="1"/>
  <c r="L860" i="1" s="1"/>
  <c r="L513" i="1"/>
  <c r="L859" i="1" s="1"/>
  <c r="L512" i="1"/>
  <c r="L858" i="1" s="1"/>
  <c r="L511" i="1"/>
  <c r="L857" i="1" s="1"/>
  <c r="L510" i="1"/>
  <c r="L856" i="1" s="1"/>
  <c r="L509" i="1"/>
  <c r="L855" i="1" s="1"/>
  <c r="L508" i="1"/>
  <c r="L854" i="1" s="1"/>
  <c r="L507" i="1"/>
  <c r="L853" i="1" s="1"/>
  <c r="L506" i="1"/>
  <c r="L852" i="1" s="1"/>
  <c r="L505" i="1"/>
  <c r="L851" i="1" s="1"/>
  <c r="L504" i="1"/>
  <c r="L850" i="1" s="1"/>
  <c r="L503" i="1"/>
  <c r="L849" i="1" s="1"/>
  <c r="L502" i="1"/>
  <c r="L848" i="1" s="1"/>
  <c r="L501" i="1"/>
  <c r="L847" i="1" s="1"/>
  <c r="L500" i="1"/>
  <c r="L846" i="1" s="1"/>
  <c r="L499" i="1"/>
  <c r="L845" i="1" s="1"/>
  <c r="L498" i="1"/>
  <c r="L844" i="1" s="1"/>
  <c r="L497" i="1"/>
  <c r="L496" i="1"/>
  <c r="L842" i="1" s="1"/>
  <c r="L495" i="1"/>
  <c r="L841" i="1" s="1"/>
  <c r="L494" i="1"/>
  <c r="L840" i="1" s="1"/>
  <c r="L493" i="1"/>
  <c r="L839" i="1" s="1"/>
  <c r="L492" i="1"/>
  <c r="L838" i="1" s="1"/>
  <c r="L491" i="1"/>
  <c r="L837" i="1" s="1"/>
  <c r="L490" i="1"/>
  <c r="L836" i="1" s="1"/>
  <c r="L489" i="1"/>
  <c r="L835" i="1" s="1"/>
  <c r="L488" i="1"/>
  <c r="L834" i="1" s="1"/>
  <c r="L487" i="1"/>
  <c r="L833" i="1" s="1"/>
  <c r="L486" i="1"/>
  <c r="L485" i="1"/>
  <c r="L831" i="1" s="1"/>
  <c r="L484" i="1"/>
  <c r="L830" i="1" s="1"/>
  <c r="L483" i="1"/>
  <c r="L829" i="1" s="1"/>
  <c r="L482" i="1"/>
  <c r="L828" i="1" s="1"/>
  <c r="L481" i="1"/>
  <c r="L827" i="1" s="1"/>
  <c r="L480" i="1"/>
  <c r="L826" i="1" s="1"/>
  <c r="L479" i="1"/>
  <c r="L825" i="1" s="1"/>
  <c r="L478" i="1"/>
  <c r="L824" i="1" s="1"/>
  <c r="L477" i="1"/>
  <c r="L823" i="1" s="1"/>
  <c r="L476" i="1"/>
  <c r="L822" i="1" s="1"/>
  <c r="L475" i="1"/>
  <c r="L821" i="1" s="1"/>
  <c r="L474" i="1"/>
  <c r="L820" i="1" s="1"/>
  <c r="L473" i="1"/>
  <c r="L819" i="1" s="1"/>
  <c r="L472" i="1"/>
  <c r="L818" i="1" s="1"/>
  <c r="L471" i="1"/>
  <c r="L817" i="1" s="1"/>
  <c r="L470" i="1"/>
  <c r="L816" i="1" s="1"/>
  <c r="L469" i="1"/>
  <c r="L815" i="1" s="1"/>
  <c r="L468" i="1"/>
  <c r="L814" i="1" s="1"/>
  <c r="L467" i="1"/>
  <c r="L813" i="1" s="1"/>
  <c r="L466" i="1"/>
  <c r="L812" i="1" s="1"/>
  <c r="L465" i="1"/>
  <c r="L811" i="1" s="1"/>
  <c r="L464" i="1"/>
  <c r="L810" i="1" s="1"/>
  <c r="L463" i="1"/>
  <c r="L462" i="1"/>
  <c r="L461" i="1"/>
  <c r="L807" i="1" s="1"/>
  <c r="L460" i="1"/>
  <c r="L806" i="1" s="1"/>
  <c r="L459" i="1"/>
  <c r="L805" i="1" s="1"/>
  <c r="L458" i="1"/>
  <c r="L804" i="1" s="1"/>
  <c r="L457" i="1"/>
  <c r="L803" i="1" s="1"/>
  <c r="L456" i="1"/>
  <c r="L802" i="1" s="1"/>
  <c r="L455" i="1"/>
  <c r="L801" i="1" s="1"/>
  <c r="L454" i="1"/>
  <c r="L800" i="1" s="1"/>
  <c r="L453" i="1"/>
  <c r="L799" i="1" s="1"/>
  <c r="L452" i="1"/>
  <c r="L798" i="1" s="1"/>
  <c r="L451" i="1"/>
  <c r="L797" i="1" s="1"/>
  <c r="L450" i="1"/>
  <c r="L796" i="1" s="1"/>
  <c r="L449" i="1"/>
  <c r="L795" i="1" s="1"/>
  <c r="L448" i="1"/>
  <c r="L794" i="1" s="1"/>
  <c r="L447" i="1"/>
  <c r="L793" i="1" s="1"/>
  <c r="L446" i="1"/>
  <c r="L792" i="1" s="1"/>
  <c r="L445" i="1"/>
  <c r="L791" i="1" s="1"/>
  <c r="L444" i="1"/>
  <c r="L790" i="1" s="1"/>
  <c r="L443" i="1"/>
  <c r="L789" i="1" s="1"/>
  <c r="L442" i="1"/>
  <c r="L788" i="1" s="1"/>
  <c r="L441" i="1"/>
  <c r="L787" i="1" s="1"/>
  <c r="L440" i="1"/>
  <c r="L786" i="1" s="1"/>
  <c r="L439" i="1"/>
  <c r="L785" i="1" s="1"/>
  <c r="L438" i="1"/>
  <c r="L784" i="1" s="1"/>
  <c r="L437" i="1"/>
  <c r="L783" i="1" s="1"/>
  <c r="L436" i="1"/>
  <c r="L782" i="1" s="1"/>
  <c r="L435" i="1"/>
  <c r="L781" i="1" s="1"/>
  <c r="L434" i="1"/>
  <c r="L780" i="1" s="1"/>
  <c r="L433" i="1"/>
  <c r="L779" i="1" s="1"/>
  <c r="L432" i="1"/>
  <c r="L778" i="1" s="1"/>
  <c r="L431" i="1"/>
  <c r="L777" i="1" s="1"/>
  <c r="L430" i="1"/>
  <c r="L776" i="1" s="1"/>
  <c r="L429" i="1"/>
  <c r="L775" i="1" s="1"/>
  <c r="L428" i="1"/>
  <c r="L774" i="1" s="1"/>
  <c r="L427" i="1"/>
  <c r="L773" i="1" s="1"/>
  <c r="L426" i="1"/>
  <c r="L772" i="1" s="1"/>
  <c r="L425" i="1"/>
  <c r="L771" i="1" s="1"/>
  <c r="L424" i="1"/>
  <c r="L770" i="1" s="1"/>
  <c r="L423" i="1"/>
  <c r="L769" i="1" s="1"/>
  <c r="L422" i="1"/>
  <c r="L768" i="1" s="1"/>
  <c r="L421" i="1"/>
  <c r="L767" i="1" s="1"/>
  <c r="L420" i="1"/>
  <c r="L766" i="1" s="1"/>
  <c r="L419" i="1"/>
  <c r="L765" i="1" s="1"/>
  <c r="L418" i="1"/>
  <c r="L764" i="1" s="1"/>
  <c r="L417" i="1"/>
  <c r="L763" i="1" s="1"/>
  <c r="L416" i="1"/>
  <c r="L762" i="1" s="1"/>
  <c r="L415" i="1"/>
  <c r="L761" i="1" s="1"/>
  <c r="L414" i="1"/>
  <c r="L760" i="1" s="1"/>
  <c r="L413" i="1"/>
  <c r="L412" i="1"/>
  <c r="L758" i="1" s="1"/>
  <c r="L411" i="1"/>
  <c r="L757" i="1" s="1"/>
  <c r="L410" i="1"/>
  <c r="L756" i="1" s="1"/>
  <c r="L409" i="1"/>
  <c r="L755" i="1" s="1"/>
  <c r="L408" i="1"/>
  <c r="L754" i="1" s="1"/>
  <c r="L407" i="1"/>
  <c r="L753" i="1" s="1"/>
  <c r="L406" i="1"/>
  <c r="L752" i="1" s="1"/>
  <c r="L405" i="1"/>
  <c r="L751" i="1" s="1"/>
  <c r="L404" i="1"/>
  <c r="L750" i="1" s="1"/>
  <c r="L403" i="1"/>
  <c r="L749" i="1" s="1"/>
  <c r="L402" i="1"/>
  <c r="L748" i="1" s="1"/>
  <c r="L401" i="1"/>
  <c r="L747" i="1" s="1"/>
  <c r="L400" i="1"/>
  <c r="L746" i="1" s="1"/>
  <c r="L399" i="1"/>
  <c r="L745" i="1" s="1"/>
  <c r="L398" i="1"/>
  <c r="L744" i="1" s="1"/>
  <c r="L397" i="1"/>
  <c r="L743" i="1" s="1"/>
  <c r="L396" i="1"/>
  <c r="L742" i="1" s="1"/>
  <c r="L395" i="1"/>
  <c r="L741" i="1" s="1"/>
  <c r="L394" i="1"/>
  <c r="L740" i="1" s="1"/>
  <c r="L393" i="1"/>
  <c r="L739" i="1" s="1"/>
  <c r="L392" i="1"/>
  <c r="L738" i="1" s="1"/>
  <c r="L391" i="1"/>
  <c r="L737" i="1" s="1"/>
  <c r="L390" i="1"/>
  <c r="L736" i="1" s="1"/>
  <c r="L389" i="1"/>
  <c r="L735" i="1" s="1"/>
  <c r="L388" i="1"/>
  <c r="L734" i="1" s="1"/>
  <c r="L387" i="1"/>
  <c r="L733" i="1" s="1"/>
  <c r="L386" i="1"/>
  <c r="L732" i="1" s="1"/>
  <c r="L385" i="1"/>
  <c r="L731" i="1" s="1"/>
  <c r="L384" i="1"/>
  <c r="L730" i="1" s="1"/>
  <c r="L383" i="1"/>
  <c r="L729" i="1" s="1"/>
  <c r="L382" i="1"/>
  <c r="L728" i="1" s="1"/>
  <c r="L381" i="1"/>
  <c r="L727" i="1" s="1"/>
  <c r="L380" i="1"/>
  <c r="L726" i="1" s="1"/>
  <c r="L379" i="1"/>
  <c r="L725" i="1" s="1"/>
  <c r="L378" i="1"/>
  <c r="L724" i="1" s="1"/>
  <c r="L377" i="1"/>
  <c r="L723" i="1" s="1"/>
  <c r="L376" i="1"/>
  <c r="L722" i="1" s="1"/>
  <c r="L375" i="1"/>
  <c r="L721" i="1" s="1"/>
  <c r="L374" i="1"/>
  <c r="L720" i="1" s="1"/>
  <c r="L373" i="1"/>
  <c r="L719" i="1" s="1"/>
  <c r="L372" i="1"/>
  <c r="L718" i="1" s="1"/>
  <c r="L371" i="1"/>
  <c r="L717" i="1" s="1"/>
  <c r="L370" i="1"/>
  <c r="L716" i="1" s="1"/>
  <c r="L369" i="1"/>
  <c r="L715" i="1" s="1"/>
  <c r="L368" i="1"/>
  <c r="L714" i="1" s="1"/>
  <c r="L367" i="1"/>
  <c r="L713" i="1" s="1"/>
  <c r="L366" i="1"/>
  <c r="L712" i="1" s="1"/>
  <c r="L365" i="1"/>
  <c r="L711" i="1" s="1"/>
  <c r="L364" i="1"/>
  <c r="L710" i="1" s="1"/>
  <c r="L363" i="1"/>
  <c r="L709" i="1" s="1"/>
  <c r="L362" i="1"/>
  <c r="L708" i="1" s="1"/>
  <c r="L361" i="1"/>
  <c r="L707" i="1" s="1"/>
  <c r="L360" i="1"/>
  <c r="L706" i="1" s="1"/>
  <c r="L359" i="1"/>
  <c r="L705" i="1" s="1"/>
  <c r="L358" i="1"/>
  <c r="L704" i="1" s="1"/>
  <c r="L357" i="1"/>
  <c r="L356" i="1"/>
  <c r="L702" i="1" s="1"/>
  <c r="L355" i="1"/>
  <c r="L701" i="1" s="1"/>
  <c r="L354" i="1"/>
  <c r="L700" i="1" s="1"/>
  <c r="L353" i="1"/>
  <c r="L699" i="1" s="1"/>
  <c r="L352" i="1"/>
  <c r="L698" i="1" s="1"/>
  <c r="L351" i="1"/>
  <c r="L697" i="1" s="1"/>
  <c r="L350" i="1"/>
  <c r="L696" i="1" s="1"/>
  <c r="L346" i="1" a="1"/>
  <c r="L346" i="1" s="1"/>
  <c r="L345" i="1" a="1"/>
  <c r="L345" i="1" s="1"/>
  <c r="L344" i="1" a="1"/>
  <c r="L344" i="1" s="1"/>
  <c r="L343" i="1" a="1"/>
  <c r="L343" i="1" s="1"/>
  <c r="L342" i="1" a="1"/>
  <c r="L342" i="1" s="1"/>
  <c r="L341" i="1" a="1"/>
  <c r="L341" i="1" s="1"/>
  <c r="L340" i="1" a="1"/>
  <c r="L340" i="1" s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 a="1"/>
  <c r="L319" i="1" s="1"/>
  <c r="L318" i="1"/>
  <c r="L317" i="1"/>
  <c r="L316" i="1"/>
  <c r="L315" i="1"/>
  <c r="L314" i="1"/>
  <c r="L313" i="1"/>
  <c r="L312" i="1"/>
  <c r="L311" i="1"/>
  <c r="L310" i="1"/>
  <c r="L309" i="1"/>
  <c r="L308" i="1" a="1"/>
  <c r="L308" i="1" s="1"/>
  <c r="L307" i="1"/>
  <c r="L306" i="1"/>
  <c r="L305" i="1"/>
  <c r="L304" i="1"/>
  <c r="L303" i="1"/>
  <c r="L302" i="1"/>
  <c r="L301" i="1"/>
  <c r="L300" i="1"/>
  <c r="L299" i="1"/>
  <c r="L298" i="1"/>
  <c r="L297" i="1" a="1"/>
  <c r="L297" i="1" s="1"/>
  <c r="L296" i="1"/>
  <c r="L295" i="1"/>
  <c r="L294" i="1"/>
  <c r="L293" i="1"/>
  <c r="L292" i="1"/>
  <c r="L291" i="1" a="1"/>
  <c r="L291" i="1" s="1"/>
  <c r="L290" i="1"/>
  <c r="L289" i="1"/>
  <c r="L288" i="1"/>
  <c r="L287" i="1"/>
  <c r="L286" i="1"/>
  <c r="L285" i="1" a="1"/>
  <c r="L285" i="1" s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 a="1"/>
  <c r="L263" i="1" s="1"/>
  <c r="L262" i="1"/>
  <c r="L261" i="1"/>
  <c r="L260" i="1"/>
  <c r="L259" i="1"/>
  <c r="L258" i="1"/>
  <c r="L257" i="1"/>
  <c r="L256" i="1"/>
  <c r="L255" i="1"/>
  <c r="L254" i="1"/>
  <c r="L253" i="1"/>
  <c r="L252" i="1" a="1"/>
  <c r="L252" i="1" s="1"/>
  <c r="L251" i="1"/>
  <c r="L250" i="1"/>
  <c r="L249" i="1"/>
  <c r="L248" i="1"/>
  <c r="L247" i="1"/>
  <c r="L246" i="1"/>
  <c r="L245" i="1"/>
  <c r="L244" i="1"/>
  <c r="L243" i="1"/>
  <c r="L242" i="1"/>
  <c r="L241" i="1" a="1"/>
  <c r="L241" i="1" s="1"/>
  <c r="L240" i="1"/>
  <c r="L239" i="1"/>
  <c r="L238" i="1"/>
  <c r="L237" i="1"/>
  <c r="L236" i="1"/>
  <c r="L235" i="1" a="1"/>
  <c r="L235" i="1" s="1"/>
  <c r="L234" i="1"/>
  <c r="L233" i="1"/>
  <c r="L232" i="1"/>
  <c r="L231" i="1"/>
  <c r="L230" i="1"/>
  <c r="L229" i="1" a="1"/>
  <c r="L229" i="1" s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 a="1"/>
  <c r="L207" i="1" s="1"/>
  <c r="L206" i="1"/>
  <c r="L205" i="1"/>
  <c r="L204" i="1"/>
  <c r="L203" i="1"/>
  <c r="L202" i="1"/>
  <c r="L201" i="1"/>
  <c r="L200" i="1"/>
  <c r="L199" i="1"/>
  <c r="L198" i="1"/>
  <c r="L197" i="1"/>
  <c r="L196" i="1" a="1"/>
  <c r="L196" i="1" s="1"/>
  <c r="L195" i="1"/>
  <c r="L194" i="1"/>
  <c r="L193" i="1"/>
  <c r="L192" i="1"/>
  <c r="L191" i="1"/>
  <c r="L190" i="1"/>
  <c r="L189" i="1"/>
  <c r="L188" i="1"/>
  <c r="L187" i="1"/>
  <c r="L186" i="1"/>
  <c r="L185" i="1" a="1"/>
  <c r="L185" i="1" s="1"/>
  <c r="L184" i="1"/>
  <c r="L183" i="1"/>
  <c r="L182" i="1"/>
  <c r="L181" i="1"/>
  <c r="L180" i="1"/>
  <c r="L179" i="1" a="1"/>
  <c r="L179" i="1" s="1"/>
  <c r="L178" i="1"/>
  <c r="L177" i="1"/>
  <c r="L176" i="1"/>
  <c r="L175" i="1"/>
  <c r="L174" i="1"/>
  <c r="L173" i="1" a="1"/>
  <c r="L173" i="1" s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 a="1"/>
  <c r="L151" i="1" s="1"/>
  <c r="L150" i="1"/>
  <c r="L149" i="1"/>
  <c r="L148" i="1"/>
  <c r="L147" i="1"/>
  <c r="L146" i="1"/>
  <c r="L145" i="1"/>
  <c r="L144" i="1"/>
  <c r="L143" i="1"/>
  <c r="L142" i="1"/>
  <c r="L141" i="1"/>
  <c r="L140" i="1" a="1"/>
  <c r="L140" i="1" s="1"/>
  <c r="L139" i="1"/>
  <c r="L138" i="1"/>
  <c r="L137" i="1"/>
  <c r="L136" i="1"/>
  <c r="L135" i="1"/>
  <c r="L134" i="1"/>
  <c r="L133" i="1"/>
  <c r="L132" i="1"/>
  <c r="L131" i="1"/>
  <c r="L130" i="1"/>
  <c r="L129" i="1" a="1"/>
  <c r="L129" i="1" s="1"/>
  <c r="L128" i="1"/>
  <c r="L127" i="1"/>
  <c r="L126" i="1"/>
  <c r="L125" i="1"/>
  <c r="L124" i="1"/>
  <c r="L123" i="1" a="1"/>
  <c r="L123" i="1" s="1"/>
  <c r="L122" i="1"/>
  <c r="L121" i="1"/>
  <c r="L120" i="1"/>
  <c r="L119" i="1"/>
  <c r="L118" i="1"/>
  <c r="L117" i="1" a="1"/>
  <c r="L117" i="1" s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 a="1"/>
  <c r="L95" i="1" s="1"/>
  <c r="L94" i="1"/>
  <c r="L93" i="1"/>
  <c r="L92" i="1"/>
  <c r="L91" i="1"/>
  <c r="L90" i="1"/>
  <c r="L89" i="1"/>
  <c r="L88" i="1"/>
  <c r="L87" i="1"/>
  <c r="L86" i="1"/>
  <c r="L85" i="1"/>
  <c r="L84" i="1" a="1"/>
  <c r="L84" i="1" s="1"/>
  <c r="L83" i="1"/>
  <c r="L82" i="1"/>
  <c r="L81" i="1"/>
  <c r="L80" i="1"/>
  <c r="L79" i="1"/>
  <c r="L78" i="1"/>
  <c r="L77" i="1"/>
  <c r="L76" i="1"/>
  <c r="L75" i="1"/>
  <c r="L74" i="1"/>
  <c r="L73" i="1" a="1"/>
  <c r="L73" i="1" s="1"/>
  <c r="L72" i="1"/>
  <c r="L71" i="1"/>
  <c r="L70" i="1"/>
  <c r="L69" i="1"/>
  <c r="L68" i="1"/>
  <c r="L67" i="1" a="1"/>
  <c r="L67" i="1" s="1"/>
  <c r="L66" i="1"/>
  <c r="L65" i="1"/>
  <c r="L64" i="1"/>
  <c r="L63" i="1"/>
  <c r="L62" i="1"/>
  <c r="L61" i="1" a="1"/>
  <c r="L61" i="1" s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 a="1"/>
  <c r="L39" i="1" s="1"/>
  <c r="L38" i="1"/>
  <c r="L37" i="1"/>
  <c r="L36" i="1"/>
  <c r="L35" i="1"/>
  <c r="L34" i="1"/>
  <c r="L33" i="1"/>
  <c r="L32" i="1"/>
  <c r="L31" i="1"/>
  <c r="L30" i="1"/>
  <c r="L29" i="1"/>
  <c r="L28" i="1" a="1"/>
  <c r="L28" i="1" s="1"/>
  <c r="L27" i="1"/>
  <c r="L26" i="1"/>
  <c r="L25" i="1"/>
  <c r="L24" i="1"/>
  <c r="L23" i="1"/>
  <c r="L22" i="1"/>
  <c r="L21" i="1"/>
  <c r="L20" i="1"/>
  <c r="L19" i="1"/>
  <c r="L18" i="1"/>
  <c r="L17" i="1" a="1"/>
  <c r="L17" i="1" s="1"/>
  <c r="L16" i="1"/>
  <c r="L15" i="1"/>
  <c r="L14" i="1"/>
  <c r="L13" i="1"/>
  <c r="L12" i="1"/>
  <c r="L11" i="1" a="1"/>
  <c r="L11" i="1" s="1"/>
  <c r="L10" i="1"/>
  <c r="L9" i="1"/>
  <c r="L8" i="1"/>
  <c r="L7" i="1"/>
  <c r="L6" i="1"/>
  <c r="L5" i="1" a="1"/>
  <c r="L5" i="1" s="1"/>
  <c r="L4" i="1"/>
  <c r="AD5" i="1" l="1"/>
  <c r="AD357" i="1"/>
  <c r="AD525" i="1"/>
  <c r="AD151" i="1"/>
  <c r="L871" i="1"/>
  <c r="AD241" i="1"/>
  <c r="AD413" i="1"/>
  <c r="AD581" i="1"/>
  <c r="AD123" i="1"/>
  <c r="AD291" i="1"/>
  <c r="AD463" i="1"/>
  <c r="AD631" i="1"/>
  <c r="AD688" i="1"/>
  <c r="AD497" i="1"/>
  <c r="L1035" i="1"/>
  <c r="AD689" i="1"/>
  <c r="AD486" i="1"/>
  <c r="AD17" i="1"/>
  <c r="L809" i="1"/>
  <c r="AD117" i="1"/>
  <c r="AD407" i="1"/>
  <c r="AD575" i="1"/>
  <c r="AD28" i="1"/>
  <c r="L1036" i="1"/>
  <c r="AD690" i="1"/>
  <c r="AD140" i="1"/>
  <c r="AD235" i="1"/>
  <c r="AD129" i="1"/>
  <c r="AD285" i="1"/>
  <c r="AD39" i="1"/>
  <c r="L703" i="1"/>
  <c r="L1034" i="1"/>
  <c r="AD179" i="1"/>
  <c r="AD263" i="1"/>
  <c r="AD665" i="1"/>
  <c r="AD654" i="1"/>
  <c r="AD61" i="1"/>
  <c r="AD252" i="1"/>
  <c r="AD687" i="1"/>
  <c r="AD691" i="1"/>
  <c r="AD692" i="1"/>
  <c r="AD340" i="1"/>
  <c r="AD630" i="1"/>
  <c r="AD60" i="1"/>
  <c r="AD574" i="1"/>
  <c r="AD587" i="1"/>
  <c r="AD4" i="1"/>
  <c r="AD475" i="1"/>
  <c r="AD73" i="1"/>
  <c r="AD284" i="1"/>
  <c r="AD319" i="1"/>
  <c r="AD430" i="1"/>
  <c r="AD228" i="1"/>
  <c r="AD308" i="1"/>
  <c r="AD297" i="1"/>
  <c r="AD385" i="1"/>
  <c r="AD469" i="1"/>
  <c r="AD553" i="1"/>
  <c r="AD637" i="1"/>
  <c r="AD67" i="1"/>
  <c r="AD172" i="1"/>
  <c r="AD207" i="1"/>
  <c r="AD350" i="1"/>
  <c r="AD374" i="1"/>
  <c r="AD518" i="1"/>
  <c r="AD542" i="1"/>
  <c r="L1032" i="1" a="1"/>
  <c r="L1032" i="1" s="1"/>
  <c r="AD686" i="1"/>
  <c r="L927" i="1"/>
  <c r="L1011" i="1"/>
  <c r="AD95" i="1"/>
  <c r="AD643" i="1"/>
  <c r="AD406" i="1"/>
  <c r="AD598" i="1"/>
  <c r="AD351" i="1"/>
  <c r="AD363" i="1"/>
  <c r="AD519" i="1"/>
  <c r="AD531" i="1"/>
  <c r="L759" i="1"/>
  <c r="L843" i="1"/>
  <c r="L976" i="1"/>
  <c r="L1000" i="1"/>
  <c r="AD462" i="1"/>
  <c r="AD84" i="1"/>
  <c r="AD441" i="1"/>
  <c r="AD609" i="1"/>
  <c r="AD419" i="1"/>
  <c r="AD229" i="1"/>
  <c r="AD11" i="1"/>
  <c r="AD116" i="1"/>
  <c r="AD173" i="1"/>
  <c r="AD196" i="1"/>
  <c r="AD185" i="1"/>
  <c r="L808" i="1"/>
  <c r="L832" i="1"/>
  <c r="L977" i="1"/>
  <c r="L989" i="1"/>
  <c r="K228" i="1"/>
  <c r="M43" i="2"/>
  <c r="L43" i="2" a="1"/>
  <c r="L43" i="2" s="1"/>
  <c r="C11" i="2" s="1"/>
  <c r="H48" i="2"/>
  <c r="H43" i="2"/>
  <c r="C12" i="2"/>
  <c r="K38" i="2"/>
  <c r="K43" i="2"/>
  <c r="J43" i="2"/>
  <c r="B11" i="2" s="1"/>
  <c r="M48" i="2"/>
  <c r="L48" i="2" a="1"/>
  <c r="L48" i="2" s="1"/>
  <c r="C10" i="2" s="1"/>
  <c r="H53" i="2"/>
  <c r="H58" i="2"/>
  <c r="K48" i="2"/>
  <c r="J48" i="2"/>
  <c r="B10" i="2" s="1"/>
  <c r="M53" i="2"/>
  <c r="L53" i="2" a="1"/>
  <c r="L53" i="2" s="1"/>
  <c r="C9" i="2" s="1"/>
  <c r="L63" i="2" a="1"/>
  <c r="L63" i="2" s="1"/>
  <c r="C7" i="2" s="1"/>
  <c r="L58" i="2" a="1"/>
  <c r="L58" i="2" s="1"/>
  <c r="C8" i="2" s="1"/>
  <c r="K53" i="2"/>
  <c r="J53" i="2"/>
  <c r="B9" i="2" s="1"/>
  <c r="M58" i="2"/>
  <c r="M63" i="2"/>
  <c r="H63" i="2"/>
  <c r="K58" i="2"/>
  <c r="J58" i="2"/>
  <c r="B8" i="2" s="1"/>
  <c r="K692" i="1" a="1"/>
  <c r="K692" i="1" s="1"/>
  <c r="K1038" i="1" s="1" a="1"/>
  <c r="K1038" i="1" s="1"/>
  <c r="K691" i="1"/>
  <c r="K1037" i="1" s="1"/>
  <c r="K690" i="1"/>
  <c r="K689" i="1"/>
  <c r="K688" i="1"/>
  <c r="K687" i="1"/>
  <c r="K686" i="1" a="1"/>
  <c r="K686" i="1" s="1"/>
  <c r="K1032" i="1" s="1" a="1"/>
  <c r="K1032" i="1" s="1"/>
  <c r="K685" i="1"/>
  <c r="K1031" i="1" s="1"/>
  <c r="K684" i="1"/>
  <c r="K1030" i="1" s="1"/>
  <c r="K683" i="1"/>
  <c r="K1029" i="1" s="1"/>
  <c r="K682" i="1"/>
  <c r="K1028" i="1" s="1"/>
  <c r="K681" i="1"/>
  <c r="K1027" i="1" s="1"/>
  <c r="K680" i="1"/>
  <c r="K1026" i="1" s="1"/>
  <c r="K679" i="1"/>
  <c r="K1025" i="1" s="1"/>
  <c r="K678" i="1"/>
  <c r="K1024" i="1" s="1"/>
  <c r="K677" i="1"/>
  <c r="K1023" i="1" s="1"/>
  <c r="K676" i="1"/>
  <c r="K1022" i="1" s="1"/>
  <c r="K675" i="1"/>
  <c r="K1021" i="1" s="1"/>
  <c r="K674" i="1"/>
  <c r="K1020" i="1" s="1"/>
  <c r="K673" i="1"/>
  <c r="K1019" i="1" s="1"/>
  <c r="K672" i="1"/>
  <c r="K1018" i="1" s="1"/>
  <c r="K671" i="1"/>
  <c r="K1017" i="1" s="1"/>
  <c r="K670" i="1"/>
  <c r="K1016" i="1" s="1"/>
  <c r="K669" i="1"/>
  <c r="K1015" i="1" s="1"/>
  <c r="K668" i="1"/>
  <c r="K1014" i="1" s="1"/>
  <c r="K667" i="1"/>
  <c r="K1013" i="1" s="1"/>
  <c r="K666" i="1"/>
  <c r="K1012" i="1" s="1"/>
  <c r="K665" i="1"/>
  <c r="K1011" i="1" s="1"/>
  <c r="K664" i="1"/>
  <c r="K1010" i="1" s="1"/>
  <c r="K663" i="1"/>
  <c r="K1009" i="1" s="1"/>
  <c r="K662" i="1"/>
  <c r="K1008" i="1" s="1"/>
  <c r="K661" i="1"/>
  <c r="K1007" i="1" s="1"/>
  <c r="K660" i="1"/>
  <c r="K1006" i="1" s="1"/>
  <c r="K659" i="1"/>
  <c r="K1005" i="1" s="1"/>
  <c r="K658" i="1"/>
  <c r="K1004" i="1" s="1"/>
  <c r="K657" i="1"/>
  <c r="K1003" i="1" s="1"/>
  <c r="K656" i="1"/>
  <c r="K1002" i="1" s="1"/>
  <c r="K655" i="1"/>
  <c r="K1001" i="1" s="1"/>
  <c r="K654" i="1"/>
  <c r="K1000" i="1" s="1"/>
  <c r="K653" i="1"/>
  <c r="K999" i="1" s="1"/>
  <c r="K652" i="1"/>
  <c r="K998" i="1" s="1"/>
  <c r="K651" i="1"/>
  <c r="K997" i="1" s="1"/>
  <c r="K650" i="1"/>
  <c r="K996" i="1" s="1"/>
  <c r="K649" i="1"/>
  <c r="K995" i="1" s="1"/>
  <c r="K648" i="1"/>
  <c r="K994" i="1" s="1"/>
  <c r="K647" i="1"/>
  <c r="K993" i="1" s="1"/>
  <c r="K646" i="1"/>
  <c r="K992" i="1" s="1"/>
  <c r="K645" i="1"/>
  <c r="K991" i="1" s="1"/>
  <c r="K644" i="1"/>
  <c r="K990" i="1" s="1"/>
  <c r="K643" i="1"/>
  <c r="K642" i="1"/>
  <c r="K988" i="1" s="1"/>
  <c r="K641" i="1"/>
  <c r="K987" i="1" s="1"/>
  <c r="K640" i="1"/>
  <c r="K986" i="1" s="1"/>
  <c r="K639" i="1"/>
  <c r="K985" i="1" s="1"/>
  <c r="K638" i="1"/>
  <c r="K984" i="1" s="1"/>
  <c r="K637" i="1"/>
  <c r="K983" i="1" s="1"/>
  <c r="K636" i="1"/>
  <c r="K982" i="1" s="1"/>
  <c r="K635" i="1"/>
  <c r="K981" i="1" s="1"/>
  <c r="K634" i="1"/>
  <c r="K980" i="1" s="1"/>
  <c r="K633" i="1"/>
  <c r="K979" i="1" s="1"/>
  <c r="K632" i="1"/>
  <c r="K978" i="1" s="1"/>
  <c r="K631" i="1"/>
  <c r="K630" i="1"/>
  <c r="K976" i="1" s="1"/>
  <c r="K629" i="1"/>
  <c r="K975" i="1" s="1"/>
  <c r="K628" i="1"/>
  <c r="K974" i="1" s="1"/>
  <c r="K627" i="1"/>
  <c r="K973" i="1" s="1"/>
  <c r="K626" i="1"/>
  <c r="K972" i="1" s="1"/>
  <c r="K625" i="1"/>
  <c r="K971" i="1" s="1"/>
  <c r="K624" i="1"/>
  <c r="K970" i="1" s="1"/>
  <c r="K623" i="1"/>
  <c r="K969" i="1" s="1"/>
  <c r="K622" i="1"/>
  <c r="K968" i="1" s="1"/>
  <c r="K621" i="1"/>
  <c r="K967" i="1" s="1"/>
  <c r="K620" i="1"/>
  <c r="K966" i="1" s="1"/>
  <c r="K619" i="1"/>
  <c r="K965" i="1" s="1"/>
  <c r="K618" i="1"/>
  <c r="K964" i="1" s="1"/>
  <c r="K617" i="1"/>
  <c r="K963" i="1" s="1"/>
  <c r="K616" i="1"/>
  <c r="K962" i="1" s="1"/>
  <c r="K615" i="1"/>
  <c r="K961" i="1" s="1"/>
  <c r="K614" i="1"/>
  <c r="K960" i="1" s="1"/>
  <c r="K613" i="1"/>
  <c r="K959" i="1" s="1"/>
  <c r="K612" i="1"/>
  <c r="K958" i="1" s="1"/>
  <c r="K611" i="1"/>
  <c r="K957" i="1" s="1"/>
  <c r="K610" i="1"/>
  <c r="K956" i="1" s="1"/>
  <c r="K609" i="1"/>
  <c r="K955" i="1" s="1"/>
  <c r="K608" i="1"/>
  <c r="K954" i="1" s="1"/>
  <c r="K607" i="1"/>
  <c r="K953" i="1" s="1"/>
  <c r="K606" i="1"/>
  <c r="K952" i="1" s="1"/>
  <c r="K605" i="1"/>
  <c r="K951" i="1" s="1"/>
  <c r="K604" i="1"/>
  <c r="K950" i="1" s="1"/>
  <c r="K603" i="1"/>
  <c r="K949" i="1" s="1"/>
  <c r="K602" i="1"/>
  <c r="K948" i="1" s="1"/>
  <c r="K601" i="1"/>
  <c r="K947" i="1" s="1"/>
  <c r="K600" i="1"/>
  <c r="K946" i="1" s="1"/>
  <c r="K599" i="1"/>
  <c r="K945" i="1" s="1"/>
  <c r="K598" i="1"/>
  <c r="K944" i="1" s="1"/>
  <c r="K597" i="1"/>
  <c r="K943" i="1" s="1"/>
  <c r="K596" i="1"/>
  <c r="K942" i="1" s="1"/>
  <c r="K595" i="1"/>
  <c r="K594" i="1"/>
  <c r="K940" i="1" s="1"/>
  <c r="K593" i="1"/>
  <c r="K939" i="1" s="1"/>
  <c r="K592" i="1"/>
  <c r="K938" i="1" s="1"/>
  <c r="K591" i="1"/>
  <c r="K937" i="1" s="1"/>
  <c r="K590" i="1"/>
  <c r="K936" i="1" s="1"/>
  <c r="K589" i="1"/>
  <c r="K935" i="1" s="1"/>
  <c r="K588" i="1"/>
  <c r="K934" i="1" s="1"/>
  <c r="K587" i="1"/>
  <c r="K933" i="1" s="1"/>
  <c r="K586" i="1"/>
  <c r="K932" i="1" s="1"/>
  <c r="K585" i="1"/>
  <c r="K931" i="1" s="1"/>
  <c r="K584" i="1"/>
  <c r="K930" i="1" s="1"/>
  <c r="K583" i="1"/>
  <c r="K582" i="1"/>
  <c r="K928" i="1" s="1"/>
  <c r="K581" i="1"/>
  <c r="K927" i="1" s="1"/>
  <c r="K580" i="1"/>
  <c r="K926" i="1" s="1"/>
  <c r="K579" i="1"/>
  <c r="K925" i="1" s="1"/>
  <c r="K578" i="1"/>
  <c r="K924" i="1" s="1"/>
  <c r="K577" i="1"/>
  <c r="K923" i="1" s="1"/>
  <c r="K576" i="1"/>
  <c r="K922" i="1" s="1"/>
  <c r="K575" i="1"/>
  <c r="K921" i="1" s="1"/>
  <c r="K573" i="1"/>
  <c r="K919" i="1" s="1"/>
  <c r="K572" i="1"/>
  <c r="K918" i="1" s="1"/>
  <c r="K571" i="1"/>
  <c r="K917" i="1" s="1"/>
  <c r="K570" i="1"/>
  <c r="K916" i="1" s="1"/>
  <c r="K569" i="1"/>
  <c r="K915" i="1" s="1"/>
  <c r="K568" i="1"/>
  <c r="K914" i="1" s="1"/>
  <c r="K567" i="1"/>
  <c r="K913" i="1" s="1"/>
  <c r="K566" i="1"/>
  <c r="K912" i="1" s="1"/>
  <c r="K565" i="1"/>
  <c r="K911" i="1" s="1"/>
  <c r="K564" i="1"/>
  <c r="K910" i="1" s="1"/>
  <c r="K563" i="1"/>
  <c r="K909" i="1" s="1"/>
  <c r="K562" i="1"/>
  <c r="K908" i="1" s="1"/>
  <c r="K561" i="1"/>
  <c r="K907" i="1" s="1"/>
  <c r="K560" i="1"/>
  <c r="K906" i="1" s="1"/>
  <c r="K559" i="1"/>
  <c r="K905" i="1" s="1"/>
  <c r="K558" i="1"/>
  <c r="K904" i="1" s="1"/>
  <c r="K557" i="1"/>
  <c r="K903" i="1" s="1"/>
  <c r="K556" i="1"/>
  <c r="K902" i="1" s="1"/>
  <c r="K555" i="1"/>
  <c r="K901" i="1" s="1"/>
  <c r="K554" i="1"/>
  <c r="K900" i="1" s="1"/>
  <c r="K553" i="1"/>
  <c r="K899" i="1" s="1"/>
  <c r="K552" i="1"/>
  <c r="K898" i="1" s="1"/>
  <c r="K551" i="1"/>
  <c r="K897" i="1" s="1"/>
  <c r="K550" i="1"/>
  <c r="K896" i="1" s="1"/>
  <c r="K549" i="1"/>
  <c r="K895" i="1" s="1"/>
  <c r="K548" i="1"/>
  <c r="K894" i="1" s="1"/>
  <c r="K547" i="1"/>
  <c r="K893" i="1" s="1"/>
  <c r="K546" i="1"/>
  <c r="K892" i="1" s="1"/>
  <c r="K545" i="1"/>
  <c r="K891" i="1" s="1"/>
  <c r="K544" i="1"/>
  <c r="K890" i="1" s="1"/>
  <c r="K543" i="1"/>
  <c r="K889" i="1" s="1"/>
  <c r="K542" i="1"/>
  <c r="K888" i="1" s="1"/>
  <c r="K541" i="1"/>
  <c r="K887" i="1" s="1"/>
  <c r="K540" i="1"/>
  <c r="K886" i="1" s="1"/>
  <c r="K539" i="1"/>
  <c r="K885" i="1" s="1"/>
  <c r="K538" i="1"/>
  <c r="K884" i="1" s="1"/>
  <c r="K537" i="1"/>
  <c r="K883" i="1" s="1"/>
  <c r="K536" i="1"/>
  <c r="K882" i="1" s="1"/>
  <c r="K535" i="1"/>
  <c r="K881" i="1" s="1"/>
  <c r="K534" i="1"/>
  <c r="K880" i="1" s="1"/>
  <c r="K533" i="1"/>
  <c r="K879" i="1" s="1"/>
  <c r="K532" i="1"/>
  <c r="K878" i="1" s="1"/>
  <c r="K531" i="1"/>
  <c r="K877" i="1" s="1"/>
  <c r="K530" i="1"/>
  <c r="K876" i="1" s="1"/>
  <c r="K529" i="1"/>
  <c r="K875" i="1" s="1"/>
  <c r="K528" i="1"/>
  <c r="K874" i="1" s="1"/>
  <c r="K527" i="1"/>
  <c r="K873" i="1" s="1"/>
  <c r="K526" i="1"/>
  <c r="K872" i="1" s="1"/>
  <c r="K525" i="1"/>
  <c r="K871" i="1" s="1"/>
  <c r="K524" i="1"/>
  <c r="K870" i="1" s="1"/>
  <c r="K523" i="1"/>
  <c r="K869" i="1" s="1"/>
  <c r="K522" i="1"/>
  <c r="K868" i="1" s="1"/>
  <c r="K521" i="1"/>
  <c r="K867" i="1" s="1"/>
  <c r="K520" i="1"/>
  <c r="K866" i="1" s="1"/>
  <c r="K519" i="1"/>
  <c r="K865" i="1" s="1"/>
  <c r="K518" i="1"/>
  <c r="K864" i="1" s="1"/>
  <c r="K517" i="1"/>
  <c r="K863" i="1" s="1"/>
  <c r="K516" i="1"/>
  <c r="K862" i="1" s="1"/>
  <c r="K515" i="1"/>
  <c r="K861" i="1" s="1"/>
  <c r="K514" i="1"/>
  <c r="K860" i="1" s="1"/>
  <c r="K513" i="1"/>
  <c r="K859" i="1" s="1"/>
  <c r="K512" i="1"/>
  <c r="K858" i="1" s="1"/>
  <c r="K511" i="1"/>
  <c r="K857" i="1" s="1"/>
  <c r="K510" i="1"/>
  <c r="K856" i="1" s="1"/>
  <c r="K509" i="1"/>
  <c r="K855" i="1" s="1"/>
  <c r="K508" i="1"/>
  <c r="K854" i="1" s="1"/>
  <c r="K507" i="1"/>
  <c r="K853" i="1" s="1"/>
  <c r="K506" i="1"/>
  <c r="K852" i="1" s="1"/>
  <c r="K505" i="1"/>
  <c r="K851" i="1" s="1"/>
  <c r="K504" i="1"/>
  <c r="K850" i="1" s="1"/>
  <c r="K503" i="1"/>
  <c r="K849" i="1" s="1"/>
  <c r="K502" i="1"/>
  <c r="K848" i="1" s="1"/>
  <c r="K501" i="1"/>
  <c r="K847" i="1" s="1"/>
  <c r="K500" i="1"/>
  <c r="K846" i="1" s="1"/>
  <c r="K499" i="1"/>
  <c r="K498" i="1"/>
  <c r="K844" i="1" s="1"/>
  <c r="K497" i="1"/>
  <c r="K843" i="1" s="1"/>
  <c r="K496" i="1"/>
  <c r="K842" i="1" s="1"/>
  <c r="K495" i="1"/>
  <c r="K841" i="1" s="1"/>
  <c r="K494" i="1"/>
  <c r="K840" i="1" s="1"/>
  <c r="K493" i="1"/>
  <c r="K839" i="1" s="1"/>
  <c r="K492" i="1"/>
  <c r="K838" i="1" s="1"/>
  <c r="K491" i="1"/>
  <c r="K837" i="1" s="1"/>
  <c r="K490" i="1"/>
  <c r="K836" i="1" s="1"/>
  <c r="K489" i="1"/>
  <c r="K835" i="1" s="1"/>
  <c r="K488" i="1"/>
  <c r="K834" i="1" s="1"/>
  <c r="K487" i="1"/>
  <c r="K486" i="1"/>
  <c r="K832" i="1" s="1"/>
  <c r="K485" i="1"/>
  <c r="K831" i="1" s="1"/>
  <c r="K484" i="1"/>
  <c r="K830" i="1" s="1"/>
  <c r="K483" i="1"/>
  <c r="K829" i="1" s="1"/>
  <c r="K482" i="1"/>
  <c r="K828" i="1" s="1"/>
  <c r="K481" i="1"/>
  <c r="K827" i="1" s="1"/>
  <c r="K480" i="1"/>
  <c r="K826" i="1" s="1"/>
  <c r="K479" i="1"/>
  <c r="K825" i="1" s="1"/>
  <c r="K478" i="1"/>
  <c r="K824" i="1" s="1"/>
  <c r="K477" i="1"/>
  <c r="K823" i="1" s="1"/>
  <c r="K476" i="1"/>
  <c r="K822" i="1" s="1"/>
  <c r="K475" i="1"/>
  <c r="K474" i="1"/>
  <c r="K820" i="1" s="1"/>
  <c r="K473" i="1"/>
  <c r="K819" i="1" s="1"/>
  <c r="K472" i="1"/>
  <c r="K818" i="1" s="1"/>
  <c r="K471" i="1"/>
  <c r="K817" i="1" s="1"/>
  <c r="K470" i="1"/>
  <c r="K816" i="1" s="1"/>
  <c r="K469" i="1"/>
  <c r="K815" i="1" s="1"/>
  <c r="K468" i="1"/>
  <c r="K814" i="1" s="1"/>
  <c r="K467" i="1"/>
  <c r="K813" i="1" s="1"/>
  <c r="K466" i="1"/>
  <c r="K812" i="1" s="1"/>
  <c r="K465" i="1"/>
  <c r="K811" i="1" s="1"/>
  <c r="K464" i="1"/>
  <c r="K810" i="1" s="1"/>
  <c r="K463" i="1"/>
  <c r="K809" i="1" s="1"/>
  <c r="K462" i="1"/>
  <c r="K808" i="1" s="1"/>
  <c r="K461" i="1"/>
  <c r="K807" i="1" s="1"/>
  <c r="K460" i="1"/>
  <c r="K806" i="1" s="1"/>
  <c r="K459" i="1"/>
  <c r="K805" i="1" s="1"/>
  <c r="K458" i="1"/>
  <c r="K804" i="1" s="1"/>
  <c r="K457" i="1"/>
  <c r="K803" i="1" s="1"/>
  <c r="K456" i="1"/>
  <c r="K802" i="1" s="1"/>
  <c r="K455" i="1"/>
  <c r="K801" i="1" s="1"/>
  <c r="K454" i="1"/>
  <c r="K800" i="1" s="1"/>
  <c r="K453" i="1"/>
  <c r="K799" i="1" s="1"/>
  <c r="K452" i="1"/>
  <c r="K798" i="1" s="1"/>
  <c r="K451" i="1"/>
  <c r="K797" i="1" s="1"/>
  <c r="K450" i="1"/>
  <c r="K796" i="1" s="1"/>
  <c r="K449" i="1"/>
  <c r="K795" i="1" s="1"/>
  <c r="K448" i="1"/>
  <c r="K794" i="1" s="1"/>
  <c r="K447" i="1"/>
  <c r="K793" i="1" s="1"/>
  <c r="K446" i="1"/>
  <c r="K792" i="1" s="1"/>
  <c r="K445" i="1"/>
  <c r="K791" i="1" s="1"/>
  <c r="K444" i="1"/>
  <c r="K790" i="1" s="1"/>
  <c r="K443" i="1"/>
  <c r="K789" i="1" s="1"/>
  <c r="K442" i="1"/>
  <c r="K788" i="1" s="1"/>
  <c r="K441" i="1"/>
  <c r="K440" i="1"/>
  <c r="K786" i="1" s="1"/>
  <c r="K439" i="1"/>
  <c r="K785" i="1" s="1"/>
  <c r="K438" i="1"/>
  <c r="K784" i="1" s="1"/>
  <c r="K437" i="1"/>
  <c r="K783" i="1" s="1"/>
  <c r="K436" i="1"/>
  <c r="K782" i="1" s="1"/>
  <c r="K435" i="1"/>
  <c r="K781" i="1" s="1"/>
  <c r="K434" i="1"/>
  <c r="K780" i="1" s="1"/>
  <c r="K433" i="1"/>
  <c r="K779" i="1" s="1"/>
  <c r="K432" i="1"/>
  <c r="K778" i="1" s="1"/>
  <c r="K431" i="1"/>
  <c r="K777" i="1" s="1"/>
  <c r="K430" i="1"/>
  <c r="K776" i="1" s="1"/>
  <c r="K429" i="1"/>
  <c r="K775" i="1" s="1"/>
  <c r="K428" i="1"/>
  <c r="K774" i="1" s="1"/>
  <c r="K427" i="1"/>
  <c r="K773" i="1" s="1"/>
  <c r="K426" i="1"/>
  <c r="K772" i="1" s="1"/>
  <c r="K425" i="1"/>
  <c r="K771" i="1" s="1"/>
  <c r="K424" i="1"/>
  <c r="K770" i="1" s="1"/>
  <c r="K423" i="1"/>
  <c r="K769" i="1" s="1"/>
  <c r="K422" i="1"/>
  <c r="K768" i="1" s="1"/>
  <c r="K421" i="1"/>
  <c r="K767" i="1" s="1"/>
  <c r="K420" i="1"/>
  <c r="K766" i="1" s="1"/>
  <c r="K419" i="1"/>
  <c r="K765" i="1" s="1"/>
  <c r="K418" i="1"/>
  <c r="K764" i="1" s="1"/>
  <c r="K417" i="1"/>
  <c r="K763" i="1" s="1"/>
  <c r="K416" i="1"/>
  <c r="K762" i="1" s="1"/>
  <c r="K415" i="1"/>
  <c r="K761" i="1" s="1"/>
  <c r="K414" i="1"/>
  <c r="K760" i="1" s="1"/>
  <c r="K413" i="1"/>
  <c r="K759" i="1" s="1"/>
  <c r="K412" i="1"/>
  <c r="K758" i="1" s="1"/>
  <c r="K411" i="1"/>
  <c r="K757" i="1" s="1"/>
  <c r="K410" i="1"/>
  <c r="K756" i="1" s="1"/>
  <c r="K409" i="1"/>
  <c r="K755" i="1" s="1"/>
  <c r="K408" i="1"/>
  <c r="K754" i="1" s="1"/>
  <c r="K407" i="1"/>
  <c r="K753" i="1" s="1"/>
  <c r="K406" i="1"/>
  <c r="K752" i="1" s="1"/>
  <c r="K405" i="1"/>
  <c r="K751" i="1" s="1"/>
  <c r="K404" i="1"/>
  <c r="K750" i="1" s="1"/>
  <c r="K403" i="1"/>
  <c r="K749" i="1" s="1"/>
  <c r="K402" i="1"/>
  <c r="K748" i="1" s="1"/>
  <c r="K401" i="1"/>
  <c r="K747" i="1" s="1"/>
  <c r="K400" i="1"/>
  <c r="K746" i="1" s="1"/>
  <c r="K399" i="1"/>
  <c r="K745" i="1" s="1"/>
  <c r="K398" i="1"/>
  <c r="K744" i="1" s="1"/>
  <c r="K397" i="1"/>
  <c r="K743" i="1" s="1"/>
  <c r="K396" i="1"/>
  <c r="K742" i="1" s="1"/>
  <c r="K395" i="1"/>
  <c r="K741" i="1" s="1"/>
  <c r="K394" i="1"/>
  <c r="K740" i="1" s="1"/>
  <c r="K393" i="1"/>
  <c r="K739" i="1" s="1"/>
  <c r="K392" i="1"/>
  <c r="K738" i="1" s="1"/>
  <c r="K391" i="1"/>
  <c r="K390" i="1"/>
  <c r="K736" i="1" s="1"/>
  <c r="K389" i="1"/>
  <c r="K735" i="1" s="1"/>
  <c r="K388" i="1"/>
  <c r="K734" i="1" s="1"/>
  <c r="K387" i="1"/>
  <c r="K733" i="1" s="1"/>
  <c r="K386" i="1"/>
  <c r="K732" i="1" s="1"/>
  <c r="K385" i="1"/>
  <c r="K731" i="1" s="1"/>
  <c r="K384" i="1"/>
  <c r="K730" i="1" s="1"/>
  <c r="K383" i="1"/>
  <c r="K729" i="1" s="1"/>
  <c r="K382" i="1"/>
  <c r="K728" i="1" s="1"/>
  <c r="K381" i="1"/>
  <c r="K727" i="1" s="1"/>
  <c r="K380" i="1"/>
  <c r="K726" i="1" s="1"/>
  <c r="K379" i="1"/>
  <c r="K378" i="1"/>
  <c r="K724" i="1" s="1"/>
  <c r="K377" i="1"/>
  <c r="K723" i="1" s="1"/>
  <c r="K376" i="1"/>
  <c r="K722" i="1" s="1"/>
  <c r="K375" i="1"/>
  <c r="K721" i="1" s="1"/>
  <c r="K374" i="1"/>
  <c r="K720" i="1" s="1"/>
  <c r="K373" i="1"/>
  <c r="K719" i="1" s="1"/>
  <c r="K372" i="1"/>
  <c r="K718" i="1" s="1"/>
  <c r="K371" i="1"/>
  <c r="K717" i="1" s="1"/>
  <c r="K370" i="1"/>
  <c r="K716" i="1" s="1"/>
  <c r="K369" i="1"/>
  <c r="K715" i="1" s="1"/>
  <c r="K368" i="1"/>
  <c r="K714" i="1" s="1"/>
  <c r="K367" i="1"/>
  <c r="K366" i="1"/>
  <c r="K712" i="1" s="1"/>
  <c r="K365" i="1"/>
  <c r="K711" i="1" s="1"/>
  <c r="K364" i="1"/>
  <c r="K710" i="1" s="1"/>
  <c r="K363" i="1"/>
  <c r="K709" i="1" s="1"/>
  <c r="K362" i="1"/>
  <c r="K708" i="1" s="1"/>
  <c r="K361" i="1"/>
  <c r="K707" i="1" s="1"/>
  <c r="K360" i="1"/>
  <c r="K706" i="1" s="1"/>
  <c r="K359" i="1"/>
  <c r="K705" i="1" s="1"/>
  <c r="K358" i="1"/>
  <c r="K704" i="1" s="1"/>
  <c r="K357" i="1"/>
  <c r="K703" i="1" s="1"/>
  <c r="K356" i="1"/>
  <c r="K702" i="1" s="1"/>
  <c r="K355" i="1"/>
  <c r="K701" i="1" s="1"/>
  <c r="K354" i="1"/>
  <c r="K700" i="1" s="1"/>
  <c r="K353" i="1"/>
  <c r="K699" i="1" s="1"/>
  <c r="K352" i="1"/>
  <c r="K698" i="1" s="1"/>
  <c r="K351" i="1"/>
  <c r="K697" i="1" s="1"/>
  <c r="K350" i="1"/>
  <c r="K696" i="1" s="1"/>
  <c r="K346" i="1" a="1"/>
  <c r="K346" i="1" s="1"/>
  <c r="K345" i="1" a="1"/>
  <c r="K345" i="1" s="1"/>
  <c r="K344" i="1" a="1"/>
  <c r="K344" i="1" s="1"/>
  <c r="K343" i="1" a="1"/>
  <c r="K343" i="1" s="1"/>
  <c r="K342" i="1" a="1"/>
  <c r="K342" i="1" s="1"/>
  <c r="K341" i="1" a="1"/>
  <c r="K341" i="1" s="1"/>
  <c r="K340" i="1" a="1"/>
  <c r="K340" i="1" s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 a="1"/>
  <c r="K319" i="1" s="1"/>
  <c r="K318" i="1"/>
  <c r="K317" i="1"/>
  <c r="K316" i="1"/>
  <c r="K315" i="1"/>
  <c r="K314" i="1"/>
  <c r="K313" i="1"/>
  <c r="K312" i="1"/>
  <c r="K311" i="1"/>
  <c r="K310" i="1"/>
  <c r="K309" i="1"/>
  <c r="K308" i="1" a="1"/>
  <c r="K308" i="1" s="1"/>
  <c r="K307" i="1"/>
  <c r="K306" i="1"/>
  <c r="K305" i="1"/>
  <c r="K304" i="1"/>
  <c r="K303" i="1"/>
  <c r="K302" i="1"/>
  <c r="K301" i="1"/>
  <c r="K300" i="1"/>
  <c r="K299" i="1"/>
  <c r="K298" i="1"/>
  <c r="K297" i="1" a="1"/>
  <c r="K297" i="1" s="1"/>
  <c r="K296" i="1"/>
  <c r="K295" i="1"/>
  <c r="K294" i="1"/>
  <c r="K293" i="1"/>
  <c r="K292" i="1"/>
  <c r="K291" i="1" a="1"/>
  <c r="K291" i="1" s="1"/>
  <c r="K290" i="1"/>
  <c r="K289" i="1"/>
  <c r="K288" i="1"/>
  <c r="K287" i="1"/>
  <c r="K286" i="1"/>
  <c r="K285" i="1" a="1"/>
  <c r="K285" i="1" s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 a="1"/>
  <c r="K263" i="1" s="1"/>
  <c r="K262" i="1"/>
  <c r="K261" i="1"/>
  <c r="K260" i="1"/>
  <c r="K259" i="1"/>
  <c r="K258" i="1"/>
  <c r="K257" i="1"/>
  <c r="K256" i="1"/>
  <c r="K255" i="1"/>
  <c r="K254" i="1"/>
  <c r="K253" i="1"/>
  <c r="K252" i="1" a="1"/>
  <c r="K252" i="1" s="1"/>
  <c r="K251" i="1"/>
  <c r="K250" i="1"/>
  <c r="K249" i="1"/>
  <c r="K248" i="1"/>
  <c r="K247" i="1"/>
  <c r="K246" i="1"/>
  <c r="K245" i="1"/>
  <c r="K244" i="1"/>
  <c r="K243" i="1"/>
  <c r="K242" i="1"/>
  <c r="K241" i="1" a="1"/>
  <c r="K241" i="1" s="1"/>
  <c r="K240" i="1"/>
  <c r="K239" i="1"/>
  <c r="K238" i="1"/>
  <c r="K237" i="1"/>
  <c r="K236" i="1"/>
  <c r="K235" i="1" a="1"/>
  <c r="K235" i="1" s="1"/>
  <c r="K234" i="1"/>
  <c r="K233" i="1"/>
  <c r="K232" i="1"/>
  <c r="K231" i="1"/>
  <c r="K230" i="1"/>
  <c r="K229" i="1" a="1"/>
  <c r="K229" i="1" s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 a="1"/>
  <c r="K207" i="1" s="1"/>
  <c r="K206" i="1"/>
  <c r="K205" i="1"/>
  <c r="K204" i="1"/>
  <c r="K203" i="1"/>
  <c r="K202" i="1"/>
  <c r="K201" i="1"/>
  <c r="K200" i="1"/>
  <c r="K199" i="1"/>
  <c r="K198" i="1"/>
  <c r="K197" i="1"/>
  <c r="K196" i="1" a="1"/>
  <c r="K196" i="1" s="1"/>
  <c r="K195" i="1"/>
  <c r="K194" i="1"/>
  <c r="K193" i="1"/>
  <c r="K192" i="1"/>
  <c r="K191" i="1"/>
  <c r="K190" i="1"/>
  <c r="K189" i="1"/>
  <c r="K188" i="1"/>
  <c r="K187" i="1"/>
  <c r="K186" i="1"/>
  <c r="K185" i="1" a="1"/>
  <c r="K185" i="1" s="1"/>
  <c r="K184" i="1"/>
  <c r="K183" i="1"/>
  <c r="K182" i="1"/>
  <c r="K181" i="1"/>
  <c r="K180" i="1"/>
  <c r="K179" i="1" a="1"/>
  <c r="K179" i="1" s="1"/>
  <c r="K178" i="1"/>
  <c r="K177" i="1"/>
  <c r="K176" i="1"/>
  <c r="K175" i="1"/>
  <c r="K174" i="1"/>
  <c r="K173" i="1" a="1"/>
  <c r="K173" i="1" s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 a="1"/>
  <c r="K151" i="1" s="1"/>
  <c r="K150" i="1"/>
  <c r="K149" i="1"/>
  <c r="K148" i="1"/>
  <c r="K147" i="1"/>
  <c r="K146" i="1"/>
  <c r="K145" i="1"/>
  <c r="K144" i="1"/>
  <c r="K143" i="1"/>
  <c r="K142" i="1"/>
  <c r="K141" i="1"/>
  <c r="K140" i="1" a="1"/>
  <c r="K140" i="1" s="1"/>
  <c r="K139" i="1"/>
  <c r="K138" i="1"/>
  <c r="K137" i="1"/>
  <c r="K136" i="1"/>
  <c r="K135" i="1"/>
  <c r="K134" i="1"/>
  <c r="K133" i="1"/>
  <c r="K132" i="1"/>
  <c r="K131" i="1"/>
  <c r="K130" i="1"/>
  <c r="K129" i="1" a="1"/>
  <c r="K129" i="1" s="1"/>
  <c r="K128" i="1"/>
  <c r="K127" i="1"/>
  <c r="K126" i="1"/>
  <c r="K125" i="1"/>
  <c r="K124" i="1"/>
  <c r="K123" i="1" a="1"/>
  <c r="K123" i="1" s="1"/>
  <c r="K122" i="1"/>
  <c r="K121" i="1"/>
  <c r="K120" i="1"/>
  <c r="K119" i="1"/>
  <c r="K118" i="1"/>
  <c r="K117" i="1" a="1"/>
  <c r="K117" i="1" s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 a="1"/>
  <c r="K95" i="1" s="1"/>
  <c r="K94" i="1"/>
  <c r="K93" i="1"/>
  <c r="K92" i="1"/>
  <c r="K91" i="1"/>
  <c r="K90" i="1"/>
  <c r="K89" i="1"/>
  <c r="K88" i="1"/>
  <c r="K87" i="1"/>
  <c r="K86" i="1"/>
  <c r="K85" i="1"/>
  <c r="K84" i="1" a="1"/>
  <c r="K84" i="1" s="1"/>
  <c r="K83" i="1"/>
  <c r="K82" i="1"/>
  <c r="K81" i="1"/>
  <c r="K80" i="1"/>
  <c r="K79" i="1"/>
  <c r="K78" i="1"/>
  <c r="K77" i="1"/>
  <c r="K76" i="1"/>
  <c r="K75" i="1"/>
  <c r="K74" i="1"/>
  <c r="K73" i="1" a="1"/>
  <c r="K73" i="1" s="1"/>
  <c r="K72" i="1"/>
  <c r="K71" i="1"/>
  <c r="K70" i="1"/>
  <c r="K69" i="1"/>
  <c r="K68" i="1"/>
  <c r="K67" i="1" a="1"/>
  <c r="K67" i="1" s="1"/>
  <c r="K66" i="1"/>
  <c r="K65" i="1"/>
  <c r="K64" i="1"/>
  <c r="K63" i="1"/>
  <c r="K62" i="1"/>
  <c r="K61" i="1" a="1"/>
  <c r="K61" i="1" s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 a="1"/>
  <c r="K39" i="1" s="1"/>
  <c r="K38" i="1"/>
  <c r="K37" i="1"/>
  <c r="K36" i="1"/>
  <c r="K35" i="1"/>
  <c r="K34" i="1"/>
  <c r="K33" i="1"/>
  <c r="K32" i="1"/>
  <c r="K31" i="1"/>
  <c r="K30" i="1"/>
  <c r="K29" i="1"/>
  <c r="K28" i="1" a="1"/>
  <c r="K28" i="1" s="1"/>
  <c r="K27" i="1"/>
  <c r="K26" i="1"/>
  <c r="K25" i="1"/>
  <c r="K24" i="1"/>
  <c r="K23" i="1"/>
  <c r="K22" i="1"/>
  <c r="K21" i="1"/>
  <c r="K20" i="1"/>
  <c r="K19" i="1"/>
  <c r="K18" i="1"/>
  <c r="K17" i="1" a="1"/>
  <c r="K17" i="1" s="1"/>
  <c r="K16" i="1"/>
  <c r="K15" i="1"/>
  <c r="K14" i="1"/>
  <c r="K13" i="1"/>
  <c r="K12" i="1"/>
  <c r="K11" i="1" a="1"/>
  <c r="K11" i="1" s="1"/>
  <c r="K10" i="1"/>
  <c r="K9" i="1"/>
  <c r="K8" i="1"/>
  <c r="K7" i="1"/>
  <c r="K6" i="1"/>
  <c r="K5" i="1" a="1"/>
  <c r="K5" i="1" s="1"/>
  <c r="K4" i="1"/>
  <c r="AC690" i="1" l="1"/>
  <c r="AC117" i="1"/>
  <c r="AC687" i="1"/>
  <c r="AC689" i="1"/>
  <c r="K1034" i="1"/>
  <c r="AC688" i="1"/>
  <c r="K1033" i="1"/>
  <c r="K1035" i="1"/>
  <c r="AC357" i="1"/>
  <c r="AC60" i="1"/>
  <c r="AC123" i="1"/>
  <c r="K1036" i="1"/>
  <c r="AC28" i="1"/>
  <c r="AC196" i="1"/>
  <c r="AC5" i="1"/>
  <c r="AC17" i="1"/>
  <c r="AC173" i="1"/>
  <c r="AC185" i="1"/>
  <c r="AC469" i="1"/>
  <c r="AC575" i="1"/>
  <c r="AC235" i="1"/>
  <c r="AC67" i="1"/>
  <c r="AC285" i="1"/>
  <c r="AC637" i="1"/>
  <c r="AC691" i="1"/>
  <c r="AC692" i="1"/>
  <c r="AC263" i="1"/>
  <c r="AC350" i="1"/>
  <c r="AC319" i="1"/>
  <c r="AC308" i="1"/>
  <c r="AC252" i="1"/>
  <c r="AC241" i="1"/>
  <c r="AC61" i="1"/>
  <c r="AC73" i="1"/>
  <c r="AC140" i="1"/>
  <c r="AC11" i="1"/>
  <c r="AC84" i="1"/>
  <c r="AC229" i="1"/>
  <c r="AC291" i="1"/>
  <c r="AC574" i="1"/>
  <c r="AC151" i="1"/>
  <c r="AC284" i="1"/>
  <c r="AC129" i="1"/>
  <c r="AC95" i="1"/>
  <c r="AC179" i="1"/>
  <c r="AC39" i="1"/>
  <c r="AC207" i="1"/>
  <c r="AC340" i="1"/>
  <c r="AC4" i="1"/>
  <c r="AC228" i="1"/>
  <c r="AC297" i="1"/>
  <c r="AC172" i="1"/>
  <c r="AC116" i="1"/>
  <c r="N38" i="2"/>
  <c r="E12" i="2" s="1"/>
  <c r="O43" i="2"/>
  <c r="D11" i="2" s="1"/>
  <c r="O38" i="2"/>
  <c r="D12" i="2" s="1"/>
  <c r="K821" i="1"/>
  <c r="AC475" i="1"/>
  <c r="K725" i="1"/>
  <c r="AC374" i="1"/>
  <c r="AC463" i="1"/>
  <c r="K941" i="1"/>
  <c r="AC587" i="1"/>
  <c r="K713" i="1"/>
  <c r="AC363" i="1"/>
  <c r="K737" i="1"/>
  <c r="AC385" i="1"/>
  <c r="K833" i="1"/>
  <c r="AC486" i="1"/>
  <c r="K845" i="1"/>
  <c r="AC497" i="1"/>
  <c r="K929" i="1"/>
  <c r="AC581" i="1"/>
  <c r="K977" i="1"/>
  <c r="AC631" i="1"/>
  <c r="AC630" i="1"/>
  <c r="AC643" i="1"/>
  <c r="K989" i="1"/>
  <c r="AC441" i="1"/>
  <c r="AC553" i="1"/>
  <c r="AC542" i="1"/>
  <c r="AC686" i="1"/>
  <c r="AC351" i="1"/>
  <c r="AC519" i="1"/>
  <c r="AC531" i="1"/>
  <c r="AC413" i="1"/>
  <c r="AC665" i="1"/>
  <c r="AC462" i="1"/>
  <c r="AC654" i="1"/>
  <c r="AC598" i="1"/>
  <c r="AC609" i="1"/>
  <c r="AC406" i="1"/>
  <c r="AC518" i="1"/>
  <c r="AC407" i="1"/>
  <c r="AC525" i="1"/>
  <c r="AC419" i="1"/>
  <c r="K787" i="1"/>
  <c r="AC430" i="1"/>
  <c r="K920" i="1"/>
  <c r="N43" i="2"/>
  <c r="N48" i="2"/>
  <c r="N58" i="2"/>
  <c r="N53" i="2"/>
  <c r="O48" i="2"/>
  <c r="D10" i="2" s="1"/>
  <c r="O53" i="2"/>
  <c r="D9" i="2" s="1"/>
  <c r="O58" i="2"/>
  <c r="D8" i="2" s="1"/>
  <c r="J692" i="1" a="1"/>
  <c r="J692" i="1" s="1"/>
  <c r="J1038" i="1" s="1" a="1"/>
  <c r="J1038" i="1" s="1"/>
  <c r="J691" i="1"/>
  <c r="J1037" i="1" s="1"/>
  <c r="J690" i="1"/>
  <c r="J689" i="1"/>
  <c r="J688" i="1"/>
  <c r="J687" i="1"/>
  <c r="J686" i="1" a="1"/>
  <c r="J686" i="1" s="1"/>
  <c r="J685" i="1"/>
  <c r="J1031" i="1" s="1"/>
  <c r="J684" i="1"/>
  <c r="J1030" i="1" s="1"/>
  <c r="J683" i="1"/>
  <c r="J1029" i="1" s="1"/>
  <c r="J682" i="1"/>
  <c r="J1028" i="1" s="1"/>
  <c r="J681" i="1"/>
  <c r="J1027" i="1" s="1"/>
  <c r="J680" i="1"/>
  <c r="J1026" i="1" s="1"/>
  <c r="J679" i="1"/>
  <c r="J1025" i="1" s="1"/>
  <c r="J678" i="1"/>
  <c r="J1024" i="1" s="1"/>
  <c r="J677" i="1"/>
  <c r="J1023" i="1" s="1"/>
  <c r="J676" i="1"/>
  <c r="J1022" i="1" s="1"/>
  <c r="J675" i="1"/>
  <c r="J1021" i="1" s="1"/>
  <c r="J674" i="1"/>
  <c r="J1020" i="1" s="1"/>
  <c r="J673" i="1"/>
  <c r="J1019" i="1" s="1"/>
  <c r="J672" i="1"/>
  <c r="J1018" i="1" s="1"/>
  <c r="J671" i="1"/>
  <c r="J1017" i="1" s="1"/>
  <c r="J670" i="1"/>
  <c r="J1016" i="1" s="1"/>
  <c r="J669" i="1"/>
  <c r="J1015" i="1" s="1"/>
  <c r="J668" i="1"/>
  <c r="J1014" i="1" s="1"/>
  <c r="J667" i="1"/>
  <c r="J1013" i="1" s="1"/>
  <c r="J666" i="1"/>
  <c r="J1012" i="1" s="1"/>
  <c r="J665" i="1"/>
  <c r="J664" i="1"/>
  <c r="J1010" i="1" s="1"/>
  <c r="J663" i="1"/>
  <c r="J1009" i="1" s="1"/>
  <c r="J662" i="1"/>
  <c r="J1008" i="1" s="1"/>
  <c r="J661" i="1"/>
  <c r="J1007" i="1" s="1"/>
  <c r="J660" i="1"/>
  <c r="J1006" i="1" s="1"/>
  <c r="J659" i="1"/>
  <c r="J1005" i="1" s="1"/>
  <c r="J658" i="1"/>
  <c r="J1004" i="1" s="1"/>
  <c r="J657" i="1"/>
  <c r="J1003" i="1" s="1"/>
  <c r="J656" i="1"/>
  <c r="J1002" i="1" s="1"/>
  <c r="J655" i="1"/>
  <c r="J1001" i="1" s="1"/>
  <c r="J654" i="1"/>
  <c r="J653" i="1"/>
  <c r="J999" i="1" s="1"/>
  <c r="J652" i="1"/>
  <c r="J998" i="1" s="1"/>
  <c r="J651" i="1"/>
  <c r="J997" i="1" s="1"/>
  <c r="J650" i="1"/>
  <c r="J996" i="1" s="1"/>
  <c r="J649" i="1"/>
  <c r="J995" i="1" s="1"/>
  <c r="J648" i="1"/>
  <c r="J994" i="1" s="1"/>
  <c r="J647" i="1"/>
  <c r="J993" i="1" s="1"/>
  <c r="J646" i="1"/>
  <c r="J992" i="1" s="1"/>
  <c r="J645" i="1"/>
  <c r="J991" i="1" s="1"/>
  <c r="J644" i="1"/>
  <c r="J990" i="1" s="1"/>
  <c r="J643" i="1"/>
  <c r="J642" i="1"/>
  <c r="J988" i="1" s="1"/>
  <c r="J641" i="1"/>
  <c r="J987" i="1" s="1"/>
  <c r="J640" i="1"/>
  <c r="J986" i="1" s="1"/>
  <c r="J639" i="1"/>
  <c r="J985" i="1" s="1"/>
  <c r="J638" i="1"/>
  <c r="J984" i="1" s="1"/>
  <c r="J637" i="1"/>
  <c r="J636" i="1"/>
  <c r="J982" i="1" s="1"/>
  <c r="J635" i="1"/>
  <c r="J981" i="1" s="1"/>
  <c r="J634" i="1"/>
  <c r="J980" i="1" s="1"/>
  <c r="J633" i="1"/>
  <c r="J979" i="1" s="1"/>
  <c r="J632" i="1"/>
  <c r="J978" i="1" s="1"/>
  <c r="J631" i="1"/>
  <c r="J630" i="1"/>
  <c r="J629" i="1"/>
  <c r="J975" i="1" s="1"/>
  <c r="J628" i="1"/>
  <c r="J974" i="1" s="1"/>
  <c r="J627" i="1"/>
  <c r="J973" i="1" s="1"/>
  <c r="J626" i="1"/>
  <c r="J972" i="1" s="1"/>
  <c r="J625" i="1"/>
  <c r="J971" i="1" s="1"/>
  <c r="J624" i="1"/>
  <c r="J970" i="1" s="1"/>
  <c r="J623" i="1"/>
  <c r="J969" i="1" s="1"/>
  <c r="J622" i="1"/>
  <c r="J968" i="1" s="1"/>
  <c r="J621" i="1"/>
  <c r="J967" i="1" s="1"/>
  <c r="J620" i="1"/>
  <c r="J966" i="1" s="1"/>
  <c r="J619" i="1"/>
  <c r="J965" i="1" s="1"/>
  <c r="J618" i="1"/>
  <c r="J964" i="1" s="1"/>
  <c r="J617" i="1"/>
  <c r="J963" i="1" s="1"/>
  <c r="J616" i="1"/>
  <c r="J962" i="1" s="1"/>
  <c r="J615" i="1"/>
  <c r="J961" i="1" s="1"/>
  <c r="J614" i="1"/>
  <c r="J960" i="1" s="1"/>
  <c r="J613" i="1"/>
  <c r="J959" i="1" s="1"/>
  <c r="J612" i="1"/>
  <c r="J958" i="1" s="1"/>
  <c r="J611" i="1"/>
  <c r="J957" i="1" s="1"/>
  <c r="J610" i="1"/>
  <c r="J956" i="1" s="1"/>
  <c r="J609" i="1"/>
  <c r="J955" i="1" s="1"/>
  <c r="J608" i="1"/>
  <c r="J954" i="1" s="1"/>
  <c r="J607" i="1"/>
  <c r="J953" i="1" s="1"/>
  <c r="J606" i="1"/>
  <c r="J952" i="1" s="1"/>
  <c r="J605" i="1"/>
  <c r="J951" i="1" s="1"/>
  <c r="J604" i="1"/>
  <c r="J950" i="1" s="1"/>
  <c r="J603" i="1"/>
  <c r="J949" i="1" s="1"/>
  <c r="J602" i="1"/>
  <c r="J948" i="1" s="1"/>
  <c r="J601" i="1"/>
  <c r="J947" i="1" s="1"/>
  <c r="J600" i="1"/>
  <c r="J946" i="1" s="1"/>
  <c r="J599" i="1"/>
  <c r="J945" i="1" s="1"/>
  <c r="J598" i="1"/>
  <c r="J944" i="1" s="1"/>
  <c r="J597" i="1"/>
  <c r="J943" i="1" s="1"/>
  <c r="J596" i="1"/>
  <c r="J942" i="1" s="1"/>
  <c r="J595" i="1"/>
  <c r="J941" i="1" s="1"/>
  <c r="J594" i="1"/>
  <c r="J940" i="1" s="1"/>
  <c r="J593" i="1"/>
  <c r="J939" i="1" s="1"/>
  <c r="J592" i="1"/>
  <c r="J938" i="1" s="1"/>
  <c r="J591" i="1"/>
  <c r="J937" i="1" s="1"/>
  <c r="J590" i="1"/>
  <c r="J936" i="1" s="1"/>
  <c r="J589" i="1"/>
  <c r="J935" i="1" s="1"/>
  <c r="J588" i="1"/>
  <c r="J934" i="1" s="1"/>
  <c r="J587" i="1"/>
  <c r="J933" i="1" s="1"/>
  <c r="J586" i="1"/>
  <c r="J932" i="1" s="1"/>
  <c r="J585" i="1"/>
  <c r="J931" i="1" s="1"/>
  <c r="J584" i="1"/>
  <c r="J930" i="1" s="1"/>
  <c r="J583" i="1"/>
  <c r="J929" i="1" s="1"/>
  <c r="J582" i="1"/>
  <c r="J928" i="1" s="1"/>
  <c r="J581" i="1"/>
  <c r="J580" i="1"/>
  <c r="J926" i="1" s="1"/>
  <c r="J579" i="1"/>
  <c r="J925" i="1" s="1"/>
  <c r="J578" i="1"/>
  <c r="J924" i="1" s="1"/>
  <c r="J577" i="1"/>
  <c r="J923" i="1" s="1"/>
  <c r="J576" i="1"/>
  <c r="J922" i="1" s="1"/>
  <c r="J575" i="1"/>
  <c r="J921" i="1" s="1"/>
  <c r="J574" i="1"/>
  <c r="J920" i="1" s="1"/>
  <c r="J573" i="1"/>
  <c r="J919" i="1" s="1"/>
  <c r="J572" i="1"/>
  <c r="J918" i="1" s="1"/>
  <c r="J571" i="1"/>
  <c r="J917" i="1" s="1"/>
  <c r="J570" i="1"/>
  <c r="J916" i="1" s="1"/>
  <c r="J569" i="1"/>
  <c r="J915" i="1" s="1"/>
  <c r="J568" i="1"/>
  <c r="J914" i="1" s="1"/>
  <c r="J567" i="1"/>
  <c r="J913" i="1" s="1"/>
  <c r="J566" i="1"/>
  <c r="J912" i="1" s="1"/>
  <c r="J565" i="1"/>
  <c r="J911" i="1" s="1"/>
  <c r="J564" i="1"/>
  <c r="J910" i="1" s="1"/>
  <c r="J563" i="1"/>
  <c r="J909" i="1" s="1"/>
  <c r="J562" i="1"/>
  <c r="J908" i="1" s="1"/>
  <c r="J561" i="1"/>
  <c r="J907" i="1" s="1"/>
  <c r="J560" i="1"/>
  <c r="J906" i="1" s="1"/>
  <c r="J559" i="1"/>
  <c r="J905" i="1" s="1"/>
  <c r="J558" i="1"/>
  <c r="J904" i="1" s="1"/>
  <c r="J557" i="1"/>
  <c r="J903" i="1" s="1"/>
  <c r="J556" i="1"/>
  <c r="J902" i="1" s="1"/>
  <c r="J555" i="1"/>
  <c r="J901" i="1" s="1"/>
  <c r="J554" i="1"/>
  <c r="J900" i="1" s="1"/>
  <c r="J553" i="1"/>
  <c r="J552" i="1"/>
  <c r="J898" i="1" s="1"/>
  <c r="J551" i="1"/>
  <c r="J897" i="1" s="1"/>
  <c r="J550" i="1"/>
  <c r="J896" i="1" s="1"/>
  <c r="J549" i="1"/>
  <c r="J895" i="1" s="1"/>
  <c r="J548" i="1"/>
  <c r="J894" i="1" s="1"/>
  <c r="J547" i="1"/>
  <c r="J893" i="1" s="1"/>
  <c r="J546" i="1"/>
  <c r="J892" i="1" s="1"/>
  <c r="J545" i="1"/>
  <c r="J891" i="1" s="1"/>
  <c r="J544" i="1"/>
  <c r="J890" i="1" s="1"/>
  <c r="J543" i="1"/>
  <c r="J889" i="1" s="1"/>
  <c r="J542" i="1"/>
  <c r="J541" i="1"/>
  <c r="J887" i="1" s="1"/>
  <c r="J540" i="1"/>
  <c r="J886" i="1" s="1"/>
  <c r="J539" i="1"/>
  <c r="J885" i="1" s="1"/>
  <c r="J538" i="1"/>
  <c r="J884" i="1" s="1"/>
  <c r="J537" i="1"/>
  <c r="J883" i="1" s="1"/>
  <c r="J536" i="1"/>
  <c r="J882" i="1" s="1"/>
  <c r="J535" i="1"/>
  <c r="J881" i="1" s="1"/>
  <c r="J534" i="1"/>
  <c r="J880" i="1" s="1"/>
  <c r="J533" i="1"/>
  <c r="J879" i="1" s="1"/>
  <c r="J532" i="1"/>
  <c r="J878" i="1" s="1"/>
  <c r="J531" i="1"/>
  <c r="J877" i="1" s="1"/>
  <c r="J530" i="1"/>
  <c r="J876" i="1" s="1"/>
  <c r="J529" i="1"/>
  <c r="J875" i="1" s="1"/>
  <c r="J528" i="1"/>
  <c r="J874" i="1" s="1"/>
  <c r="J527" i="1"/>
  <c r="J873" i="1" s="1"/>
  <c r="J526" i="1"/>
  <c r="J872" i="1" s="1"/>
  <c r="J525" i="1"/>
  <c r="J871" i="1" s="1"/>
  <c r="J524" i="1"/>
  <c r="J870" i="1" s="1"/>
  <c r="J523" i="1"/>
  <c r="J869" i="1" s="1"/>
  <c r="J522" i="1"/>
  <c r="J868" i="1" s="1"/>
  <c r="J521" i="1"/>
  <c r="J867" i="1" s="1"/>
  <c r="J520" i="1"/>
  <c r="J866" i="1" s="1"/>
  <c r="J519" i="1"/>
  <c r="J518" i="1"/>
  <c r="J517" i="1"/>
  <c r="J863" i="1" s="1"/>
  <c r="J516" i="1"/>
  <c r="J862" i="1" s="1"/>
  <c r="J515" i="1"/>
  <c r="J861" i="1" s="1"/>
  <c r="J514" i="1"/>
  <c r="J860" i="1" s="1"/>
  <c r="J513" i="1"/>
  <c r="J859" i="1" s="1"/>
  <c r="J512" i="1"/>
  <c r="J858" i="1" s="1"/>
  <c r="J511" i="1"/>
  <c r="J857" i="1" s="1"/>
  <c r="J510" i="1"/>
  <c r="J856" i="1" s="1"/>
  <c r="J509" i="1"/>
  <c r="J855" i="1" s="1"/>
  <c r="J508" i="1"/>
  <c r="J854" i="1" s="1"/>
  <c r="J507" i="1"/>
  <c r="J853" i="1" s="1"/>
  <c r="J506" i="1"/>
  <c r="J852" i="1" s="1"/>
  <c r="J505" i="1"/>
  <c r="J851" i="1" s="1"/>
  <c r="J504" i="1"/>
  <c r="J850" i="1" s="1"/>
  <c r="J503" i="1"/>
  <c r="J849" i="1" s="1"/>
  <c r="J502" i="1"/>
  <c r="J848" i="1" s="1"/>
  <c r="J501" i="1"/>
  <c r="J847" i="1" s="1"/>
  <c r="J500" i="1"/>
  <c r="J846" i="1" s="1"/>
  <c r="J499" i="1"/>
  <c r="J845" i="1" s="1"/>
  <c r="J498" i="1"/>
  <c r="J844" i="1" s="1"/>
  <c r="J497" i="1"/>
  <c r="J496" i="1"/>
  <c r="J842" i="1" s="1"/>
  <c r="J495" i="1"/>
  <c r="J841" i="1" s="1"/>
  <c r="J494" i="1"/>
  <c r="J840" i="1" s="1"/>
  <c r="J493" i="1"/>
  <c r="J839" i="1" s="1"/>
  <c r="J492" i="1"/>
  <c r="J838" i="1" s="1"/>
  <c r="J491" i="1"/>
  <c r="J837" i="1" s="1"/>
  <c r="J490" i="1"/>
  <c r="J836" i="1" s="1"/>
  <c r="J489" i="1"/>
  <c r="J835" i="1" s="1"/>
  <c r="J488" i="1"/>
  <c r="J834" i="1" s="1"/>
  <c r="J487" i="1"/>
  <c r="J833" i="1" s="1"/>
  <c r="J486" i="1"/>
  <c r="J485" i="1"/>
  <c r="J831" i="1" s="1"/>
  <c r="J484" i="1"/>
  <c r="J830" i="1" s="1"/>
  <c r="J483" i="1"/>
  <c r="J829" i="1" s="1"/>
  <c r="J482" i="1"/>
  <c r="J828" i="1" s="1"/>
  <c r="J481" i="1"/>
  <c r="J827" i="1" s="1"/>
  <c r="J480" i="1"/>
  <c r="J826" i="1" s="1"/>
  <c r="J479" i="1"/>
  <c r="J825" i="1" s="1"/>
  <c r="J478" i="1"/>
  <c r="J824" i="1" s="1"/>
  <c r="J477" i="1"/>
  <c r="J823" i="1" s="1"/>
  <c r="J476" i="1"/>
  <c r="J822" i="1" s="1"/>
  <c r="J475" i="1"/>
  <c r="J474" i="1"/>
  <c r="J820" i="1" s="1"/>
  <c r="J473" i="1"/>
  <c r="J819" i="1" s="1"/>
  <c r="J472" i="1"/>
  <c r="J818" i="1" s="1"/>
  <c r="J471" i="1"/>
  <c r="J817" i="1" s="1"/>
  <c r="J470" i="1"/>
  <c r="J816" i="1" s="1"/>
  <c r="J469" i="1"/>
  <c r="J815" i="1" s="1"/>
  <c r="J468" i="1"/>
  <c r="J814" i="1" s="1"/>
  <c r="J467" i="1"/>
  <c r="J813" i="1" s="1"/>
  <c r="J466" i="1"/>
  <c r="J812" i="1" s="1"/>
  <c r="J465" i="1"/>
  <c r="J811" i="1" s="1"/>
  <c r="J464" i="1"/>
  <c r="J810" i="1" s="1"/>
  <c r="J463" i="1"/>
  <c r="J462" i="1"/>
  <c r="J461" i="1"/>
  <c r="J807" i="1" s="1"/>
  <c r="J460" i="1"/>
  <c r="J806" i="1" s="1"/>
  <c r="J459" i="1"/>
  <c r="J805" i="1" s="1"/>
  <c r="J458" i="1"/>
  <c r="J804" i="1" s="1"/>
  <c r="J457" i="1"/>
  <c r="J803" i="1" s="1"/>
  <c r="J456" i="1"/>
  <c r="J802" i="1" s="1"/>
  <c r="J455" i="1"/>
  <c r="J801" i="1" s="1"/>
  <c r="J454" i="1"/>
  <c r="J800" i="1" s="1"/>
  <c r="J453" i="1"/>
  <c r="J799" i="1" s="1"/>
  <c r="J452" i="1"/>
  <c r="J798" i="1" s="1"/>
  <c r="J451" i="1"/>
  <c r="J797" i="1" s="1"/>
  <c r="J450" i="1"/>
  <c r="J796" i="1" s="1"/>
  <c r="J449" i="1"/>
  <c r="J795" i="1" s="1"/>
  <c r="J448" i="1"/>
  <c r="J794" i="1" s="1"/>
  <c r="J447" i="1"/>
  <c r="J793" i="1" s="1"/>
  <c r="J446" i="1"/>
  <c r="J792" i="1" s="1"/>
  <c r="J445" i="1"/>
  <c r="J791" i="1" s="1"/>
  <c r="J444" i="1"/>
  <c r="J790" i="1" s="1"/>
  <c r="J443" i="1"/>
  <c r="J789" i="1" s="1"/>
  <c r="J442" i="1"/>
  <c r="J788" i="1" s="1"/>
  <c r="J441" i="1"/>
  <c r="J787" i="1" s="1"/>
  <c r="J440" i="1"/>
  <c r="J786" i="1" s="1"/>
  <c r="J439" i="1"/>
  <c r="J785" i="1" s="1"/>
  <c r="J438" i="1"/>
  <c r="J784" i="1" s="1"/>
  <c r="J437" i="1"/>
  <c r="J783" i="1" s="1"/>
  <c r="J436" i="1"/>
  <c r="J782" i="1" s="1"/>
  <c r="J435" i="1"/>
  <c r="J781" i="1" s="1"/>
  <c r="J434" i="1"/>
  <c r="J780" i="1" s="1"/>
  <c r="J433" i="1"/>
  <c r="J779" i="1" s="1"/>
  <c r="J432" i="1"/>
  <c r="J778" i="1" s="1"/>
  <c r="J431" i="1"/>
  <c r="J777" i="1" s="1"/>
  <c r="J430" i="1"/>
  <c r="J776" i="1" s="1"/>
  <c r="J429" i="1"/>
  <c r="J775" i="1" s="1"/>
  <c r="J428" i="1"/>
  <c r="J774" i="1" s="1"/>
  <c r="J427" i="1"/>
  <c r="J773" i="1" s="1"/>
  <c r="J426" i="1"/>
  <c r="J772" i="1" s="1"/>
  <c r="J425" i="1"/>
  <c r="J771" i="1" s="1"/>
  <c r="J424" i="1"/>
  <c r="J770" i="1" s="1"/>
  <c r="J423" i="1"/>
  <c r="J769" i="1" s="1"/>
  <c r="J422" i="1"/>
  <c r="J768" i="1" s="1"/>
  <c r="J421" i="1"/>
  <c r="J767" i="1" s="1"/>
  <c r="J420" i="1"/>
  <c r="J766" i="1" s="1"/>
  <c r="J419" i="1"/>
  <c r="J765" i="1" s="1"/>
  <c r="J418" i="1"/>
  <c r="J764" i="1" s="1"/>
  <c r="J417" i="1"/>
  <c r="J763" i="1" s="1"/>
  <c r="J416" i="1"/>
  <c r="J762" i="1" s="1"/>
  <c r="J415" i="1"/>
  <c r="J761" i="1" s="1"/>
  <c r="J414" i="1"/>
  <c r="J760" i="1" s="1"/>
  <c r="J413" i="1"/>
  <c r="J412" i="1"/>
  <c r="J758" i="1" s="1"/>
  <c r="J411" i="1"/>
  <c r="J757" i="1" s="1"/>
  <c r="J410" i="1"/>
  <c r="J756" i="1" s="1"/>
  <c r="J409" i="1"/>
  <c r="J755" i="1" s="1"/>
  <c r="J408" i="1"/>
  <c r="J754" i="1" s="1"/>
  <c r="J407" i="1"/>
  <c r="J753" i="1" s="1"/>
  <c r="J406" i="1"/>
  <c r="J752" i="1" s="1"/>
  <c r="J385" i="1"/>
  <c r="J731" i="1" s="1"/>
  <c r="J374" i="1"/>
  <c r="J363" i="1"/>
  <c r="J357" i="1"/>
  <c r="J351" i="1"/>
  <c r="J346" i="1" a="1"/>
  <c r="J346" i="1" s="1"/>
  <c r="J345" i="1" a="1"/>
  <c r="J345" i="1" s="1"/>
  <c r="J344" i="1" a="1"/>
  <c r="J344" i="1" s="1"/>
  <c r="J343" i="1" a="1"/>
  <c r="J343" i="1" s="1"/>
  <c r="J342" i="1" a="1"/>
  <c r="J342" i="1" s="1"/>
  <c r="J341" i="1" a="1"/>
  <c r="J341" i="1" s="1"/>
  <c r="J340" i="1" a="1"/>
  <c r="J340" i="1" s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 a="1"/>
  <c r="J319" i="1" s="1"/>
  <c r="J318" i="1"/>
  <c r="J317" i="1"/>
  <c r="J316" i="1"/>
  <c r="J315" i="1"/>
  <c r="J314" i="1"/>
  <c r="J313" i="1"/>
  <c r="J312" i="1"/>
  <c r="J311" i="1"/>
  <c r="J310" i="1"/>
  <c r="J309" i="1"/>
  <c r="J308" i="1" a="1"/>
  <c r="J308" i="1" s="1"/>
  <c r="J307" i="1"/>
  <c r="J306" i="1"/>
  <c r="J305" i="1"/>
  <c r="J304" i="1"/>
  <c r="J303" i="1"/>
  <c r="J302" i="1"/>
  <c r="J301" i="1"/>
  <c r="J300" i="1"/>
  <c r="J299" i="1"/>
  <c r="J298" i="1"/>
  <c r="J297" i="1" a="1"/>
  <c r="J297" i="1" s="1"/>
  <c r="J296" i="1"/>
  <c r="J295" i="1"/>
  <c r="J294" i="1"/>
  <c r="J293" i="1"/>
  <c r="J292" i="1"/>
  <c r="J291" i="1" a="1"/>
  <c r="J291" i="1" s="1"/>
  <c r="J290" i="1"/>
  <c r="J289" i="1"/>
  <c r="J288" i="1"/>
  <c r="J287" i="1"/>
  <c r="J286" i="1"/>
  <c r="J285" i="1" a="1"/>
  <c r="J285" i="1" s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 a="1"/>
  <c r="J263" i="1" s="1"/>
  <c r="J262" i="1"/>
  <c r="J261" i="1"/>
  <c r="J260" i="1"/>
  <c r="J259" i="1"/>
  <c r="J258" i="1"/>
  <c r="J257" i="1"/>
  <c r="J256" i="1"/>
  <c r="J255" i="1"/>
  <c r="J254" i="1"/>
  <c r="J253" i="1"/>
  <c r="J252" i="1" a="1"/>
  <c r="J252" i="1" s="1"/>
  <c r="J251" i="1"/>
  <c r="J250" i="1"/>
  <c r="J249" i="1"/>
  <c r="J248" i="1"/>
  <c r="J247" i="1"/>
  <c r="J246" i="1"/>
  <c r="J245" i="1"/>
  <c r="J244" i="1"/>
  <c r="J243" i="1"/>
  <c r="J242" i="1"/>
  <c r="J241" i="1" a="1"/>
  <c r="J241" i="1" s="1"/>
  <c r="J240" i="1"/>
  <c r="J239" i="1"/>
  <c r="J238" i="1"/>
  <c r="J237" i="1"/>
  <c r="J236" i="1"/>
  <c r="J235" i="1" a="1"/>
  <c r="J235" i="1" s="1"/>
  <c r="J234" i="1"/>
  <c r="J233" i="1"/>
  <c r="J232" i="1"/>
  <c r="J231" i="1"/>
  <c r="J230" i="1"/>
  <c r="J229" i="1" a="1"/>
  <c r="J229" i="1" s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 a="1"/>
  <c r="J207" i="1" s="1"/>
  <c r="J206" i="1"/>
  <c r="J205" i="1"/>
  <c r="J204" i="1"/>
  <c r="J203" i="1"/>
  <c r="J202" i="1"/>
  <c r="J201" i="1"/>
  <c r="J200" i="1"/>
  <c r="J199" i="1"/>
  <c r="J198" i="1"/>
  <c r="J197" i="1"/>
  <c r="J196" i="1" a="1"/>
  <c r="J196" i="1" s="1"/>
  <c r="J195" i="1"/>
  <c r="J194" i="1"/>
  <c r="J193" i="1"/>
  <c r="J192" i="1"/>
  <c r="J191" i="1"/>
  <c r="J190" i="1"/>
  <c r="J189" i="1"/>
  <c r="J188" i="1"/>
  <c r="J187" i="1"/>
  <c r="J186" i="1"/>
  <c r="J185" i="1" a="1"/>
  <c r="J185" i="1" s="1"/>
  <c r="J184" i="1"/>
  <c r="J183" i="1"/>
  <c r="J182" i="1"/>
  <c r="J181" i="1"/>
  <c r="J180" i="1"/>
  <c r="J179" i="1" a="1"/>
  <c r="J179" i="1" s="1"/>
  <c r="J178" i="1"/>
  <c r="J177" i="1"/>
  <c r="J176" i="1"/>
  <c r="J175" i="1"/>
  <c r="J174" i="1"/>
  <c r="J173" i="1" a="1"/>
  <c r="J173" i="1" s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 a="1"/>
  <c r="J151" i="1" s="1"/>
  <c r="J150" i="1"/>
  <c r="J149" i="1"/>
  <c r="J148" i="1"/>
  <c r="J147" i="1"/>
  <c r="J146" i="1"/>
  <c r="J145" i="1"/>
  <c r="J144" i="1"/>
  <c r="J143" i="1"/>
  <c r="J142" i="1"/>
  <c r="J141" i="1"/>
  <c r="J140" i="1" a="1"/>
  <c r="J140" i="1" s="1"/>
  <c r="J139" i="1"/>
  <c r="J138" i="1"/>
  <c r="J137" i="1"/>
  <c r="J136" i="1"/>
  <c r="J135" i="1"/>
  <c r="J134" i="1"/>
  <c r="J133" i="1"/>
  <c r="J132" i="1"/>
  <c r="J131" i="1"/>
  <c r="J130" i="1"/>
  <c r="J129" i="1" a="1"/>
  <c r="J129" i="1" s="1"/>
  <c r="J128" i="1"/>
  <c r="J127" i="1"/>
  <c r="J126" i="1"/>
  <c r="J125" i="1"/>
  <c r="J124" i="1"/>
  <c r="J123" i="1" a="1"/>
  <c r="J123" i="1" s="1"/>
  <c r="J122" i="1"/>
  <c r="J121" i="1"/>
  <c r="J120" i="1"/>
  <c r="J119" i="1"/>
  <c r="J118" i="1"/>
  <c r="J117" i="1" a="1"/>
  <c r="J117" i="1" s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 a="1"/>
  <c r="J95" i="1" s="1"/>
  <c r="J94" i="1"/>
  <c r="J93" i="1"/>
  <c r="J92" i="1"/>
  <c r="J91" i="1"/>
  <c r="J90" i="1"/>
  <c r="J89" i="1"/>
  <c r="J88" i="1"/>
  <c r="J87" i="1"/>
  <c r="J86" i="1"/>
  <c r="J85" i="1"/>
  <c r="J84" i="1" a="1"/>
  <c r="J84" i="1" s="1"/>
  <c r="J83" i="1"/>
  <c r="J82" i="1"/>
  <c r="J81" i="1"/>
  <c r="J80" i="1"/>
  <c r="J79" i="1"/>
  <c r="J78" i="1"/>
  <c r="J77" i="1"/>
  <c r="J76" i="1"/>
  <c r="J75" i="1"/>
  <c r="J74" i="1"/>
  <c r="J73" i="1" a="1"/>
  <c r="J73" i="1" s="1"/>
  <c r="J72" i="1"/>
  <c r="J71" i="1"/>
  <c r="J70" i="1"/>
  <c r="J69" i="1"/>
  <c r="J68" i="1"/>
  <c r="J67" i="1" a="1"/>
  <c r="J67" i="1" s="1"/>
  <c r="J66" i="1"/>
  <c r="J65" i="1"/>
  <c r="J64" i="1"/>
  <c r="J63" i="1"/>
  <c r="J62" i="1"/>
  <c r="J61" i="1" a="1"/>
  <c r="J61" i="1" s="1"/>
  <c r="J60" i="1"/>
  <c r="J39" i="1" a="1"/>
  <c r="J39" i="1" s="1"/>
  <c r="J28" i="1" a="1"/>
  <c r="J28" i="1" s="1"/>
  <c r="J17" i="1" a="1"/>
  <c r="J17" i="1" s="1"/>
  <c r="J11" i="1" a="1"/>
  <c r="J11" i="1" s="1"/>
  <c r="J5" i="1" a="1"/>
  <c r="J5" i="1" s="1"/>
  <c r="AB173" i="1" l="1"/>
  <c r="J1033" i="1"/>
  <c r="AB687" i="1"/>
  <c r="J1034" i="1"/>
  <c r="AB688" i="1"/>
  <c r="AB95" i="1"/>
  <c r="AB263" i="1"/>
  <c r="J1035" i="1"/>
  <c r="AB689" i="1"/>
  <c r="AB252" i="1"/>
  <c r="J1036" i="1"/>
  <c r="AB690" i="1"/>
  <c r="AB84" i="1"/>
  <c r="AB229" i="1"/>
  <c r="AB123" i="1"/>
  <c r="AB241" i="1"/>
  <c r="AB67" i="1"/>
  <c r="AB151" i="1"/>
  <c r="AB637" i="1"/>
  <c r="AB140" i="1"/>
  <c r="AB284" i="1"/>
  <c r="AB308" i="1"/>
  <c r="AB73" i="1"/>
  <c r="AB117" i="1"/>
  <c r="AB129" i="1"/>
  <c r="AB285" i="1"/>
  <c r="AB297" i="1"/>
  <c r="AB519" i="1"/>
  <c r="E9" i="2"/>
  <c r="E8" i="2"/>
  <c r="E10" i="2"/>
  <c r="E11" i="2"/>
  <c r="AB413" i="1"/>
  <c r="AB581" i="1"/>
  <c r="AB542" i="1"/>
  <c r="AB553" i="1"/>
  <c r="AB518" i="1"/>
  <c r="J1032" i="1" a="1"/>
  <c r="J1032" i="1" s="1"/>
  <c r="AB686" i="1"/>
  <c r="AB207" i="1"/>
  <c r="AB116" i="1"/>
  <c r="AB196" i="1"/>
  <c r="AB497" i="1"/>
  <c r="AB665" i="1"/>
  <c r="J899" i="1"/>
  <c r="J983" i="1"/>
  <c r="AB185" i="1"/>
  <c r="AB462" i="1"/>
  <c r="AB486" i="1"/>
  <c r="AB630" i="1"/>
  <c r="AB654" i="1"/>
  <c r="J864" i="1"/>
  <c r="J888" i="1"/>
  <c r="AB61" i="1"/>
  <c r="AB463" i="1"/>
  <c r="AB475" i="1"/>
  <c r="AB631" i="1"/>
  <c r="AB643" i="1"/>
  <c r="J865" i="1"/>
  <c r="AB291" i="1"/>
  <c r="AB340" i="1"/>
  <c r="AB525" i="1"/>
  <c r="AB609" i="1"/>
  <c r="J697" i="1"/>
  <c r="J759" i="1"/>
  <c r="J843" i="1"/>
  <c r="J927" i="1"/>
  <c r="J1011" i="1"/>
  <c r="AB531" i="1"/>
  <c r="AB60" i="1"/>
  <c r="AB235" i="1"/>
  <c r="AB441" i="1"/>
  <c r="AB406" i="1"/>
  <c r="AB430" i="1"/>
  <c r="AB574" i="1"/>
  <c r="AB598" i="1"/>
  <c r="J703" i="1"/>
  <c r="J808" i="1"/>
  <c r="J832" i="1"/>
  <c r="J976" i="1"/>
  <c r="J1000" i="1"/>
  <c r="AB228" i="1"/>
  <c r="AB469" i="1"/>
  <c r="AB172" i="1"/>
  <c r="AB407" i="1"/>
  <c r="AB419" i="1"/>
  <c r="AB575" i="1"/>
  <c r="AB587" i="1"/>
  <c r="J709" i="1"/>
  <c r="J809" i="1"/>
  <c r="J821" i="1"/>
  <c r="J977" i="1"/>
  <c r="J989" i="1"/>
  <c r="AB179" i="1"/>
  <c r="AB319" i="1"/>
  <c r="J720" i="1"/>
  <c r="J13" i="1"/>
  <c r="J359" i="1"/>
  <c r="J705" i="1" s="1"/>
  <c r="J47" i="1"/>
  <c r="J393" i="1"/>
  <c r="J739" i="1" s="1"/>
  <c r="J366" i="1"/>
  <c r="J712" i="1" s="1"/>
  <c r="J20" i="1"/>
  <c r="J391" i="1"/>
  <c r="J737" i="1" s="1"/>
  <c r="J45" i="1"/>
  <c r="J26" i="1"/>
  <c r="J372" i="1"/>
  <c r="J718" i="1" s="1"/>
  <c r="J378" i="1"/>
  <c r="J724" i="1" s="1"/>
  <c r="J32" i="1"/>
  <c r="J403" i="1"/>
  <c r="J749" i="1" s="1"/>
  <c r="J57" i="1"/>
  <c r="J401" i="1"/>
  <c r="J747" i="1" s="1"/>
  <c r="J55" i="1"/>
  <c r="J379" i="1"/>
  <c r="J725" i="1" s="1"/>
  <c r="J33" i="1"/>
  <c r="J400" i="1"/>
  <c r="J746" i="1" s="1"/>
  <c r="J54" i="1"/>
  <c r="J10" i="1"/>
  <c r="J356" i="1"/>
  <c r="J702" i="1" s="1"/>
  <c r="J40" i="1"/>
  <c r="J386" i="1"/>
  <c r="J732" i="1" s="1"/>
  <c r="J355" i="1"/>
  <c r="J701" i="1" s="1"/>
  <c r="J9" i="1"/>
  <c r="J377" i="1"/>
  <c r="J723" i="1" s="1"/>
  <c r="J31" i="1"/>
  <c r="J24" i="1"/>
  <c r="J370" i="1"/>
  <c r="J716" i="1" s="1"/>
  <c r="J46" i="1"/>
  <c r="J392" i="1"/>
  <c r="J738" i="1" s="1"/>
  <c r="J37" i="1"/>
  <c r="J383" i="1"/>
  <c r="J729" i="1" s="1"/>
  <c r="J52" i="1"/>
  <c r="J398" i="1"/>
  <c r="J744" i="1" s="1"/>
  <c r="J16" i="1"/>
  <c r="J362" i="1"/>
  <c r="J708" i="1" s="1"/>
  <c r="J390" i="1"/>
  <c r="J736" i="1" s="1"/>
  <c r="J44" i="1"/>
  <c r="J12" i="1"/>
  <c r="J358" i="1"/>
  <c r="J704" i="1" s="1"/>
  <c r="J58" i="1"/>
  <c r="J404" i="1"/>
  <c r="J750" i="1" s="1"/>
  <c r="J375" i="1"/>
  <c r="J721" i="1" s="1"/>
  <c r="J29" i="1"/>
  <c r="J23" i="1"/>
  <c r="J369" i="1"/>
  <c r="J715" i="1" s="1"/>
  <c r="J376" i="1"/>
  <c r="J722" i="1" s="1"/>
  <c r="J30" i="1"/>
  <c r="J36" i="1"/>
  <c r="J382" i="1"/>
  <c r="J728" i="1" s="1"/>
  <c r="J27" i="1"/>
  <c r="J373" i="1"/>
  <c r="J719" i="1" s="1"/>
  <c r="J14" i="1"/>
  <c r="J360" i="1"/>
  <c r="J706" i="1" s="1"/>
  <c r="J364" i="1"/>
  <c r="J710" i="1" s="1"/>
  <c r="J18" i="1"/>
  <c r="J35" i="1"/>
  <c r="J381" i="1"/>
  <c r="J727" i="1" s="1"/>
  <c r="J402" i="1"/>
  <c r="J748" i="1" s="1"/>
  <c r="J56" i="1"/>
  <c r="J387" i="1"/>
  <c r="J733" i="1" s="1"/>
  <c r="J41" i="1"/>
  <c r="J38" i="1"/>
  <c r="J384" i="1"/>
  <c r="J730" i="1" s="1"/>
  <c r="J367" i="1"/>
  <c r="J713" i="1" s="1"/>
  <c r="J21" i="1"/>
  <c r="J388" i="1"/>
  <c r="J734" i="1" s="1"/>
  <c r="J42" i="1"/>
  <c r="J354" i="1"/>
  <c r="J700" i="1" s="1"/>
  <c r="J8" i="1"/>
  <c r="J353" i="1"/>
  <c r="J699" i="1" s="1"/>
  <c r="J7" i="1"/>
  <c r="J50" i="1"/>
  <c r="J396" i="1"/>
  <c r="J742" i="1" s="1"/>
  <c r="J59" i="1"/>
  <c r="J405" i="1"/>
  <c r="J751" i="1" s="1"/>
  <c r="J51" i="1"/>
  <c r="J397" i="1"/>
  <c r="J743" i="1" s="1"/>
  <c r="J34" i="1"/>
  <c r="J380" i="1"/>
  <c r="J726" i="1" s="1"/>
  <c r="J48" i="1"/>
  <c r="J394" i="1"/>
  <c r="J740" i="1" s="1"/>
  <c r="J15" i="1"/>
  <c r="J361" i="1"/>
  <c r="J707" i="1" s="1"/>
  <c r="J22" i="1"/>
  <c r="J368" i="1"/>
  <c r="J714" i="1" s="1"/>
  <c r="J389" i="1"/>
  <c r="J735" i="1" s="1"/>
  <c r="J43" i="1"/>
  <c r="J25" i="1"/>
  <c r="J371" i="1"/>
  <c r="J717" i="1" s="1"/>
  <c r="J49" i="1"/>
  <c r="J395" i="1"/>
  <c r="J741" i="1" s="1"/>
  <c r="J4" i="1"/>
  <c r="AB4" i="1" s="1"/>
  <c r="J352" i="1"/>
  <c r="J698" i="1" s="1"/>
  <c r="J350" i="1"/>
  <c r="J6" i="1"/>
  <c r="J399" i="1"/>
  <c r="J745" i="1" s="1"/>
  <c r="J53" i="1"/>
  <c r="J365" i="1"/>
  <c r="J711" i="1" s="1"/>
  <c r="J19" i="1"/>
  <c r="AB5" i="1" l="1"/>
  <c r="AB39" i="1"/>
  <c r="AB17" i="1"/>
  <c r="AB28" i="1"/>
  <c r="AB11" i="1"/>
  <c r="J696" i="1"/>
  <c r="AB350" i="1"/>
  <c r="AB385" i="1"/>
  <c r="AB351" i="1"/>
  <c r="AB374" i="1"/>
  <c r="AB357" i="1"/>
  <c r="AB363" i="1"/>
  <c r="I692" i="1" a="1"/>
  <c r="I692" i="1" s="1"/>
  <c r="I1038" i="1" s="1" a="1"/>
  <c r="I1038" i="1" s="1"/>
  <c r="I691" i="1"/>
  <c r="I1037" i="1" s="1"/>
  <c r="I690" i="1"/>
  <c r="I689" i="1"/>
  <c r="I688" i="1"/>
  <c r="I687" i="1"/>
  <c r="I686" i="1" a="1"/>
  <c r="I686" i="1" s="1"/>
  <c r="I685" i="1"/>
  <c r="I1031" i="1" s="1"/>
  <c r="I684" i="1"/>
  <c r="I1030" i="1" s="1"/>
  <c r="I683" i="1"/>
  <c r="I1029" i="1" s="1"/>
  <c r="I682" i="1"/>
  <c r="I1028" i="1" s="1"/>
  <c r="I681" i="1"/>
  <c r="I1027" i="1" s="1"/>
  <c r="I680" i="1"/>
  <c r="I1026" i="1" s="1"/>
  <c r="I679" i="1"/>
  <c r="I1025" i="1" s="1"/>
  <c r="I678" i="1"/>
  <c r="I1024" i="1" s="1"/>
  <c r="I677" i="1"/>
  <c r="I1023" i="1" s="1"/>
  <c r="I676" i="1"/>
  <c r="I1022" i="1" s="1"/>
  <c r="I675" i="1"/>
  <c r="I1021" i="1" s="1"/>
  <c r="I674" i="1"/>
  <c r="I1020" i="1" s="1"/>
  <c r="I673" i="1"/>
  <c r="I1019" i="1" s="1"/>
  <c r="I672" i="1"/>
  <c r="I1018" i="1" s="1"/>
  <c r="I671" i="1"/>
  <c r="I1017" i="1" s="1"/>
  <c r="I670" i="1"/>
  <c r="I1016" i="1" s="1"/>
  <c r="I669" i="1"/>
  <c r="I1015" i="1" s="1"/>
  <c r="I668" i="1"/>
  <c r="I1014" i="1" s="1"/>
  <c r="I667" i="1"/>
  <c r="I1013" i="1" s="1"/>
  <c r="I666" i="1"/>
  <c r="I1012" i="1" s="1"/>
  <c r="I665" i="1"/>
  <c r="I664" i="1"/>
  <c r="I1010" i="1" s="1"/>
  <c r="I663" i="1"/>
  <c r="I1009" i="1" s="1"/>
  <c r="I662" i="1"/>
  <c r="I1008" i="1" s="1"/>
  <c r="I661" i="1"/>
  <c r="I1007" i="1" s="1"/>
  <c r="I660" i="1"/>
  <c r="I1006" i="1" s="1"/>
  <c r="I659" i="1"/>
  <c r="I1005" i="1" s="1"/>
  <c r="I658" i="1"/>
  <c r="I1004" i="1" s="1"/>
  <c r="I657" i="1"/>
  <c r="I1003" i="1" s="1"/>
  <c r="I656" i="1"/>
  <c r="I1002" i="1" s="1"/>
  <c r="I655" i="1"/>
  <c r="I1001" i="1" s="1"/>
  <c r="I654" i="1"/>
  <c r="I653" i="1"/>
  <c r="I999" i="1" s="1"/>
  <c r="I652" i="1"/>
  <c r="I998" i="1" s="1"/>
  <c r="I651" i="1"/>
  <c r="I997" i="1" s="1"/>
  <c r="I650" i="1"/>
  <c r="I996" i="1" s="1"/>
  <c r="I649" i="1"/>
  <c r="I995" i="1" s="1"/>
  <c r="I648" i="1"/>
  <c r="I994" i="1" s="1"/>
  <c r="I647" i="1"/>
  <c r="I993" i="1" s="1"/>
  <c r="I646" i="1"/>
  <c r="I992" i="1" s="1"/>
  <c r="I645" i="1"/>
  <c r="I991" i="1" s="1"/>
  <c r="I644" i="1"/>
  <c r="I990" i="1" s="1"/>
  <c r="I643" i="1"/>
  <c r="I642" i="1"/>
  <c r="I988" i="1" s="1"/>
  <c r="I641" i="1"/>
  <c r="I987" i="1" s="1"/>
  <c r="I640" i="1"/>
  <c r="I986" i="1" s="1"/>
  <c r="I639" i="1"/>
  <c r="I985" i="1" s="1"/>
  <c r="I638" i="1"/>
  <c r="I984" i="1" s="1"/>
  <c r="I637" i="1"/>
  <c r="I636" i="1"/>
  <c r="I982" i="1" s="1"/>
  <c r="I635" i="1"/>
  <c r="I981" i="1" s="1"/>
  <c r="I634" i="1"/>
  <c r="I980" i="1" s="1"/>
  <c r="I633" i="1"/>
  <c r="I979" i="1" s="1"/>
  <c r="I632" i="1"/>
  <c r="I978" i="1" s="1"/>
  <c r="I631" i="1"/>
  <c r="I630" i="1"/>
  <c r="I629" i="1"/>
  <c r="I975" i="1" s="1"/>
  <c r="I628" i="1"/>
  <c r="I974" i="1" s="1"/>
  <c r="I627" i="1"/>
  <c r="I973" i="1" s="1"/>
  <c r="I626" i="1"/>
  <c r="I972" i="1" s="1"/>
  <c r="I625" i="1"/>
  <c r="I971" i="1" s="1"/>
  <c r="I624" i="1"/>
  <c r="I970" i="1" s="1"/>
  <c r="I623" i="1"/>
  <c r="I969" i="1" s="1"/>
  <c r="I622" i="1"/>
  <c r="I968" i="1" s="1"/>
  <c r="I621" i="1"/>
  <c r="I967" i="1" s="1"/>
  <c r="I620" i="1"/>
  <c r="I966" i="1" s="1"/>
  <c r="I619" i="1"/>
  <c r="I965" i="1" s="1"/>
  <c r="I618" i="1"/>
  <c r="I964" i="1" s="1"/>
  <c r="I617" i="1"/>
  <c r="I963" i="1" s="1"/>
  <c r="I616" i="1"/>
  <c r="I962" i="1" s="1"/>
  <c r="I615" i="1"/>
  <c r="I961" i="1" s="1"/>
  <c r="I614" i="1"/>
  <c r="I960" i="1" s="1"/>
  <c r="I613" i="1"/>
  <c r="I959" i="1" s="1"/>
  <c r="I612" i="1"/>
  <c r="I958" i="1" s="1"/>
  <c r="I611" i="1"/>
  <c r="I957" i="1" s="1"/>
  <c r="I610" i="1"/>
  <c r="I956" i="1" s="1"/>
  <c r="I609" i="1"/>
  <c r="I608" i="1"/>
  <c r="I954" i="1" s="1"/>
  <c r="I607" i="1"/>
  <c r="I953" i="1" s="1"/>
  <c r="I606" i="1"/>
  <c r="I952" i="1" s="1"/>
  <c r="I605" i="1"/>
  <c r="I951" i="1" s="1"/>
  <c r="I604" i="1"/>
  <c r="I950" i="1" s="1"/>
  <c r="I603" i="1"/>
  <c r="I949" i="1" s="1"/>
  <c r="I602" i="1"/>
  <c r="I948" i="1" s="1"/>
  <c r="I601" i="1"/>
  <c r="I947" i="1" s="1"/>
  <c r="I600" i="1"/>
  <c r="I946" i="1" s="1"/>
  <c r="I599" i="1"/>
  <c r="I945" i="1" s="1"/>
  <c r="I598" i="1"/>
  <c r="I597" i="1"/>
  <c r="I943" i="1" s="1"/>
  <c r="I596" i="1"/>
  <c r="I942" i="1" s="1"/>
  <c r="I595" i="1"/>
  <c r="I941" i="1" s="1"/>
  <c r="I594" i="1"/>
  <c r="I940" i="1" s="1"/>
  <c r="I593" i="1"/>
  <c r="I939" i="1" s="1"/>
  <c r="I592" i="1"/>
  <c r="I938" i="1" s="1"/>
  <c r="I591" i="1"/>
  <c r="I937" i="1" s="1"/>
  <c r="I590" i="1"/>
  <c r="I936" i="1" s="1"/>
  <c r="I589" i="1"/>
  <c r="I935" i="1" s="1"/>
  <c r="I588" i="1"/>
  <c r="I934" i="1" s="1"/>
  <c r="I587" i="1"/>
  <c r="I586" i="1"/>
  <c r="I932" i="1" s="1"/>
  <c r="I585" i="1"/>
  <c r="I931" i="1" s="1"/>
  <c r="I584" i="1"/>
  <c r="I930" i="1" s="1"/>
  <c r="I583" i="1"/>
  <c r="I929" i="1" s="1"/>
  <c r="I582" i="1"/>
  <c r="I928" i="1" s="1"/>
  <c r="I581" i="1"/>
  <c r="I580" i="1"/>
  <c r="I926" i="1" s="1"/>
  <c r="I579" i="1"/>
  <c r="I925" i="1" s="1"/>
  <c r="I578" i="1"/>
  <c r="I924" i="1" s="1"/>
  <c r="I577" i="1"/>
  <c r="I923" i="1" s="1"/>
  <c r="I576" i="1"/>
  <c r="I922" i="1" s="1"/>
  <c r="I575" i="1"/>
  <c r="I574" i="1"/>
  <c r="I573" i="1"/>
  <c r="I919" i="1" s="1"/>
  <c r="I572" i="1"/>
  <c r="I918" i="1" s="1"/>
  <c r="I571" i="1"/>
  <c r="I917" i="1" s="1"/>
  <c r="I570" i="1"/>
  <c r="I916" i="1" s="1"/>
  <c r="I569" i="1"/>
  <c r="I915" i="1" s="1"/>
  <c r="I568" i="1"/>
  <c r="I914" i="1" s="1"/>
  <c r="I567" i="1"/>
  <c r="I913" i="1" s="1"/>
  <c r="I566" i="1"/>
  <c r="I912" i="1" s="1"/>
  <c r="I565" i="1"/>
  <c r="I911" i="1" s="1"/>
  <c r="I564" i="1"/>
  <c r="I910" i="1" s="1"/>
  <c r="I563" i="1"/>
  <c r="I909" i="1" s="1"/>
  <c r="I562" i="1"/>
  <c r="I908" i="1" s="1"/>
  <c r="I561" i="1"/>
  <c r="I907" i="1" s="1"/>
  <c r="I560" i="1"/>
  <c r="I906" i="1" s="1"/>
  <c r="I559" i="1"/>
  <c r="I905" i="1" s="1"/>
  <c r="I558" i="1"/>
  <c r="I904" i="1" s="1"/>
  <c r="I557" i="1"/>
  <c r="I903" i="1" s="1"/>
  <c r="I556" i="1"/>
  <c r="I902" i="1" s="1"/>
  <c r="I555" i="1"/>
  <c r="I901" i="1" s="1"/>
  <c r="I554" i="1"/>
  <c r="I900" i="1" s="1"/>
  <c r="I553" i="1"/>
  <c r="I552" i="1"/>
  <c r="I898" i="1" s="1"/>
  <c r="I551" i="1"/>
  <c r="I897" i="1" s="1"/>
  <c r="I550" i="1"/>
  <c r="I896" i="1" s="1"/>
  <c r="I549" i="1"/>
  <c r="I895" i="1" s="1"/>
  <c r="I548" i="1"/>
  <c r="I894" i="1" s="1"/>
  <c r="I547" i="1"/>
  <c r="I893" i="1" s="1"/>
  <c r="I546" i="1"/>
  <c r="I892" i="1" s="1"/>
  <c r="I545" i="1"/>
  <c r="I891" i="1" s="1"/>
  <c r="I544" i="1"/>
  <c r="I890" i="1" s="1"/>
  <c r="I543" i="1"/>
  <c r="I889" i="1" s="1"/>
  <c r="I542" i="1"/>
  <c r="I541" i="1"/>
  <c r="I887" i="1" s="1"/>
  <c r="I540" i="1"/>
  <c r="I886" i="1" s="1"/>
  <c r="I539" i="1"/>
  <c r="I885" i="1" s="1"/>
  <c r="I538" i="1"/>
  <c r="I884" i="1" s="1"/>
  <c r="I537" i="1"/>
  <c r="I883" i="1" s="1"/>
  <c r="I536" i="1"/>
  <c r="I882" i="1" s="1"/>
  <c r="I535" i="1"/>
  <c r="I881" i="1" s="1"/>
  <c r="I534" i="1"/>
  <c r="I880" i="1" s="1"/>
  <c r="I533" i="1"/>
  <c r="I879" i="1" s="1"/>
  <c r="I532" i="1"/>
  <c r="I878" i="1" s="1"/>
  <c r="I531" i="1"/>
  <c r="I530" i="1"/>
  <c r="I876" i="1" s="1"/>
  <c r="I529" i="1"/>
  <c r="I875" i="1" s="1"/>
  <c r="I528" i="1"/>
  <c r="I874" i="1" s="1"/>
  <c r="I527" i="1"/>
  <c r="I873" i="1" s="1"/>
  <c r="I526" i="1"/>
  <c r="I872" i="1" s="1"/>
  <c r="I525" i="1"/>
  <c r="I524" i="1"/>
  <c r="I870" i="1" s="1"/>
  <c r="I523" i="1"/>
  <c r="I869" i="1" s="1"/>
  <c r="I522" i="1"/>
  <c r="I868" i="1" s="1"/>
  <c r="I521" i="1"/>
  <c r="I867" i="1" s="1"/>
  <c r="I520" i="1"/>
  <c r="I866" i="1" s="1"/>
  <c r="I519" i="1"/>
  <c r="I518" i="1"/>
  <c r="I517" i="1"/>
  <c r="I863" i="1" s="1"/>
  <c r="I516" i="1"/>
  <c r="I862" i="1" s="1"/>
  <c r="I515" i="1"/>
  <c r="I861" i="1" s="1"/>
  <c r="I514" i="1"/>
  <c r="I860" i="1" s="1"/>
  <c r="I513" i="1"/>
  <c r="I859" i="1" s="1"/>
  <c r="I512" i="1"/>
  <c r="I858" i="1" s="1"/>
  <c r="I511" i="1"/>
  <c r="I857" i="1" s="1"/>
  <c r="I510" i="1"/>
  <c r="I856" i="1" s="1"/>
  <c r="I509" i="1"/>
  <c r="I855" i="1" s="1"/>
  <c r="I508" i="1"/>
  <c r="I854" i="1" s="1"/>
  <c r="I507" i="1"/>
  <c r="I853" i="1" s="1"/>
  <c r="I506" i="1"/>
  <c r="I852" i="1" s="1"/>
  <c r="I505" i="1"/>
  <c r="I851" i="1" s="1"/>
  <c r="I504" i="1"/>
  <c r="I850" i="1" s="1"/>
  <c r="I503" i="1"/>
  <c r="I849" i="1" s="1"/>
  <c r="I502" i="1"/>
  <c r="I848" i="1" s="1"/>
  <c r="I501" i="1"/>
  <c r="I847" i="1" s="1"/>
  <c r="I500" i="1"/>
  <c r="I846" i="1" s="1"/>
  <c r="I499" i="1"/>
  <c r="I845" i="1" s="1"/>
  <c r="I498" i="1"/>
  <c r="I844" i="1" s="1"/>
  <c r="I497" i="1"/>
  <c r="I496" i="1"/>
  <c r="I842" i="1" s="1"/>
  <c r="I495" i="1"/>
  <c r="I841" i="1" s="1"/>
  <c r="I494" i="1"/>
  <c r="I840" i="1" s="1"/>
  <c r="I493" i="1"/>
  <c r="I839" i="1" s="1"/>
  <c r="I492" i="1"/>
  <c r="I838" i="1" s="1"/>
  <c r="I491" i="1"/>
  <c r="I837" i="1" s="1"/>
  <c r="I490" i="1"/>
  <c r="I836" i="1" s="1"/>
  <c r="I489" i="1"/>
  <c r="I835" i="1" s="1"/>
  <c r="I488" i="1"/>
  <c r="I834" i="1" s="1"/>
  <c r="I487" i="1"/>
  <c r="I833" i="1" s="1"/>
  <c r="I486" i="1"/>
  <c r="I485" i="1"/>
  <c r="I831" i="1" s="1"/>
  <c r="I484" i="1"/>
  <c r="I830" i="1" s="1"/>
  <c r="I483" i="1"/>
  <c r="I829" i="1" s="1"/>
  <c r="I482" i="1"/>
  <c r="I828" i="1" s="1"/>
  <c r="I481" i="1"/>
  <c r="I827" i="1" s="1"/>
  <c r="I480" i="1"/>
  <c r="I826" i="1" s="1"/>
  <c r="I479" i="1"/>
  <c r="I825" i="1" s="1"/>
  <c r="I478" i="1"/>
  <c r="I824" i="1" s="1"/>
  <c r="I477" i="1"/>
  <c r="I823" i="1" s="1"/>
  <c r="I476" i="1"/>
  <c r="I822" i="1" s="1"/>
  <c r="I475" i="1"/>
  <c r="I474" i="1"/>
  <c r="I820" i="1" s="1"/>
  <c r="I473" i="1"/>
  <c r="I819" i="1" s="1"/>
  <c r="I472" i="1"/>
  <c r="I818" i="1" s="1"/>
  <c r="I471" i="1"/>
  <c r="I817" i="1" s="1"/>
  <c r="I470" i="1"/>
  <c r="I816" i="1" s="1"/>
  <c r="I469" i="1"/>
  <c r="I468" i="1"/>
  <c r="I814" i="1" s="1"/>
  <c r="I467" i="1"/>
  <c r="I813" i="1" s="1"/>
  <c r="I466" i="1"/>
  <c r="I812" i="1" s="1"/>
  <c r="I465" i="1"/>
  <c r="I811" i="1" s="1"/>
  <c r="I464" i="1"/>
  <c r="I810" i="1" s="1"/>
  <c r="I463" i="1"/>
  <c r="I462" i="1"/>
  <c r="I461" i="1"/>
  <c r="I807" i="1" s="1"/>
  <c r="I460" i="1"/>
  <c r="I806" i="1" s="1"/>
  <c r="I459" i="1"/>
  <c r="I805" i="1" s="1"/>
  <c r="I458" i="1"/>
  <c r="I804" i="1" s="1"/>
  <c r="I457" i="1"/>
  <c r="I803" i="1" s="1"/>
  <c r="I456" i="1"/>
  <c r="I802" i="1" s="1"/>
  <c r="I455" i="1"/>
  <c r="I801" i="1" s="1"/>
  <c r="I454" i="1"/>
  <c r="I800" i="1" s="1"/>
  <c r="I453" i="1"/>
  <c r="I799" i="1" s="1"/>
  <c r="I452" i="1"/>
  <c r="I798" i="1" s="1"/>
  <c r="I451" i="1"/>
  <c r="I797" i="1" s="1"/>
  <c r="I450" i="1"/>
  <c r="I796" i="1" s="1"/>
  <c r="I449" i="1"/>
  <c r="I795" i="1" s="1"/>
  <c r="I448" i="1"/>
  <c r="I794" i="1" s="1"/>
  <c r="I447" i="1"/>
  <c r="I793" i="1" s="1"/>
  <c r="I446" i="1"/>
  <c r="I792" i="1" s="1"/>
  <c r="I445" i="1"/>
  <c r="I791" i="1" s="1"/>
  <c r="I444" i="1"/>
  <c r="I790" i="1" s="1"/>
  <c r="I443" i="1"/>
  <c r="I789" i="1" s="1"/>
  <c r="I442" i="1"/>
  <c r="I788" i="1" s="1"/>
  <c r="I441" i="1"/>
  <c r="I440" i="1"/>
  <c r="I786" i="1" s="1"/>
  <c r="I439" i="1"/>
  <c r="I785" i="1" s="1"/>
  <c r="I438" i="1"/>
  <c r="I784" i="1" s="1"/>
  <c r="I437" i="1"/>
  <c r="I783" i="1" s="1"/>
  <c r="I436" i="1"/>
  <c r="I782" i="1" s="1"/>
  <c r="I435" i="1"/>
  <c r="I781" i="1" s="1"/>
  <c r="I434" i="1"/>
  <c r="I780" i="1" s="1"/>
  <c r="I433" i="1"/>
  <c r="I779" i="1" s="1"/>
  <c r="I432" i="1"/>
  <c r="I778" i="1" s="1"/>
  <c r="I431" i="1"/>
  <c r="I777" i="1" s="1"/>
  <c r="I430" i="1"/>
  <c r="I429" i="1"/>
  <c r="I775" i="1" s="1"/>
  <c r="I428" i="1"/>
  <c r="I774" i="1" s="1"/>
  <c r="I427" i="1"/>
  <c r="I773" i="1" s="1"/>
  <c r="I426" i="1"/>
  <c r="I772" i="1" s="1"/>
  <c r="I425" i="1"/>
  <c r="I771" i="1" s="1"/>
  <c r="I424" i="1"/>
  <c r="I770" i="1" s="1"/>
  <c r="I423" i="1"/>
  <c r="I769" i="1" s="1"/>
  <c r="I422" i="1"/>
  <c r="I768" i="1" s="1"/>
  <c r="I421" i="1"/>
  <c r="I767" i="1" s="1"/>
  <c r="I420" i="1"/>
  <c r="I766" i="1" s="1"/>
  <c r="I419" i="1"/>
  <c r="I418" i="1"/>
  <c r="I764" i="1" s="1"/>
  <c r="I417" i="1"/>
  <c r="I763" i="1" s="1"/>
  <c r="I416" i="1"/>
  <c r="I762" i="1" s="1"/>
  <c r="I415" i="1"/>
  <c r="I761" i="1" s="1"/>
  <c r="I414" i="1"/>
  <c r="I760" i="1" s="1"/>
  <c r="I413" i="1"/>
  <c r="I412" i="1"/>
  <c r="I758" i="1" s="1"/>
  <c r="I411" i="1"/>
  <c r="I757" i="1" s="1"/>
  <c r="I410" i="1"/>
  <c r="I756" i="1" s="1"/>
  <c r="I409" i="1"/>
  <c r="I755" i="1" s="1"/>
  <c r="I408" i="1"/>
  <c r="I754" i="1" s="1"/>
  <c r="I407" i="1"/>
  <c r="I406" i="1"/>
  <c r="I385" i="1"/>
  <c r="I374" i="1"/>
  <c r="I363" i="1"/>
  <c r="I357" i="1"/>
  <c r="I351" i="1"/>
  <c r="I346" i="1" a="1"/>
  <c r="I346" i="1" s="1"/>
  <c r="I345" i="1" a="1"/>
  <c r="I345" i="1" s="1"/>
  <c r="I344" i="1" a="1"/>
  <c r="I344" i="1" s="1"/>
  <c r="I343" i="1" a="1"/>
  <c r="I343" i="1" s="1"/>
  <c r="I342" i="1" a="1"/>
  <c r="I342" i="1" s="1"/>
  <c r="I341" i="1" a="1"/>
  <c r="I341" i="1" s="1"/>
  <c r="I340" i="1" a="1"/>
  <c r="I340" i="1" s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 a="1"/>
  <c r="I319" i="1" s="1"/>
  <c r="I318" i="1"/>
  <c r="I317" i="1"/>
  <c r="I316" i="1"/>
  <c r="I315" i="1"/>
  <c r="I314" i="1"/>
  <c r="I313" i="1"/>
  <c r="I312" i="1"/>
  <c r="I311" i="1"/>
  <c r="I310" i="1"/>
  <c r="I309" i="1"/>
  <c r="I308" i="1" a="1"/>
  <c r="I308" i="1" s="1"/>
  <c r="I307" i="1"/>
  <c r="I306" i="1"/>
  <c r="I305" i="1"/>
  <c r="I304" i="1"/>
  <c r="I303" i="1"/>
  <c r="I302" i="1"/>
  <c r="I301" i="1"/>
  <c r="I300" i="1"/>
  <c r="I299" i="1"/>
  <c r="I298" i="1"/>
  <c r="I297" i="1" a="1"/>
  <c r="I297" i="1" s="1"/>
  <c r="I296" i="1"/>
  <c r="I295" i="1"/>
  <c r="I294" i="1"/>
  <c r="I293" i="1"/>
  <c r="I292" i="1"/>
  <c r="I291" i="1" a="1"/>
  <c r="I291" i="1" s="1"/>
  <c r="I290" i="1"/>
  <c r="I289" i="1"/>
  <c r="I288" i="1"/>
  <c r="I287" i="1"/>
  <c r="I286" i="1"/>
  <c r="I285" i="1" a="1"/>
  <c r="I285" i="1" s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 a="1"/>
  <c r="I263" i="1" s="1"/>
  <c r="I262" i="1"/>
  <c r="I261" i="1"/>
  <c r="I260" i="1"/>
  <c r="I259" i="1"/>
  <c r="I258" i="1"/>
  <c r="I257" i="1"/>
  <c r="I256" i="1"/>
  <c r="I255" i="1"/>
  <c r="I254" i="1"/>
  <c r="I253" i="1"/>
  <c r="I252" i="1" a="1"/>
  <c r="I252" i="1" s="1"/>
  <c r="I251" i="1"/>
  <c r="I250" i="1"/>
  <c r="I249" i="1"/>
  <c r="I248" i="1"/>
  <c r="I247" i="1"/>
  <c r="I246" i="1"/>
  <c r="I245" i="1"/>
  <c r="I244" i="1"/>
  <c r="I243" i="1"/>
  <c r="I242" i="1"/>
  <c r="I241" i="1" a="1"/>
  <c r="I241" i="1" s="1"/>
  <c r="I240" i="1"/>
  <c r="I239" i="1"/>
  <c r="I238" i="1"/>
  <c r="I237" i="1"/>
  <c r="I236" i="1"/>
  <c r="I235" i="1" a="1"/>
  <c r="I235" i="1" s="1"/>
  <c r="I234" i="1"/>
  <c r="I233" i="1"/>
  <c r="I232" i="1"/>
  <c r="I231" i="1"/>
  <c r="I230" i="1"/>
  <c r="I229" i="1" a="1"/>
  <c r="I229" i="1" s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 a="1"/>
  <c r="I207" i="1" s="1"/>
  <c r="I206" i="1"/>
  <c r="I205" i="1"/>
  <c r="I204" i="1"/>
  <c r="I203" i="1"/>
  <c r="I202" i="1"/>
  <c r="I201" i="1"/>
  <c r="I200" i="1"/>
  <c r="I199" i="1"/>
  <c r="I198" i="1"/>
  <c r="I197" i="1"/>
  <c r="I196" i="1" a="1"/>
  <c r="I196" i="1" s="1"/>
  <c r="I195" i="1"/>
  <c r="I194" i="1"/>
  <c r="I193" i="1"/>
  <c r="I192" i="1"/>
  <c r="I191" i="1"/>
  <c r="I190" i="1"/>
  <c r="I189" i="1"/>
  <c r="I188" i="1"/>
  <c r="I187" i="1"/>
  <c r="I186" i="1"/>
  <c r="I185" i="1" a="1"/>
  <c r="I185" i="1" s="1"/>
  <c r="I184" i="1"/>
  <c r="I183" i="1"/>
  <c r="I182" i="1"/>
  <c r="I181" i="1"/>
  <c r="I180" i="1"/>
  <c r="I179" i="1" a="1"/>
  <c r="I179" i="1" s="1"/>
  <c r="I178" i="1"/>
  <c r="I177" i="1"/>
  <c r="I176" i="1"/>
  <c r="I175" i="1"/>
  <c r="I174" i="1"/>
  <c r="I173" i="1" a="1"/>
  <c r="I173" i="1" s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 a="1"/>
  <c r="I151" i="1" s="1"/>
  <c r="I150" i="1"/>
  <c r="I149" i="1"/>
  <c r="I148" i="1"/>
  <c r="I147" i="1"/>
  <c r="I146" i="1"/>
  <c r="I145" i="1"/>
  <c r="I144" i="1"/>
  <c r="I143" i="1"/>
  <c r="I142" i="1"/>
  <c r="I141" i="1"/>
  <c r="I140" i="1" a="1"/>
  <c r="I140" i="1" s="1"/>
  <c r="I139" i="1"/>
  <c r="I138" i="1"/>
  <c r="I137" i="1"/>
  <c r="I136" i="1"/>
  <c r="I135" i="1"/>
  <c r="I134" i="1"/>
  <c r="I133" i="1"/>
  <c r="I132" i="1"/>
  <c r="I131" i="1"/>
  <c r="I130" i="1"/>
  <c r="I129" i="1" a="1"/>
  <c r="I129" i="1" s="1"/>
  <c r="I128" i="1"/>
  <c r="I127" i="1"/>
  <c r="I126" i="1"/>
  <c r="I125" i="1"/>
  <c r="I124" i="1"/>
  <c r="I123" i="1" a="1"/>
  <c r="I123" i="1" s="1"/>
  <c r="I122" i="1"/>
  <c r="I121" i="1"/>
  <c r="I120" i="1"/>
  <c r="I119" i="1"/>
  <c r="I118" i="1"/>
  <c r="I117" i="1" a="1"/>
  <c r="I117" i="1" s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 a="1"/>
  <c r="I95" i="1" s="1"/>
  <c r="I94" i="1"/>
  <c r="I93" i="1"/>
  <c r="I92" i="1"/>
  <c r="I91" i="1"/>
  <c r="I90" i="1"/>
  <c r="I89" i="1"/>
  <c r="I88" i="1"/>
  <c r="I87" i="1"/>
  <c r="I86" i="1"/>
  <c r="I85" i="1"/>
  <c r="I84" i="1" a="1"/>
  <c r="I84" i="1" s="1"/>
  <c r="I83" i="1"/>
  <c r="I82" i="1"/>
  <c r="I81" i="1"/>
  <c r="I80" i="1"/>
  <c r="I79" i="1"/>
  <c r="I78" i="1"/>
  <c r="I77" i="1"/>
  <c r="I76" i="1"/>
  <c r="I75" i="1"/>
  <c r="I74" i="1"/>
  <c r="I73" i="1" a="1"/>
  <c r="I73" i="1" s="1"/>
  <c r="I72" i="1"/>
  <c r="I71" i="1"/>
  <c r="I70" i="1"/>
  <c r="I69" i="1"/>
  <c r="I68" i="1"/>
  <c r="I67" i="1" a="1"/>
  <c r="I67" i="1" s="1"/>
  <c r="I66" i="1"/>
  <c r="I65" i="1"/>
  <c r="I64" i="1"/>
  <c r="I63" i="1"/>
  <c r="I62" i="1"/>
  <c r="I61" i="1" a="1"/>
  <c r="I61" i="1" s="1"/>
  <c r="I60" i="1"/>
  <c r="I39" i="1" a="1"/>
  <c r="I39" i="1" s="1"/>
  <c r="I28" i="1" a="1"/>
  <c r="I28" i="1" s="1"/>
  <c r="I17" i="1" a="1"/>
  <c r="I17" i="1" s="1"/>
  <c r="I11" i="1" a="1"/>
  <c r="I11" i="1" s="1"/>
  <c r="I5" i="1" a="1"/>
  <c r="I5" i="1" s="1"/>
  <c r="I1034" i="1" l="1"/>
  <c r="AA688" i="1"/>
  <c r="AA179" i="1"/>
  <c r="I1036" i="1"/>
  <c r="AA690" i="1"/>
  <c r="I1033" i="1"/>
  <c r="AA687" i="1"/>
  <c r="I1035" i="1"/>
  <c r="AA689" i="1"/>
  <c r="AB691" i="1"/>
  <c r="AB692" i="1"/>
  <c r="AA252" i="1"/>
  <c r="AA241" i="1"/>
  <c r="AA123" i="1"/>
  <c r="AA129" i="1"/>
  <c r="AA263" i="1"/>
  <c r="I815" i="1"/>
  <c r="AA469" i="1"/>
  <c r="I899" i="1"/>
  <c r="AA553" i="1"/>
  <c r="AA297" i="1"/>
  <c r="AA95" i="1"/>
  <c r="AA84" i="1"/>
  <c r="AA73" i="1"/>
  <c r="I927" i="1"/>
  <c r="AA581" i="1"/>
  <c r="I808" i="1"/>
  <c r="AA462" i="1"/>
  <c r="I976" i="1"/>
  <c r="AA630" i="1"/>
  <c r="I1000" i="1"/>
  <c r="AA654" i="1"/>
  <c r="AA196" i="1"/>
  <c r="I809" i="1"/>
  <c r="AA463" i="1"/>
  <c r="I977" i="1"/>
  <c r="AA631" i="1"/>
  <c r="I989" i="1"/>
  <c r="AA643" i="1"/>
  <c r="AA185" i="1"/>
  <c r="I720" i="1"/>
  <c r="I983" i="1"/>
  <c r="AA637" i="1"/>
  <c r="I864" i="1"/>
  <c r="AA518" i="1"/>
  <c r="I888" i="1"/>
  <c r="AA542" i="1"/>
  <c r="I865" i="1"/>
  <c r="AA519" i="1"/>
  <c r="I759" i="1"/>
  <c r="AA413" i="1"/>
  <c r="I1011" i="1"/>
  <c r="AA665" i="1"/>
  <c r="I703" i="1"/>
  <c r="I709" i="1"/>
  <c r="I821" i="1"/>
  <c r="AA475" i="1"/>
  <c r="AA291" i="1"/>
  <c r="I731" i="1"/>
  <c r="I787" i="1"/>
  <c r="AA441" i="1"/>
  <c r="I871" i="1"/>
  <c r="AA525" i="1"/>
  <c r="I955" i="1"/>
  <c r="AA609" i="1"/>
  <c r="AA319" i="1"/>
  <c r="AA308" i="1"/>
  <c r="I877" i="1"/>
  <c r="AA531" i="1"/>
  <c r="I697" i="1"/>
  <c r="I843" i="1"/>
  <c r="AA497" i="1"/>
  <c r="AA207" i="1"/>
  <c r="I832" i="1"/>
  <c r="AA486" i="1"/>
  <c r="AA151" i="1"/>
  <c r="I752" i="1"/>
  <c r="AA406" i="1"/>
  <c r="I920" i="1"/>
  <c r="AA574" i="1"/>
  <c r="I944" i="1"/>
  <c r="AA598" i="1"/>
  <c r="AA67" i="1"/>
  <c r="AA235" i="1"/>
  <c r="I776" i="1"/>
  <c r="AA430" i="1"/>
  <c r="AA140" i="1"/>
  <c r="I753" i="1"/>
  <c r="AA407" i="1"/>
  <c r="I765" i="1"/>
  <c r="AA419" i="1"/>
  <c r="I921" i="1"/>
  <c r="AA575" i="1"/>
  <c r="I933" i="1"/>
  <c r="AA587" i="1"/>
  <c r="AA340" i="1"/>
  <c r="AA117" i="1"/>
  <c r="AA116" i="1"/>
  <c r="AA172" i="1"/>
  <c r="AA173" i="1"/>
  <c r="I1032" i="1" a="1"/>
  <c r="I1032" i="1" s="1"/>
  <c r="AA686" i="1"/>
  <c r="AA285" i="1"/>
  <c r="AA284" i="1"/>
  <c r="AA61" i="1"/>
  <c r="AA60" i="1"/>
  <c r="AA229" i="1"/>
  <c r="AA228" i="1"/>
  <c r="I379" i="1"/>
  <c r="I725" i="1" s="1"/>
  <c r="I33" i="1"/>
  <c r="I42" i="1"/>
  <c r="I388" i="1"/>
  <c r="I734" i="1" s="1"/>
  <c r="I359" i="1"/>
  <c r="I705" i="1" s="1"/>
  <c r="I13" i="1"/>
  <c r="I362" i="1"/>
  <c r="I708" i="1" s="1"/>
  <c r="I16" i="1"/>
  <c r="I367" i="1"/>
  <c r="I713" i="1" s="1"/>
  <c r="I21" i="1"/>
  <c r="I53" i="1"/>
  <c r="I399" i="1"/>
  <c r="I745" i="1" s="1"/>
  <c r="I54" i="1"/>
  <c r="I400" i="1"/>
  <c r="I746" i="1" s="1"/>
  <c r="I368" i="1"/>
  <c r="I714" i="1" s="1"/>
  <c r="I22" i="1"/>
  <c r="I371" i="1"/>
  <c r="I717" i="1" s="1"/>
  <c r="I25" i="1"/>
  <c r="I355" i="1"/>
  <c r="I701" i="1" s="1"/>
  <c r="I9" i="1"/>
  <c r="I401" i="1"/>
  <c r="I747" i="1" s="1"/>
  <c r="I55" i="1"/>
  <c r="I41" i="1"/>
  <c r="I387" i="1"/>
  <c r="I733" i="1" s="1"/>
  <c r="I378" i="1"/>
  <c r="I724" i="1" s="1"/>
  <c r="I32" i="1"/>
  <c r="I353" i="1"/>
  <c r="I699" i="1" s="1"/>
  <c r="I7" i="1"/>
  <c r="I354" i="1"/>
  <c r="I700" i="1" s="1"/>
  <c r="I8" i="1"/>
  <c r="I57" i="1"/>
  <c r="I403" i="1"/>
  <c r="I749" i="1" s="1"/>
  <c r="I358" i="1"/>
  <c r="I704" i="1" s="1"/>
  <c r="I12" i="1"/>
  <c r="I14" i="1"/>
  <c r="I360" i="1"/>
  <c r="I706" i="1" s="1"/>
  <c r="I27" i="1"/>
  <c r="I373" i="1"/>
  <c r="I719" i="1" s="1"/>
  <c r="I52" i="1"/>
  <c r="I398" i="1"/>
  <c r="I744" i="1" s="1"/>
  <c r="I36" i="1"/>
  <c r="I382" i="1"/>
  <c r="I728" i="1" s="1"/>
  <c r="I6" i="1"/>
  <c r="I352" i="1"/>
  <c r="I698" i="1" s="1"/>
  <c r="I350" i="1"/>
  <c r="I4" i="1"/>
  <c r="AA4" i="1" s="1"/>
  <c r="I390" i="1"/>
  <c r="I736" i="1" s="1"/>
  <c r="I44" i="1"/>
  <c r="I18" i="1"/>
  <c r="I364" i="1"/>
  <c r="I710" i="1" s="1"/>
  <c r="I402" i="1"/>
  <c r="I748" i="1" s="1"/>
  <c r="I56" i="1"/>
  <c r="I391" i="1"/>
  <c r="I737" i="1" s="1"/>
  <c r="I45" i="1"/>
  <c r="I381" i="1"/>
  <c r="I727" i="1" s="1"/>
  <c r="I35" i="1"/>
  <c r="I38" i="1"/>
  <c r="I384" i="1"/>
  <c r="I730" i="1" s="1"/>
  <c r="I40" i="1"/>
  <c r="I386" i="1"/>
  <c r="I732" i="1" s="1"/>
  <c r="I366" i="1"/>
  <c r="I712" i="1" s="1"/>
  <c r="I20" i="1"/>
  <c r="I394" i="1"/>
  <c r="I740" i="1" s="1"/>
  <c r="I48" i="1"/>
  <c r="I389" i="1"/>
  <c r="I735" i="1" s="1"/>
  <c r="I43" i="1"/>
  <c r="I404" i="1"/>
  <c r="I750" i="1" s="1"/>
  <c r="I58" i="1"/>
  <c r="I30" i="1"/>
  <c r="I376" i="1"/>
  <c r="I722" i="1" s="1"/>
  <c r="I356" i="1"/>
  <c r="I702" i="1" s="1"/>
  <c r="I10" i="1"/>
  <c r="I380" i="1"/>
  <c r="I726" i="1" s="1"/>
  <c r="I34" i="1"/>
  <c r="I370" i="1"/>
  <c r="I716" i="1" s="1"/>
  <c r="I24" i="1"/>
  <c r="I393" i="1"/>
  <c r="I739" i="1" s="1"/>
  <c r="I47" i="1"/>
  <c r="I395" i="1"/>
  <c r="I741" i="1" s="1"/>
  <c r="I49" i="1"/>
  <c r="I383" i="1"/>
  <c r="I729" i="1" s="1"/>
  <c r="I37" i="1"/>
  <c r="I405" i="1"/>
  <c r="I751" i="1" s="1"/>
  <c r="I59" i="1"/>
  <c r="I392" i="1"/>
  <c r="I738" i="1" s="1"/>
  <c r="I46" i="1"/>
  <c r="I377" i="1"/>
  <c r="I723" i="1" s="1"/>
  <c r="I31" i="1"/>
  <c r="I50" i="1"/>
  <c r="I396" i="1"/>
  <c r="I742" i="1" s="1"/>
  <c r="I26" i="1"/>
  <c r="I372" i="1"/>
  <c r="I718" i="1" s="1"/>
  <c r="I15" i="1"/>
  <c r="I361" i="1"/>
  <c r="I707" i="1" s="1"/>
  <c r="I29" i="1"/>
  <c r="I375" i="1"/>
  <c r="I721" i="1" s="1"/>
  <c r="I23" i="1"/>
  <c r="I369" i="1"/>
  <c r="I715" i="1" s="1"/>
  <c r="I51" i="1"/>
  <c r="I397" i="1"/>
  <c r="I743" i="1" s="1"/>
  <c r="I365" i="1"/>
  <c r="I711" i="1" s="1"/>
  <c r="I19" i="1"/>
  <c r="AA11" i="1" l="1"/>
  <c r="AA5" i="1"/>
  <c r="AA17" i="1"/>
  <c r="AA28" i="1"/>
  <c r="AA39" i="1"/>
  <c r="AA357" i="1"/>
  <c r="AA374" i="1"/>
  <c r="AA351" i="1"/>
  <c r="AA385" i="1"/>
  <c r="AA363" i="1"/>
  <c r="I696" i="1"/>
  <c r="AA350" i="1"/>
  <c r="H692" i="1" a="1"/>
  <c r="H692" i="1" s="1"/>
  <c r="H1038" i="1" s="1" a="1"/>
  <c r="H1038" i="1" s="1"/>
  <c r="H691" i="1"/>
  <c r="H1037" i="1" s="1"/>
  <c r="H690" i="1"/>
  <c r="H689" i="1"/>
  <c r="H688" i="1"/>
  <c r="H687" i="1"/>
  <c r="H686" i="1" a="1"/>
  <c r="H686" i="1" s="1"/>
  <c r="H1032" i="1" s="1" a="1"/>
  <c r="H1032" i="1" s="1"/>
  <c r="H685" i="1"/>
  <c r="H1031" i="1" s="1"/>
  <c r="H684" i="1"/>
  <c r="H1030" i="1" s="1"/>
  <c r="H683" i="1"/>
  <c r="H1029" i="1" s="1"/>
  <c r="H682" i="1"/>
  <c r="H1028" i="1" s="1"/>
  <c r="H681" i="1"/>
  <c r="H1027" i="1" s="1"/>
  <c r="H680" i="1"/>
  <c r="H1026" i="1" s="1"/>
  <c r="H679" i="1"/>
  <c r="H1025" i="1" s="1"/>
  <c r="H678" i="1"/>
  <c r="H1024" i="1" s="1"/>
  <c r="H677" i="1"/>
  <c r="H1023" i="1" s="1"/>
  <c r="H676" i="1"/>
  <c r="H1022" i="1" s="1"/>
  <c r="H675" i="1"/>
  <c r="H1021" i="1" s="1"/>
  <c r="H674" i="1"/>
  <c r="H1020" i="1" s="1"/>
  <c r="H673" i="1"/>
  <c r="H1019" i="1" s="1"/>
  <c r="H672" i="1"/>
  <c r="H1018" i="1" s="1"/>
  <c r="H671" i="1"/>
  <c r="H1017" i="1" s="1"/>
  <c r="H670" i="1"/>
  <c r="H1016" i="1" s="1"/>
  <c r="H669" i="1"/>
  <c r="H668" i="1"/>
  <c r="H1014" i="1" s="1"/>
  <c r="H667" i="1"/>
  <c r="H1013" i="1" s="1"/>
  <c r="H666" i="1"/>
  <c r="H1012" i="1" s="1"/>
  <c r="H665" i="1"/>
  <c r="H1011" i="1" s="1"/>
  <c r="H664" i="1"/>
  <c r="H1010" i="1" s="1"/>
  <c r="H663" i="1"/>
  <c r="H1009" i="1" s="1"/>
  <c r="H662" i="1"/>
  <c r="H1008" i="1" s="1"/>
  <c r="H661" i="1"/>
  <c r="H1007" i="1" s="1"/>
  <c r="H660" i="1"/>
  <c r="H1006" i="1" s="1"/>
  <c r="H659" i="1"/>
  <c r="H1005" i="1" s="1"/>
  <c r="H658" i="1"/>
  <c r="H1004" i="1" s="1"/>
  <c r="H657" i="1"/>
  <c r="H1003" i="1" s="1"/>
  <c r="H656" i="1"/>
  <c r="H1002" i="1" s="1"/>
  <c r="H655" i="1"/>
  <c r="H1001" i="1" s="1"/>
  <c r="H654" i="1"/>
  <c r="H1000" i="1" s="1"/>
  <c r="H653" i="1"/>
  <c r="H999" i="1" s="1"/>
  <c r="H652" i="1"/>
  <c r="H998" i="1" s="1"/>
  <c r="H651" i="1"/>
  <c r="H997" i="1" s="1"/>
  <c r="H650" i="1"/>
  <c r="H996" i="1" s="1"/>
  <c r="H649" i="1"/>
  <c r="H995" i="1" s="1"/>
  <c r="H648" i="1"/>
  <c r="H994" i="1" s="1"/>
  <c r="H647" i="1"/>
  <c r="H993" i="1" s="1"/>
  <c r="H646" i="1"/>
  <c r="H992" i="1" s="1"/>
  <c r="H645" i="1"/>
  <c r="H644" i="1"/>
  <c r="H990" i="1" s="1"/>
  <c r="H643" i="1"/>
  <c r="H989" i="1" s="1"/>
  <c r="H642" i="1"/>
  <c r="H988" i="1" s="1"/>
  <c r="H641" i="1"/>
  <c r="H987" i="1" s="1"/>
  <c r="H640" i="1"/>
  <c r="H986" i="1" s="1"/>
  <c r="H639" i="1"/>
  <c r="H985" i="1" s="1"/>
  <c r="H638" i="1"/>
  <c r="H984" i="1" s="1"/>
  <c r="H637" i="1"/>
  <c r="H983" i="1" s="1"/>
  <c r="H636" i="1"/>
  <c r="H982" i="1" s="1"/>
  <c r="H635" i="1"/>
  <c r="H981" i="1" s="1"/>
  <c r="H634" i="1"/>
  <c r="H980" i="1" s="1"/>
  <c r="H633" i="1"/>
  <c r="H979" i="1" s="1"/>
  <c r="H632" i="1"/>
  <c r="H978" i="1" s="1"/>
  <c r="H631" i="1"/>
  <c r="H977" i="1" s="1"/>
  <c r="H630" i="1"/>
  <c r="H629" i="1"/>
  <c r="H975" i="1" s="1"/>
  <c r="H628" i="1"/>
  <c r="H974" i="1" s="1"/>
  <c r="H627" i="1"/>
  <c r="H973" i="1" s="1"/>
  <c r="H626" i="1"/>
  <c r="H972" i="1" s="1"/>
  <c r="H625" i="1"/>
  <c r="H971" i="1" s="1"/>
  <c r="H624" i="1"/>
  <c r="H970" i="1" s="1"/>
  <c r="H623" i="1"/>
  <c r="H969" i="1" s="1"/>
  <c r="H622" i="1"/>
  <c r="H968" i="1" s="1"/>
  <c r="H621" i="1"/>
  <c r="H967" i="1" s="1"/>
  <c r="H620" i="1"/>
  <c r="H966" i="1" s="1"/>
  <c r="H619" i="1"/>
  <c r="H965" i="1" s="1"/>
  <c r="H618" i="1"/>
  <c r="H964" i="1" s="1"/>
  <c r="H617" i="1"/>
  <c r="H963" i="1" s="1"/>
  <c r="H616" i="1"/>
  <c r="H962" i="1" s="1"/>
  <c r="H615" i="1"/>
  <c r="H961" i="1" s="1"/>
  <c r="H614" i="1"/>
  <c r="H960" i="1" s="1"/>
  <c r="H613" i="1"/>
  <c r="H959" i="1" s="1"/>
  <c r="H612" i="1"/>
  <c r="H958" i="1" s="1"/>
  <c r="H611" i="1"/>
  <c r="H957" i="1" s="1"/>
  <c r="H610" i="1"/>
  <c r="H956" i="1" s="1"/>
  <c r="H609" i="1"/>
  <c r="H608" i="1"/>
  <c r="H954" i="1" s="1"/>
  <c r="H607" i="1"/>
  <c r="H953" i="1" s="1"/>
  <c r="H606" i="1"/>
  <c r="H952" i="1" s="1"/>
  <c r="H605" i="1"/>
  <c r="H951" i="1" s="1"/>
  <c r="H604" i="1"/>
  <c r="H950" i="1" s="1"/>
  <c r="H603" i="1"/>
  <c r="H949" i="1" s="1"/>
  <c r="H602" i="1"/>
  <c r="H948" i="1" s="1"/>
  <c r="H601" i="1"/>
  <c r="H947" i="1" s="1"/>
  <c r="H600" i="1"/>
  <c r="H946" i="1" s="1"/>
  <c r="H599" i="1"/>
  <c r="H945" i="1" s="1"/>
  <c r="H598" i="1"/>
  <c r="H944" i="1" s="1"/>
  <c r="H597" i="1"/>
  <c r="H943" i="1" s="1"/>
  <c r="H596" i="1"/>
  <c r="H942" i="1" s="1"/>
  <c r="H595" i="1"/>
  <c r="H941" i="1" s="1"/>
  <c r="H594" i="1"/>
  <c r="H940" i="1" s="1"/>
  <c r="H593" i="1"/>
  <c r="H939" i="1" s="1"/>
  <c r="H592" i="1"/>
  <c r="H938" i="1" s="1"/>
  <c r="H591" i="1"/>
  <c r="H937" i="1" s="1"/>
  <c r="H590" i="1"/>
  <c r="H936" i="1" s="1"/>
  <c r="H589" i="1"/>
  <c r="H935" i="1" s="1"/>
  <c r="H588" i="1"/>
  <c r="H934" i="1" s="1"/>
  <c r="H587" i="1"/>
  <c r="H933" i="1" s="1"/>
  <c r="H586" i="1"/>
  <c r="H932" i="1" s="1"/>
  <c r="H585" i="1"/>
  <c r="H584" i="1"/>
  <c r="H930" i="1" s="1"/>
  <c r="H583" i="1"/>
  <c r="H929" i="1" s="1"/>
  <c r="H582" i="1"/>
  <c r="H928" i="1" s="1"/>
  <c r="H581" i="1"/>
  <c r="H927" i="1" s="1"/>
  <c r="H580" i="1"/>
  <c r="H926" i="1" s="1"/>
  <c r="H579" i="1"/>
  <c r="H925" i="1" s="1"/>
  <c r="H578" i="1"/>
  <c r="H924" i="1" s="1"/>
  <c r="H577" i="1"/>
  <c r="H923" i="1" s="1"/>
  <c r="H576" i="1"/>
  <c r="H922" i="1" s="1"/>
  <c r="H575" i="1"/>
  <c r="H921" i="1" s="1"/>
  <c r="H574" i="1"/>
  <c r="H920" i="1" s="1"/>
  <c r="H573" i="1"/>
  <c r="H919" i="1" s="1"/>
  <c r="H572" i="1"/>
  <c r="H918" i="1" s="1"/>
  <c r="H571" i="1"/>
  <c r="H917" i="1" s="1"/>
  <c r="H570" i="1"/>
  <c r="H916" i="1" s="1"/>
  <c r="H569" i="1"/>
  <c r="H915" i="1" s="1"/>
  <c r="H568" i="1"/>
  <c r="H914" i="1" s="1"/>
  <c r="H567" i="1"/>
  <c r="H913" i="1" s="1"/>
  <c r="H566" i="1"/>
  <c r="H912" i="1" s="1"/>
  <c r="H565" i="1"/>
  <c r="H911" i="1" s="1"/>
  <c r="H564" i="1"/>
  <c r="H910" i="1" s="1"/>
  <c r="H563" i="1"/>
  <c r="H909" i="1" s="1"/>
  <c r="H562" i="1"/>
  <c r="H908" i="1" s="1"/>
  <c r="H561" i="1"/>
  <c r="H907" i="1" s="1"/>
  <c r="H560" i="1"/>
  <c r="H906" i="1" s="1"/>
  <c r="H559" i="1"/>
  <c r="H905" i="1" s="1"/>
  <c r="H558" i="1"/>
  <c r="H904" i="1" s="1"/>
  <c r="H557" i="1"/>
  <c r="H903" i="1" s="1"/>
  <c r="H556" i="1"/>
  <c r="H902" i="1" s="1"/>
  <c r="H555" i="1"/>
  <c r="H901" i="1" s="1"/>
  <c r="H554" i="1"/>
  <c r="H553" i="1"/>
  <c r="H899" i="1" s="1"/>
  <c r="H552" i="1"/>
  <c r="H898" i="1" s="1"/>
  <c r="H551" i="1"/>
  <c r="H897" i="1" s="1"/>
  <c r="H550" i="1"/>
  <c r="H896" i="1" s="1"/>
  <c r="H549" i="1"/>
  <c r="H895" i="1" s="1"/>
  <c r="H548" i="1"/>
  <c r="H894" i="1" s="1"/>
  <c r="H547" i="1"/>
  <c r="H893" i="1" s="1"/>
  <c r="H546" i="1"/>
  <c r="H892" i="1" s="1"/>
  <c r="H545" i="1"/>
  <c r="H891" i="1" s="1"/>
  <c r="H544" i="1"/>
  <c r="H890" i="1" s="1"/>
  <c r="H543" i="1"/>
  <c r="H889" i="1" s="1"/>
  <c r="H542" i="1"/>
  <c r="H888" i="1" s="1"/>
  <c r="H541" i="1"/>
  <c r="H887" i="1" s="1"/>
  <c r="H540" i="1"/>
  <c r="H886" i="1" s="1"/>
  <c r="H539" i="1"/>
  <c r="H885" i="1" s="1"/>
  <c r="H538" i="1"/>
  <c r="H884" i="1" s="1"/>
  <c r="H537" i="1"/>
  <c r="H883" i="1" s="1"/>
  <c r="H536" i="1"/>
  <c r="H882" i="1" s="1"/>
  <c r="H535" i="1"/>
  <c r="H881" i="1" s="1"/>
  <c r="H534" i="1"/>
  <c r="H880" i="1" s="1"/>
  <c r="H533" i="1"/>
  <c r="H879" i="1" s="1"/>
  <c r="H532" i="1"/>
  <c r="H878" i="1" s="1"/>
  <c r="H531" i="1"/>
  <c r="H877" i="1" s="1"/>
  <c r="H530" i="1"/>
  <c r="H876" i="1" s="1"/>
  <c r="H529" i="1"/>
  <c r="H875" i="1" s="1"/>
  <c r="H528" i="1"/>
  <c r="H874" i="1" s="1"/>
  <c r="H527" i="1"/>
  <c r="H873" i="1" s="1"/>
  <c r="H526" i="1"/>
  <c r="H872" i="1" s="1"/>
  <c r="H525" i="1"/>
  <c r="H524" i="1"/>
  <c r="H870" i="1" s="1"/>
  <c r="H523" i="1"/>
  <c r="H869" i="1" s="1"/>
  <c r="H522" i="1"/>
  <c r="H868" i="1" s="1"/>
  <c r="H521" i="1"/>
  <c r="H867" i="1" s="1"/>
  <c r="H520" i="1"/>
  <c r="H866" i="1" s="1"/>
  <c r="H519" i="1"/>
  <c r="H865" i="1" s="1"/>
  <c r="H518" i="1"/>
  <c r="H864" i="1" s="1"/>
  <c r="H517" i="1"/>
  <c r="H863" i="1" s="1"/>
  <c r="H516" i="1"/>
  <c r="H862" i="1" s="1"/>
  <c r="H515" i="1"/>
  <c r="H861" i="1" s="1"/>
  <c r="H514" i="1"/>
  <c r="H860" i="1" s="1"/>
  <c r="H513" i="1"/>
  <c r="H859" i="1" s="1"/>
  <c r="H512" i="1"/>
  <c r="H858" i="1" s="1"/>
  <c r="H511" i="1"/>
  <c r="H857" i="1" s="1"/>
  <c r="H510" i="1"/>
  <c r="H856" i="1" s="1"/>
  <c r="H509" i="1"/>
  <c r="H855" i="1" s="1"/>
  <c r="H508" i="1"/>
  <c r="H854" i="1" s="1"/>
  <c r="H507" i="1"/>
  <c r="H853" i="1" s="1"/>
  <c r="H506" i="1"/>
  <c r="H852" i="1" s="1"/>
  <c r="H505" i="1"/>
  <c r="H851" i="1" s="1"/>
  <c r="H504" i="1"/>
  <c r="H850" i="1" s="1"/>
  <c r="H503" i="1"/>
  <c r="H849" i="1" s="1"/>
  <c r="H502" i="1"/>
  <c r="H848" i="1" s="1"/>
  <c r="H501" i="1"/>
  <c r="H847" i="1" s="1"/>
  <c r="H500" i="1"/>
  <c r="H846" i="1" s="1"/>
  <c r="H499" i="1"/>
  <c r="H845" i="1" s="1"/>
  <c r="H498" i="1"/>
  <c r="H844" i="1" s="1"/>
  <c r="H497" i="1"/>
  <c r="H843" i="1" s="1"/>
  <c r="H496" i="1"/>
  <c r="H842" i="1" s="1"/>
  <c r="H495" i="1"/>
  <c r="H841" i="1" s="1"/>
  <c r="H494" i="1"/>
  <c r="H840" i="1" s="1"/>
  <c r="H493" i="1"/>
  <c r="H839" i="1" s="1"/>
  <c r="H492" i="1"/>
  <c r="H838" i="1" s="1"/>
  <c r="H491" i="1"/>
  <c r="H837" i="1" s="1"/>
  <c r="H490" i="1"/>
  <c r="H836" i="1" s="1"/>
  <c r="H489" i="1"/>
  <c r="H835" i="1" s="1"/>
  <c r="H488" i="1"/>
  <c r="H834" i="1" s="1"/>
  <c r="H487" i="1"/>
  <c r="H833" i="1" s="1"/>
  <c r="H486" i="1"/>
  <c r="H832" i="1" s="1"/>
  <c r="H485" i="1"/>
  <c r="H831" i="1" s="1"/>
  <c r="H484" i="1"/>
  <c r="H830" i="1" s="1"/>
  <c r="H483" i="1"/>
  <c r="H829" i="1" s="1"/>
  <c r="H482" i="1"/>
  <c r="H828" i="1" s="1"/>
  <c r="H481" i="1"/>
  <c r="H827" i="1" s="1"/>
  <c r="H480" i="1"/>
  <c r="H826" i="1" s="1"/>
  <c r="H479" i="1"/>
  <c r="H825" i="1" s="1"/>
  <c r="H478" i="1"/>
  <c r="H824" i="1" s="1"/>
  <c r="H477" i="1"/>
  <c r="H823" i="1" s="1"/>
  <c r="H476" i="1"/>
  <c r="H822" i="1" s="1"/>
  <c r="H475" i="1"/>
  <c r="H821" i="1" s="1"/>
  <c r="H474" i="1"/>
  <c r="H820" i="1" s="1"/>
  <c r="H473" i="1"/>
  <c r="H819" i="1" s="1"/>
  <c r="H472" i="1"/>
  <c r="H818" i="1" s="1"/>
  <c r="H471" i="1"/>
  <c r="H817" i="1" s="1"/>
  <c r="H470" i="1"/>
  <c r="H469" i="1"/>
  <c r="H815" i="1" s="1"/>
  <c r="H468" i="1"/>
  <c r="H814" i="1" s="1"/>
  <c r="H467" i="1"/>
  <c r="H813" i="1" s="1"/>
  <c r="H466" i="1"/>
  <c r="H812" i="1" s="1"/>
  <c r="H465" i="1"/>
  <c r="H811" i="1" s="1"/>
  <c r="H464" i="1"/>
  <c r="H810" i="1" s="1"/>
  <c r="H463" i="1"/>
  <c r="H809" i="1" s="1"/>
  <c r="H462" i="1"/>
  <c r="H808" i="1" s="1"/>
  <c r="H461" i="1"/>
  <c r="H807" i="1" s="1"/>
  <c r="H460" i="1"/>
  <c r="H806" i="1" s="1"/>
  <c r="H459" i="1"/>
  <c r="H805" i="1" s="1"/>
  <c r="H458" i="1"/>
  <c r="H804" i="1" s="1"/>
  <c r="H457" i="1"/>
  <c r="H803" i="1" s="1"/>
  <c r="H456" i="1"/>
  <c r="H802" i="1" s="1"/>
  <c r="H455" i="1"/>
  <c r="H801" i="1" s="1"/>
  <c r="H454" i="1"/>
  <c r="H800" i="1" s="1"/>
  <c r="H453" i="1"/>
  <c r="H799" i="1" s="1"/>
  <c r="H452" i="1"/>
  <c r="H798" i="1" s="1"/>
  <c r="H451" i="1"/>
  <c r="H797" i="1" s="1"/>
  <c r="H450" i="1"/>
  <c r="H796" i="1" s="1"/>
  <c r="H449" i="1"/>
  <c r="H795" i="1" s="1"/>
  <c r="H448" i="1"/>
  <c r="H794" i="1" s="1"/>
  <c r="H447" i="1"/>
  <c r="H793" i="1" s="1"/>
  <c r="H446" i="1"/>
  <c r="H792" i="1" s="1"/>
  <c r="H445" i="1"/>
  <c r="H791" i="1" s="1"/>
  <c r="H444" i="1"/>
  <c r="H790" i="1" s="1"/>
  <c r="H443" i="1"/>
  <c r="H789" i="1" s="1"/>
  <c r="H442" i="1"/>
  <c r="H788" i="1" s="1"/>
  <c r="H441" i="1"/>
  <c r="H440" i="1"/>
  <c r="H786" i="1" s="1"/>
  <c r="H439" i="1"/>
  <c r="H785" i="1" s="1"/>
  <c r="H438" i="1"/>
  <c r="H784" i="1" s="1"/>
  <c r="H437" i="1"/>
  <c r="H783" i="1" s="1"/>
  <c r="H436" i="1"/>
  <c r="H782" i="1" s="1"/>
  <c r="H435" i="1"/>
  <c r="H781" i="1" s="1"/>
  <c r="H434" i="1"/>
  <c r="H780" i="1" s="1"/>
  <c r="H433" i="1"/>
  <c r="H779" i="1" s="1"/>
  <c r="H432" i="1"/>
  <c r="H778" i="1" s="1"/>
  <c r="H431" i="1"/>
  <c r="H777" i="1" s="1"/>
  <c r="H430" i="1"/>
  <c r="H776" i="1" s="1"/>
  <c r="H429" i="1"/>
  <c r="H775" i="1" s="1"/>
  <c r="H428" i="1"/>
  <c r="H774" i="1" s="1"/>
  <c r="H427" i="1"/>
  <c r="H773" i="1" s="1"/>
  <c r="H426" i="1"/>
  <c r="H772" i="1" s="1"/>
  <c r="H425" i="1"/>
  <c r="H771" i="1" s="1"/>
  <c r="H424" i="1"/>
  <c r="H770" i="1" s="1"/>
  <c r="H423" i="1"/>
  <c r="H769" i="1" s="1"/>
  <c r="H422" i="1"/>
  <c r="H768" i="1" s="1"/>
  <c r="H421" i="1"/>
  <c r="H767" i="1" s="1"/>
  <c r="H420" i="1"/>
  <c r="H766" i="1" s="1"/>
  <c r="H419" i="1"/>
  <c r="H765" i="1" s="1"/>
  <c r="H418" i="1"/>
  <c r="H764" i="1" s="1"/>
  <c r="H417" i="1"/>
  <c r="H763" i="1" s="1"/>
  <c r="H416" i="1"/>
  <c r="H762" i="1" s="1"/>
  <c r="H415" i="1"/>
  <c r="H761" i="1" s="1"/>
  <c r="H414" i="1"/>
  <c r="H760" i="1" s="1"/>
  <c r="H413" i="1"/>
  <c r="H759" i="1" s="1"/>
  <c r="H412" i="1"/>
  <c r="H758" i="1" s="1"/>
  <c r="H411" i="1"/>
  <c r="H757" i="1" s="1"/>
  <c r="H410" i="1"/>
  <c r="H756" i="1" s="1"/>
  <c r="H409" i="1"/>
  <c r="H755" i="1" s="1"/>
  <c r="H408" i="1"/>
  <c r="H754" i="1" s="1"/>
  <c r="H407" i="1"/>
  <c r="H406" i="1"/>
  <c r="H405" i="1"/>
  <c r="H751" i="1" s="1"/>
  <c r="H404" i="1"/>
  <c r="H750" i="1" s="1"/>
  <c r="H403" i="1"/>
  <c r="H749" i="1" s="1"/>
  <c r="H402" i="1"/>
  <c r="H748" i="1" s="1"/>
  <c r="H401" i="1"/>
  <c r="H747" i="1" s="1"/>
  <c r="H400" i="1"/>
  <c r="H746" i="1" s="1"/>
  <c r="H399" i="1"/>
  <c r="H745" i="1" s="1"/>
  <c r="H398" i="1"/>
  <c r="H744" i="1" s="1"/>
  <c r="H397" i="1"/>
  <c r="H743" i="1" s="1"/>
  <c r="H396" i="1"/>
  <c r="H742" i="1" s="1"/>
  <c r="H395" i="1"/>
  <c r="H741" i="1" s="1"/>
  <c r="H394" i="1"/>
  <c r="H740" i="1" s="1"/>
  <c r="H393" i="1"/>
  <c r="H739" i="1" s="1"/>
  <c r="H392" i="1"/>
  <c r="H738" i="1" s="1"/>
  <c r="H391" i="1"/>
  <c r="H737" i="1" s="1"/>
  <c r="H390" i="1"/>
  <c r="H736" i="1" s="1"/>
  <c r="H389" i="1"/>
  <c r="H735" i="1" s="1"/>
  <c r="H388" i="1"/>
  <c r="H734" i="1" s="1"/>
  <c r="H387" i="1"/>
  <c r="H733" i="1" s="1"/>
  <c r="H386" i="1"/>
  <c r="H732" i="1" s="1"/>
  <c r="H385" i="1"/>
  <c r="H384" i="1"/>
  <c r="H730" i="1" s="1"/>
  <c r="H383" i="1"/>
  <c r="H729" i="1" s="1"/>
  <c r="H382" i="1"/>
  <c r="H728" i="1" s="1"/>
  <c r="H381" i="1"/>
  <c r="H380" i="1"/>
  <c r="H726" i="1" s="1"/>
  <c r="H379" i="1"/>
  <c r="H725" i="1" s="1"/>
  <c r="H378" i="1"/>
  <c r="H724" i="1" s="1"/>
  <c r="H377" i="1"/>
  <c r="H723" i="1" s="1"/>
  <c r="H376" i="1"/>
  <c r="H722" i="1" s="1"/>
  <c r="H375" i="1"/>
  <c r="H721" i="1" s="1"/>
  <c r="H374" i="1"/>
  <c r="H720" i="1" s="1"/>
  <c r="H373" i="1"/>
  <c r="H719" i="1" s="1"/>
  <c r="H372" i="1"/>
  <c r="H718" i="1" s="1"/>
  <c r="H371" i="1"/>
  <c r="H717" i="1" s="1"/>
  <c r="H370" i="1"/>
  <c r="H716" i="1" s="1"/>
  <c r="H369" i="1"/>
  <c r="H715" i="1" s="1"/>
  <c r="H368" i="1"/>
  <c r="H714" i="1" s="1"/>
  <c r="H367" i="1"/>
  <c r="H713" i="1" s="1"/>
  <c r="H366" i="1"/>
  <c r="H712" i="1" s="1"/>
  <c r="H365" i="1"/>
  <c r="H711" i="1" s="1"/>
  <c r="H364" i="1"/>
  <c r="H710" i="1" s="1"/>
  <c r="H363" i="1"/>
  <c r="H709" i="1" s="1"/>
  <c r="H362" i="1"/>
  <c r="H708" i="1" s="1"/>
  <c r="H361" i="1"/>
  <c r="H707" i="1" s="1"/>
  <c r="H360" i="1"/>
  <c r="H706" i="1" s="1"/>
  <c r="H359" i="1"/>
  <c r="H705" i="1" s="1"/>
  <c r="H358" i="1"/>
  <c r="H704" i="1" s="1"/>
  <c r="H357" i="1"/>
  <c r="H703" i="1" s="1"/>
  <c r="H356" i="1"/>
  <c r="H702" i="1" s="1"/>
  <c r="H355" i="1"/>
  <c r="H701" i="1" s="1"/>
  <c r="H354" i="1"/>
  <c r="H700" i="1" s="1"/>
  <c r="H353" i="1"/>
  <c r="H699" i="1" s="1"/>
  <c r="H352" i="1"/>
  <c r="H698" i="1" s="1"/>
  <c r="H351" i="1"/>
  <c r="H350" i="1"/>
  <c r="H696" i="1" s="1"/>
  <c r="H346" i="1" a="1"/>
  <c r="H346" i="1" s="1"/>
  <c r="H345" i="1" a="1"/>
  <c r="H345" i="1" s="1"/>
  <c r="H344" i="1" a="1"/>
  <c r="H344" i="1" s="1"/>
  <c r="H343" i="1" a="1"/>
  <c r="H343" i="1" s="1"/>
  <c r="H342" i="1" a="1"/>
  <c r="H342" i="1" s="1"/>
  <c r="H341" i="1" a="1"/>
  <c r="H341" i="1" s="1"/>
  <c r="H340" i="1" a="1"/>
  <c r="H340" i="1" s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 a="1"/>
  <c r="H319" i="1" s="1"/>
  <c r="H318" i="1"/>
  <c r="H317" i="1"/>
  <c r="H316" i="1"/>
  <c r="H315" i="1"/>
  <c r="H314" i="1"/>
  <c r="H313" i="1"/>
  <c r="H312" i="1"/>
  <c r="H311" i="1"/>
  <c r="H310" i="1"/>
  <c r="H309" i="1"/>
  <c r="H308" i="1" a="1"/>
  <c r="H308" i="1" s="1"/>
  <c r="H307" i="1"/>
  <c r="H306" i="1"/>
  <c r="H305" i="1"/>
  <c r="H304" i="1"/>
  <c r="H303" i="1"/>
  <c r="H302" i="1"/>
  <c r="H301" i="1"/>
  <c r="H300" i="1"/>
  <c r="H299" i="1"/>
  <c r="H298" i="1"/>
  <c r="H297" i="1" a="1"/>
  <c r="H297" i="1" s="1"/>
  <c r="H296" i="1"/>
  <c r="H295" i="1"/>
  <c r="H294" i="1"/>
  <c r="H293" i="1"/>
  <c r="H292" i="1"/>
  <c r="H291" i="1" a="1"/>
  <c r="H291" i="1" s="1"/>
  <c r="H290" i="1"/>
  <c r="H289" i="1"/>
  <c r="H288" i="1"/>
  <c r="H287" i="1"/>
  <c r="H286" i="1"/>
  <c r="H285" i="1" a="1"/>
  <c r="H285" i="1" s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 a="1"/>
  <c r="H263" i="1" s="1"/>
  <c r="H262" i="1"/>
  <c r="H261" i="1"/>
  <c r="H260" i="1"/>
  <c r="H259" i="1"/>
  <c r="H258" i="1"/>
  <c r="H257" i="1"/>
  <c r="H256" i="1"/>
  <c r="H255" i="1"/>
  <c r="H254" i="1"/>
  <c r="H253" i="1"/>
  <c r="H252" i="1" a="1"/>
  <c r="H252" i="1" s="1"/>
  <c r="H251" i="1"/>
  <c r="H250" i="1"/>
  <c r="H249" i="1"/>
  <c r="H248" i="1"/>
  <c r="H247" i="1"/>
  <c r="H246" i="1"/>
  <c r="H245" i="1"/>
  <c r="H244" i="1"/>
  <c r="H243" i="1"/>
  <c r="H242" i="1"/>
  <c r="H241" i="1" a="1"/>
  <c r="H241" i="1" s="1"/>
  <c r="H240" i="1"/>
  <c r="H239" i="1"/>
  <c r="H238" i="1"/>
  <c r="H237" i="1"/>
  <c r="H236" i="1"/>
  <c r="H235" i="1" a="1"/>
  <c r="H235" i="1" s="1"/>
  <c r="H234" i="1"/>
  <c r="H233" i="1"/>
  <c r="H232" i="1"/>
  <c r="H231" i="1"/>
  <c r="H230" i="1"/>
  <c r="H229" i="1" a="1"/>
  <c r="H229" i="1" s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 a="1"/>
  <c r="H207" i="1" s="1"/>
  <c r="H206" i="1"/>
  <c r="H205" i="1"/>
  <c r="H204" i="1"/>
  <c r="H203" i="1"/>
  <c r="H202" i="1"/>
  <c r="H201" i="1"/>
  <c r="H200" i="1"/>
  <c r="H199" i="1"/>
  <c r="H198" i="1"/>
  <c r="H197" i="1"/>
  <c r="H196" i="1" a="1"/>
  <c r="H196" i="1" s="1"/>
  <c r="H195" i="1"/>
  <c r="H194" i="1"/>
  <c r="H193" i="1"/>
  <c r="H192" i="1"/>
  <c r="H191" i="1"/>
  <c r="H190" i="1"/>
  <c r="H189" i="1"/>
  <c r="H188" i="1"/>
  <c r="H187" i="1"/>
  <c r="H186" i="1"/>
  <c r="H185" i="1" a="1"/>
  <c r="H185" i="1" s="1"/>
  <c r="H184" i="1"/>
  <c r="H183" i="1"/>
  <c r="H182" i="1"/>
  <c r="H181" i="1"/>
  <c r="H180" i="1"/>
  <c r="H179" i="1" a="1"/>
  <c r="H179" i="1" s="1"/>
  <c r="H178" i="1"/>
  <c r="H177" i="1"/>
  <c r="H176" i="1"/>
  <c r="H175" i="1"/>
  <c r="H174" i="1"/>
  <c r="H173" i="1" a="1"/>
  <c r="H173" i="1" s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 a="1"/>
  <c r="H151" i="1" s="1"/>
  <c r="H150" i="1"/>
  <c r="H149" i="1"/>
  <c r="H148" i="1"/>
  <c r="H147" i="1"/>
  <c r="H146" i="1"/>
  <c r="H145" i="1"/>
  <c r="H144" i="1"/>
  <c r="H143" i="1"/>
  <c r="H142" i="1"/>
  <c r="H141" i="1"/>
  <c r="H140" i="1" a="1"/>
  <c r="H140" i="1" s="1"/>
  <c r="H139" i="1"/>
  <c r="H138" i="1"/>
  <c r="H137" i="1"/>
  <c r="H136" i="1"/>
  <c r="H135" i="1"/>
  <c r="H134" i="1"/>
  <c r="H133" i="1"/>
  <c r="H132" i="1"/>
  <c r="H131" i="1"/>
  <c r="H130" i="1"/>
  <c r="H129" i="1" a="1"/>
  <c r="H129" i="1" s="1"/>
  <c r="H128" i="1"/>
  <c r="H127" i="1"/>
  <c r="H126" i="1"/>
  <c r="H125" i="1"/>
  <c r="H124" i="1"/>
  <c r="H123" i="1" a="1"/>
  <c r="H123" i="1" s="1"/>
  <c r="H122" i="1"/>
  <c r="H121" i="1"/>
  <c r="H120" i="1"/>
  <c r="H119" i="1"/>
  <c r="H118" i="1"/>
  <c r="H117" i="1" a="1"/>
  <c r="H117" i="1" s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 a="1"/>
  <c r="H95" i="1" s="1"/>
  <c r="H94" i="1"/>
  <c r="H93" i="1"/>
  <c r="H92" i="1"/>
  <c r="H91" i="1"/>
  <c r="H90" i="1"/>
  <c r="H89" i="1"/>
  <c r="H88" i="1"/>
  <c r="H87" i="1"/>
  <c r="H86" i="1"/>
  <c r="H85" i="1"/>
  <c r="H84" i="1" a="1"/>
  <c r="H84" i="1" s="1"/>
  <c r="H83" i="1"/>
  <c r="H82" i="1"/>
  <c r="H81" i="1"/>
  <c r="H80" i="1"/>
  <c r="H79" i="1"/>
  <c r="H78" i="1"/>
  <c r="H77" i="1"/>
  <c r="H76" i="1"/>
  <c r="H75" i="1"/>
  <c r="H74" i="1"/>
  <c r="H73" i="1" a="1"/>
  <c r="H73" i="1" s="1"/>
  <c r="H72" i="1"/>
  <c r="H71" i="1"/>
  <c r="H70" i="1"/>
  <c r="H69" i="1"/>
  <c r="H68" i="1"/>
  <c r="H67" i="1" a="1"/>
  <c r="H67" i="1" s="1"/>
  <c r="H66" i="1"/>
  <c r="H65" i="1"/>
  <c r="H64" i="1"/>
  <c r="H63" i="1"/>
  <c r="H62" i="1"/>
  <c r="H61" i="1" a="1"/>
  <c r="H61" i="1" s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 a="1"/>
  <c r="H39" i="1" s="1"/>
  <c r="H38" i="1"/>
  <c r="H37" i="1"/>
  <c r="H36" i="1"/>
  <c r="H35" i="1"/>
  <c r="H34" i="1"/>
  <c r="H33" i="1"/>
  <c r="H32" i="1"/>
  <c r="H31" i="1"/>
  <c r="H30" i="1"/>
  <c r="H29" i="1"/>
  <c r="H28" i="1" a="1"/>
  <c r="H28" i="1" s="1"/>
  <c r="H27" i="1"/>
  <c r="H26" i="1"/>
  <c r="H25" i="1"/>
  <c r="H24" i="1"/>
  <c r="H23" i="1"/>
  <c r="H22" i="1"/>
  <c r="H21" i="1"/>
  <c r="H20" i="1"/>
  <c r="H19" i="1"/>
  <c r="H18" i="1"/>
  <c r="H17" i="1" a="1"/>
  <c r="H17" i="1" s="1"/>
  <c r="H16" i="1"/>
  <c r="H15" i="1"/>
  <c r="H14" i="1"/>
  <c r="H13" i="1"/>
  <c r="H12" i="1"/>
  <c r="H11" i="1" a="1"/>
  <c r="H11" i="1" s="1"/>
  <c r="H10" i="1"/>
  <c r="H9" i="1"/>
  <c r="H8" i="1"/>
  <c r="H7" i="1"/>
  <c r="H6" i="1"/>
  <c r="H5" i="1" a="1"/>
  <c r="H5" i="1" s="1"/>
  <c r="H4" i="1"/>
  <c r="Z351" i="1" l="1"/>
  <c r="H1034" i="1"/>
  <c r="Z688" i="1"/>
  <c r="H1035" i="1"/>
  <c r="Z689" i="1"/>
  <c r="H1036" i="1"/>
  <c r="Z690" i="1"/>
  <c r="H1033" i="1"/>
  <c r="Z687" i="1"/>
  <c r="Z691" i="1"/>
  <c r="AA691" i="1"/>
  <c r="AA692" i="1"/>
  <c r="Z385" i="1"/>
  <c r="Z67" i="1"/>
  <c r="Z28" i="1"/>
  <c r="Z630" i="1"/>
  <c r="Z39" i="1"/>
  <c r="Z17" i="1"/>
  <c r="Z4" i="1"/>
  <c r="Z5" i="1"/>
  <c r="Z581" i="1"/>
  <c r="Z340" i="1"/>
  <c r="Z518" i="1"/>
  <c r="Z172" i="1"/>
  <c r="Z406" i="1"/>
  <c r="H697" i="1"/>
  <c r="Z692" i="1" s="1"/>
  <c r="Z350" i="1"/>
  <c r="Z374" i="1"/>
  <c r="Z469" i="1"/>
  <c r="Z525" i="1"/>
  <c r="Z665" i="1"/>
  <c r="Z609" i="1"/>
  <c r="Z643" i="1"/>
  <c r="Z235" i="1"/>
  <c r="Z319" i="1"/>
  <c r="Z140" i="1"/>
  <c r="Z407" i="1"/>
  <c r="Z285" i="1"/>
  <c r="Z151" i="1"/>
  <c r="Z308" i="1"/>
  <c r="Z179" i="1"/>
  <c r="Z263" i="1"/>
  <c r="Z542" i="1"/>
  <c r="Z553" i="1"/>
  <c r="Z252" i="1"/>
  <c r="Z519" i="1"/>
  <c r="Z531" i="1"/>
  <c r="Z241" i="1"/>
  <c r="Z123" i="1"/>
  <c r="H976" i="1"/>
  <c r="Z598" i="1"/>
  <c r="Z441" i="1"/>
  <c r="Z413" i="1"/>
  <c r="Z497" i="1"/>
  <c r="Z631" i="1"/>
  <c r="H816" i="1"/>
  <c r="H900" i="1"/>
  <c r="Z575" i="1"/>
  <c r="Z463" i="1"/>
  <c r="Z574" i="1"/>
  <c r="Z462" i="1"/>
  <c r="Z486" i="1"/>
  <c r="Z587" i="1"/>
  <c r="Z475" i="1"/>
  <c r="Z363" i="1"/>
  <c r="Z116" i="1"/>
  <c r="Z297" i="1"/>
  <c r="Z357" i="1"/>
  <c r="Z84" i="1"/>
  <c r="Z654" i="1"/>
  <c r="Z430" i="1"/>
  <c r="H727" i="1"/>
  <c r="H787" i="1"/>
  <c r="H871" i="1"/>
  <c r="H931" i="1"/>
  <c r="H955" i="1"/>
  <c r="H991" i="1"/>
  <c r="H1015" i="1"/>
  <c r="Z419" i="1"/>
  <c r="Z207" i="1"/>
  <c r="Z291" i="1"/>
  <c r="H752" i="1"/>
  <c r="Z637" i="1"/>
  <c r="Z95" i="1"/>
  <c r="H753" i="1"/>
  <c r="Z173" i="1"/>
  <c r="Z185" i="1"/>
  <c r="Z129" i="1"/>
  <c r="Z73" i="1"/>
  <c r="Z228" i="1"/>
  <c r="Z196" i="1"/>
  <c r="H731" i="1"/>
  <c r="Z61" i="1"/>
  <c r="Z60" i="1"/>
  <c r="Z284" i="1"/>
  <c r="Z11" i="1"/>
  <c r="Z686" i="1"/>
  <c r="Z229" i="1"/>
  <c r="Z117" i="1"/>
  <c r="K63" i="2"/>
  <c r="J63" i="2"/>
  <c r="B7" i="2" s="1"/>
  <c r="M68" i="2"/>
  <c r="L68" i="2" a="1"/>
  <c r="L68" i="2" s="1"/>
  <c r="C6" i="2" s="1"/>
  <c r="H68" i="2"/>
  <c r="K68" i="2"/>
  <c r="J68" i="2"/>
  <c r="B6" i="2" s="1"/>
  <c r="G692" i="1" a="1"/>
  <c r="G692" i="1" s="1"/>
  <c r="G1038" i="1" s="1" a="1"/>
  <c r="G1038" i="1" s="1"/>
  <c r="G691" i="1"/>
  <c r="G1037" i="1" s="1"/>
  <c r="G690" i="1"/>
  <c r="G689" i="1"/>
  <c r="G688" i="1"/>
  <c r="G687" i="1"/>
  <c r="G686" i="1" a="1"/>
  <c r="G686" i="1" s="1"/>
  <c r="G1032" i="1" s="1" a="1"/>
  <c r="G1032" i="1" s="1"/>
  <c r="G685" i="1"/>
  <c r="G1031" i="1" s="1"/>
  <c r="G684" i="1"/>
  <c r="G1030" i="1" s="1"/>
  <c r="G683" i="1"/>
  <c r="G1029" i="1" s="1"/>
  <c r="G682" i="1"/>
  <c r="G1028" i="1" s="1"/>
  <c r="G681" i="1"/>
  <c r="G1027" i="1" s="1"/>
  <c r="G680" i="1"/>
  <c r="G1026" i="1" s="1"/>
  <c r="G679" i="1"/>
  <c r="G1025" i="1" s="1"/>
  <c r="G678" i="1"/>
  <c r="G1024" i="1" s="1"/>
  <c r="G677" i="1"/>
  <c r="G1023" i="1" s="1"/>
  <c r="G676" i="1"/>
  <c r="G1022" i="1" s="1"/>
  <c r="G675" i="1"/>
  <c r="G1021" i="1" s="1"/>
  <c r="G674" i="1"/>
  <c r="G1020" i="1" s="1"/>
  <c r="G673" i="1"/>
  <c r="G1019" i="1" s="1"/>
  <c r="G672" i="1"/>
  <c r="G1018" i="1" s="1"/>
  <c r="G671" i="1"/>
  <c r="G1017" i="1" s="1"/>
  <c r="G670" i="1"/>
  <c r="G1016" i="1" s="1"/>
  <c r="G669" i="1"/>
  <c r="G1015" i="1" s="1"/>
  <c r="G668" i="1"/>
  <c r="G1014" i="1" s="1"/>
  <c r="G667" i="1"/>
  <c r="G1013" i="1" s="1"/>
  <c r="G666" i="1"/>
  <c r="G1012" i="1" s="1"/>
  <c r="G665" i="1"/>
  <c r="G1011" i="1" s="1"/>
  <c r="G664" i="1"/>
  <c r="G1010" i="1" s="1"/>
  <c r="G663" i="1"/>
  <c r="G1009" i="1" s="1"/>
  <c r="G662" i="1"/>
  <c r="G1008" i="1" s="1"/>
  <c r="G661" i="1"/>
  <c r="G1007" i="1" s="1"/>
  <c r="G660" i="1"/>
  <c r="G1006" i="1" s="1"/>
  <c r="G659" i="1"/>
  <c r="G1005" i="1" s="1"/>
  <c r="G658" i="1"/>
  <c r="G1004" i="1" s="1"/>
  <c r="G657" i="1"/>
  <c r="G1003" i="1" s="1"/>
  <c r="G656" i="1"/>
  <c r="G655" i="1"/>
  <c r="G1001" i="1" s="1"/>
  <c r="G654" i="1"/>
  <c r="G1000" i="1" s="1"/>
  <c r="G653" i="1"/>
  <c r="G999" i="1" s="1"/>
  <c r="G652" i="1"/>
  <c r="G998" i="1" s="1"/>
  <c r="G651" i="1"/>
  <c r="G997" i="1" s="1"/>
  <c r="G650" i="1"/>
  <c r="G996" i="1" s="1"/>
  <c r="G649" i="1"/>
  <c r="G995" i="1" s="1"/>
  <c r="G648" i="1"/>
  <c r="G647" i="1"/>
  <c r="G993" i="1" s="1"/>
  <c r="G646" i="1"/>
  <c r="G992" i="1" s="1"/>
  <c r="G645" i="1"/>
  <c r="G991" i="1" s="1"/>
  <c r="G644" i="1"/>
  <c r="G990" i="1" s="1"/>
  <c r="G643" i="1"/>
  <c r="G989" i="1" s="1"/>
  <c r="G642" i="1"/>
  <c r="G988" i="1" s="1"/>
  <c r="G641" i="1"/>
  <c r="G987" i="1" s="1"/>
  <c r="G640" i="1"/>
  <c r="G639" i="1"/>
  <c r="G985" i="1" s="1"/>
  <c r="G638" i="1"/>
  <c r="G984" i="1" s="1"/>
  <c r="G637" i="1"/>
  <c r="G983" i="1" s="1"/>
  <c r="G636" i="1"/>
  <c r="G982" i="1" s="1"/>
  <c r="G635" i="1"/>
  <c r="G981" i="1" s="1"/>
  <c r="G634" i="1"/>
  <c r="G980" i="1" s="1"/>
  <c r="G633" i="1"/>
  <c r="G979" i="1" s="1"/>
  <c r="G632" i="1"/>
  <c r="G978" i="1" s="1"/>
  <c r="G631" i="1"/>
  <c r="G977" i="1" s="1"/>
  <c r="G630" i="1"/>
  <c r="G976" i="1" s="1"/>
  <c r="G629" i="1"/>
  <c r="G975" i="1" s="1"/>
  <c r="G628" i="1"/>
  <c r="G974" i="1" s="1"/>
  <c r="G627" i="1"/>
  <c r="G973" i="1" s="1"/>
  <c r="G626" i="1"/>
  <c r="G972" i="1" s="1"/>
  <c r="G625" i="1"/>
  <c r="G971" i="1" s="1"/>
  <c r="G624" i="1"/>
  <c r="G970" i="1" s="1"/>
  <c r="G623" i="1"/>
  <c r="G969" i="1" s="1"/>
  <c r="G622" i="1"/>
  <c r="G968" i="1" s="1"/>
  <c r="G621" i="1"/>
  <c r="G967" i="1" s="1"/>
  <c r="G620" i="1"/>
  <c r="G966" i="1" s="1"/>
  <c r="G619" i="1"/>
  <c r="G965" i="1" s="1"/>
  <c r="G618" i="1"/>
  <c r="G964" i="1" s="1"/>
  <c r="G617" i="1"/>
  <c r="G963" i="1" s="1"/>
  <c r="G616" i="1"/>
  <c r="G962" i="1" s="1"/>
  <c r="G615" i="1"/>
  <c r="G961" i="1" s="1"/>
  <c r="G614" i="1"/>
  <c r="G960" i="1" s="1"/>
  <c r="G613" i="1"/>
  <c r="G959" i="1" s="1"/>
  <c r="G612" i="1"/>
  <c r="G958" i="1" s="1"/>
  <c r="G611" i="1"/>
  <c r="G957" i="1" s="1"/>
  <c r="G610" i="1"/>
  <c r="G956" i="1" s="1"/>
  <c r="G609" i="1"/>
  <c r="G955" i="1" s="1"/>
  <c r="G608" i="1"/>
  <c r="G954" i="1" s="1"/>
  <c r="G607" i="1"/>
  <c r="G953" i="1" s="1"/>
  <c r="G606" i="1"/>
  <c r="G952" i="1" s="1"/>
  <c r="G605" i="1"/>
  <c r="G951" i="1" s="1"/>
  <c r="G604" i="1"/>
  <c r="G950" i="1" s="1"/>
  <c r="G603" i="1"/>
  <c r="G949" i="1" s="1"/>
  <c r="G602" i="1"/>
  <c r="G948" i="1" s="1"/>
  <c r="G601" i="1"/>
  <c r="G947" i="1" s="1"/>
  <c r="G600" i="1"/>
  <c r="G599" i="1"/>
  <c r="G945" i="1" s="1"/>
  <c r="G598" i="1"/>
  <c r="G944" i="1" s="1"/>
  <c r="G597" i="1"/>
  <c r="G943" i="1" s="1"/>
  <c r="G596" i="1"/>
  <c r="G942" i="1" s="1"/>
  <c r="G595" i="1"/>
  <c r="G941" i="1" s="1"/>
  <c r="G594" i="1"/>
  <c r="G940" i="1" s="1"/>
  <c r="G593" i="1"/>
  <c r="G939" i="1" s="1"/>
  <c r="G592" i="1"/>
  <c r="G938" i="1" s="1"/>
  <c r="G591" i="1"/>
  <c r="G937" i="1" s="1"/>
  <c r="G590" i="1"/>
  <c r="G936" i="1" s="1"/>
  <c r="G589" i="1"/>
  <c r="G935" i="1" s="1"/>
  <c r="G588" i="1"/>
  <c r="G934" i="1" s="1"/>
  <c r="G587" i="1"/>
  <c r="G933" i="1" s="1"/>
  <c r="G586" i="1"/>
  <c r="G932" i="1" s="1"/>
  <c r="G585" i="1"/>
  <c r="G931" i="1" s="1"/>
  <c r="G584" i="1"/>
  <c r="G583" i="1"/>
  <c r="G929" i="1" s="1"/>
  <c r="G582" i="1"/>
  <c r="G928" i="1" s="1"/>
  <c r="G581" i="1"/>
  <c r="G927" i="1" s="1"/>
  <c r="G580" i="1"/>
  <c r="G926" i="1" s="1"/>
  <c r="G579" i="1"/>
  <c r="G925" i="1" s="1"/>
  <c r="G578" i="1"/>
  <c r="G924" i="1" s="1"/>
  <c r="G577" i="1"/>
  <c r="G923" i="1" s="1"/>
  <c r="G576" i="1"/>
  <c r="G922" i="1" s="1"/>
  <c r="G575" i="1"/>
  <c r="G921" i="1" s="1"/>
  <c r="G574" i="1"/>
  <c r="G920" i="1" s="1"/>
  <c r="G573" i="1"/>
  <c r="G919" i="1" s="1"/>
  <c r="G572" i="1"/>
  <c r="G918" i="1" s="1"/>
  <c r="G571" i="1"/>
  <c r="G917" i="1" s="1"/>
  <c r="G570" i="1"/>
  <c r="G916" i="1" s="1"/>
  <c r="G569" i="1"/>
  <c r="G915" i="1" s="1"/>
  <c r="G568" i="1"/>
  <c r="G914" i="1" s="1"/>
  <c r="G567" i="1"/>
  <c r="G913" i="1" s="1"/>
  <c r="G566" i="1"/>
  <c r="G912" i="1" s="1"/>
  <c r="G565" i="1"/>
  <c r="G911" i="1" s="1"/>
  <c r="G564" i="1"/>
  <c r="G910" i="1" s="1"/>
  <c r="G563" i="1"/>
  <c r="G909" i="1" s="1"/>
  <c r="G562" i="1"/>
  <c r="G908" i="1" s="1"/>
  <c r="G561" i="1"/>
  <c r="G907" i="1" s="1"/>
  <c r="G560" i="1"/>
  <c r="G906" i="1" s="1"/>
  <c r="G559" i="1"/>
  <c r="G905" i="1" s="1"/>
  <c r="G558" i="1"/>
  <c r="G904" i="1" s="1"/>
  <c r="G557" i="1"/>
  <c r="G903" i="1" s="1"/>
  <c r="G556" i="1"/>
  <c r="G902" i="1" s="1"/>
  <c r="G555" i="1"/>
  <c r="G901" i="1" s="1"/>
  <c r="G554" i="1"/>
  <c r="G900" i="1" s="1"/>
  <c r="G553" i="1"/>
  <c r="G899" i="1" s="1"/>
  <c r="G552" i="1"/>
  <c r="G898" i="1" s="1"/>
  <c r="G551" i="1"/>
  <c r="G897" i="1" s="1"/>
  <c r="G550" i="1"/>
  <c r="G896" i="1" s="1"/>
  <c r="G549" i="1"/>
  <c r="G895" i="1" s="1"/>
  <c r="G548" i="1"/>
  <c r="G894" i="1" s="1"/>
  <c r="G547" i="1"/>
  <c r="G893" i="1" s="1"/>
  <c r="G546" i="1"/>
  <c r="G892" i="1" s="1"/>
  <c r="G545" i="1"/>
  <c r="G891" i="1" s="1"/>
  <c r="G544" i="1"/>
  <c r="G543" i="1"/>
  <c r="G889" i="1" s="1"/>
  <c r="G542" i="1"/>
  <c r="G888" i="1" s="1"/>
  <c r="G541" i="1"/>
  <c r="G887" i="1" s="1"/>
  <c r="G540" i="1"/>
  <c r="G886" i="1" s="1"/>
  <c r="G539" i="1"/>
  <c r="G885" i="1" s="1"/>
  <c r="G538" i="1"/>
  <c r="G884" i="1" s="1"/>
  <c r="G537" i="1"/>
  <c r="G883" i="1" s="1"/>
  <c r="G536" i="1"/>
  <c r="G535" i="1"/>
  <c r="G881" i="1" s="1"/>
  <c r="G534" i="1"/>
  <c r="G880" i="1" s="1"/>
  <c r="G533" i="1"/>
  <c r="G879" i="1" s="1"/>
  <c r="G532" i="1"/>
  <c r="G878" i="1" s="1"/>
  <c r="G531" i="1"/>
  <c r="G877" i="1" s="1"/>
  <c r="G530" i="1"/>
  <c r="G876" i="1" s="1"/>
  <c r="G529" i="1"/>
  <c r="G875" i="1" s="1"/>
  <c r="G528" i="1"/>
  <c r="G527" i="1"/>
  <c r="G873" i="1" s="1"/>
  <c r="G526" i="1"/>
  <c r="G872" i="1" s="1"/>
  <c r="G525" i="1"/>
  <c r="G871" i="1" s="1"/>
  <c r="G524" i="1"/>
  <c r="G870" i="1" s="1"/>
  <c r="G523" i="1"/>
  <c r="G869" i="1" s="1"/>
  <c r="G522" i="1"/>
  <c r="G868" i="1" s="1"/>
  <c r="G521" i="1"/>
  <c r="G867" i="1" s="1"/>
  <c r="G520" i="1"/>
  <c r="G866" i="1" s="1"/>
  <c r="G519" i="1"/>
  <c r="G865" i="1" s="1"/>
  <c r="G518" i="1"/>
  <c r="G517" i="1"/>
  <c r="G863" i="1" s="1"/>
  <c r="G516" i="1"/>
  <c r="G862" i="1" s="1"/>
  <c r="G515" i="1"/>
  <c r="G861" i="1" s="1"/>
  <c r="G514" i="1"/>
  <c r="G860" i="1" s="1"/>
  <c r="G513" i="1"/>
  <c r="G859" i="1" s="1"/>
  <c r="G512" i="1"/>
  <c r="G858" i="1" s="1"/>
  <c r="G511" i="1"/>
  <c r="G857" i="1" s="1"/>
  <c r="G510" i="1"/>
  <c r="G856" i="1" s="1"/>
  <c r="G509" i="1"/>
  <c r="G855" i="1" s="1"/>
  <c r="G508" i="1"/>
  <c r="G854" i="1" s="1"/>
  <c r="G507" i="1"/>
  <c r="G853" i="1" s="1"/>
  <c r="G506" i="1"/>
  <c r="G852" i="1" s="1"/>
  <c r="G505" i="1"/>
  <c r="G851" i="1" s="1"/>
  <c r="G504" i="1"/>
  <c r="G850" i="1" s="1"/>
  <c r="G503" i="1"/>
  <c r="G849" i="1" s="1"/>
  <c r="G502" i="1"/>
  <c r="G848" i="1" s="1"/>
  <c r="G501" i="1"/>
  <c r="G847" i="1" s="1"/>
  <c r="G500" i="1"/>
  <c r="G846" i="1" s="1"/>
  <c r="G499" i="1"/>
  <c r="G845" i="1" s="1"/>
  <c r="G498" i="1"/>
  <c r="G844" i="1" s="1"/>
  <c r="G497" i="1"/>
  <c r="G843" i="1" s="1"/>
  <c r="G496" i="1"/>
  <c r="G842" i="1" s="1"/>
  <c r="G495" i="1"/>
  <c r="G841" i="1" s="1"/>
  <c r="G494" i="1"/>
  <c r="G840" i="1" s="1"/>
  <c r="G493" i="1"/>
  <c r="G839" i="1" s="1"/>
  <c r="G492" i="1"/>
  <c r="G838" i="1" s="1"/>
  <c r="G491" i="1"/>
  <c r="G837" i="1" s="1"/>
  <c r="G490" i="1"/>
  <c r="G836" i="1" s="1"/>
  <c r="G489" i="1"/>
  <c r="G835" i="1" s="1"/>
  <c r="G488" i="1"/>
  <c r="G834" i="1" s="1"/>
  <c r="G487" i="1"/>
  <c r="G833" i="1" s="1"/>
  <c r="G486" i="1"/>
  <c r="G832" i="1" s="1"/>
  <c r="G485" i="1"/>
  <c r="G831" i="1" s="1"/>
  <c r="G484" i="1"/>
  <c r="G830" i="1" s="1"/>
  <c r="G483" i="1"/>
  <c r="G829" i="1" s="1"/>
  <c r="G482" i="1"/>
  <c r="G828" i="1" s="1"/>
  <c r="G481" i="1"/>
  <c r="G827" i="1" s="1"/>
  <c r="G480" i="1"/>
  <c r="G479" i="1"/>
  <c r="G825" i="1" s="1"/>
  <c r="G478" i="1"/>
  <c r="G824" i="1" s="1"/>
  <c r="G477" i="1"/>
  <c r="G823" i="1" s="1"/>
  <c r="G476" i="1"/>
  <c r="G822" i="1" s="1"/>
  <c r="G475" i="1"/>
  <c r="G821" i="1" s="1"/>
  <c r="G474" i="1"/>
  <c r="G820" i="1" s="1"/>
  <c r="G473" i="1"/>
  <c r="G819" i="1" s="1"/>
  <c r="G472" i="1"/>
  <c r="G818" i="1" s="1"/>
  <c r="G471" i="1"/>
  <c r="G817" i="1" s="1"/>
  <c r="G470" i="1"/>
  <c r="G816" i="1" s="1"/>
  <c r="G469" i="1"/>
  <c r="G815" i="1" s="1"/>
  <c r="G468" i="1"/>
  <c r="G814" i="1" s="1"/>
  <c r="G467" i="1"/>
  <c r="G813" i="1" s="1"/>
  <c r="G466" i="1"/>
  <c r="G812" i="1" s="1"/>
  <c r="G465" i="1"/>
  <c r="G811" i="1" s="1"/>
  <c r="G464" i="1"/>
  <c r="G463" i="1"/>
  <c r="G809" i="1" s="1"/>
  <c r="G462" i="1"/>
  <c r="G808" i="1" s="1"/>
  <c r="G461" i="1"/>
  <c r="G807" i="1" s="1"/>
  <c r="G460" i="1"/>
  <c r="G806" i="1" s="1"/>
  <c r="G459" i="1"/>
  <c r="G805" i="1" s="1"/>
  <c r="G458" i="1"/>
  <c r="G804" i="1" s="1"/>
  <c r="G457" i="1"/>
  <c r="G803" i="1" s="1"/>
  <c r="G456" i="1"/>
  <c r="G802" i="1" s="1"/>
  <c r="G455" i="1"/>
  <c r="G801" i="1" s="1"/>
  <c r="G454" i="1"/>
  <c r="G800" i="1" s="1"/>
  <c r="G453" i="1"/>
  <c r="G799" i="1" s="1"/>
  <c r="G452" i="1"/>
  <c r="G798" i="1" s="1"/>
  <c r="G451" i="1"/>
  <c r="G797" i="1" s="1"/>
  <c r="G450" i="1"/>
  <c r="G796" i="1" s="1"/>
  <c r="G449" i="1"/>
  <c r="G795" i="1" s="1"/>
  <c r="G448" i="1"/>
  <c r="G794" i="1" s="1"/>
  <c r="G447" i="1"/>
  <c r="G793" i="1" s="1"/>
  <c r="G446" i="1"/>
  <c r="G792" i="1" s="1"/>
  <c r="G445" i="1"/>
  <c r="G791" i="1" s="1"/>
  <c r="G444" i="1"/>
  <c r="G790" i="1" s="1"/>
  <c r="G443" i="1"/>
  <c r="G789" i="1" s="1"/>
  <c r="G442" i="1"/>
  <c r="G788" i="1" s="1"/>
  <c r="G441" i="1"/>
  <c r="G787" i="1" s="1"/>
  <c r="G440" i="1"/>
  <c r="G786" i="1" s="1"/>
  <c r="G439" i="1"/>
  <c r="G785" i="1" s="1"/>
  <c r="G438" i="1"/>
  <c r="G784" i="1" s="1"/>
  <c r="G437" i="1"/>
  <c r="G783" i="1" s="1"/>
  <c r="G436" i="1"/>
  <c r="G782" i="1" s="1"/>
  <c r="G435" i="1"/>
  <c r="G781" i="1" s="1"/>
  <c r="G434" i="1"/>
  <c r="G780" i="1" s="1"/>
  <c r="G433" i="1"/>
  <c r="G779" i="1" s="1"/>
  <c r="G432" i="1"/>
  <c r="G778" i="1" s="1"/>
  <c r="G431" i="1"/>
  <c r="G777" i="1" s="1"/>
  <c r="G430" i="1"/>
  <c r="G776" i="1" s="1"/>
  <c r="G429" i="1"/>
  <c r="G775" i="1" s="1"/>
  <c r="G428" i="1"/>
  <c r="G774" i="1" s="1"/>
  <c r="G427" i="1"/>
  <c r="G773" i="1" s="1"/>
  <c r="G426" i="1"/>
  <c r="G772" i="1" s="1"/>
  <c r="G425" i="1"/>
  <c r="G771" i="1" s="1"/>
  <c r="G424" i="1"/>
  <c r="G770" i="1" s="1"/>
  <c r="G423" i="1"/>
  <c r="G769" i="1" s="1"/>
  <c r="G422" i="1"/>
  <c r="G768" i="1" s="1"/>
  <c r="G421" i="1"/>
  <c r="G767" i="1" s="1"/>
  <c r="G420" i="1"/>
  <c r="G766" i="1" s="1"/>
  <c r="G419" i="1"/>
  <c r="G765" i="1" s="1"/>
  <c r="G418" i="1"/>
  <c r="G764" i="1" s="1"/>
  <c r="G417" i="1"/>
  <c r="G763" i="1" s="1"/>
  <c r="G416" i="1"/>
  <c r="G762" i="1" s="1"/>
  <c r="G415" i="1"/>
  <c r="G761" i="1" s="1"/>
  <c r="G414" i="1"/>
  <c r="G760" i="1" s="1"/>
  <c r="G413" i="1"/>
  <c r="G759" i="1" s="1"/>
  <c r="G412" i="1"/>
  <c r="G758" i="1" s="1"/>
  <c r="G411" i="1"/>
  <c r="G757" i="1" s="1"/>
  <c r="G410" i="1"/>
  <c r="G756" i="1" s="1"/>
  <c r="G409" i="1"/>
  <c r="G755" i="1" s="1"/>
  <c r="G408" i="1"/>
  <c r="G754" i="1" s="1"/>
  <c r="G407" i="1"/>
  <c r="G753" i="1" s="1"/>
  <c r="G406" i="1"/>
  <c r="G752" i="1" s="1"/>
  <c r="G385" i="1"/>
  <c r="G731" i="1" s="1"/>
  <c r="G374" i="1"/>
  <c r="G720" i="1" s="1"/>
  <c r="G363" i="1"/>
  <c r="G709" i="1" s="1"/>
  <c r="G357" i="1"/>
  <c r="G703" i="1" s="1"/>
  <c r="G351" i="1"/>
  <c r="G697" i="1" s="1"/>
  <c r="G346" i="1" a="1"/>
  <c r="G346" i="1" s="1"/>
  <c r="G345" i="1" a="1"/>
  <c r="G345" i="1" s="1"/>
  <c r="G344" i="1" a="1"/>
  <c r="G344" i="1" s="1"/>
  <c r="G343" i="1" a="1"/>
  <c r="G343" i="1" s="1"/>
  <c r="G342" i="1" a="1"/>
  <c r="G342" i="1" s="1"/>
  <c r="G341" i="1" a="1"/>
  <c r="G341" i="1" s="1"/>
  <c r="G340" i="1" a="1"/>
  <c r="G340" i="1" s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 a="1"/>
  <c r="G319" i="1" s="1"/>
  <c r="G318" i="1"/>
  <c r="G317" i="1"/>
  <c r="G316" i="1"/>
  <c r="G315" i="1"/>
  <c r="G314" i="1"/>
  <c r="G313" i="1"/>
  <c r="G312" i="1"/>
  <c r="G311" i="1"/>
  <c r="G310" i="1"/>
  <c r="G309" i="1"/>
  <c r="G308" i="1" a="1"/>
  <c r="G308" i="1" s="1"/>
  <c r="G307" i="1"/>
  <c r="G306" i="1"/>
  <c r="G305" i="1"/>
  <c r="G304" i="1"/>
  <c r="G303" i="1"/>
  <c r="G302" i="1"/>
  <c r="G301" i="1"/>
  <c r="G300" i="1"/>
  <c r="G299" i="1"/>
  <c r="G298" i="1"/>
  <c r="G297" i="1" a="1"/>
  <c r="G297" i="1" s="1"/>
  <c r="G296" i="1"/>
  <c r="G295" i="1"/>
  <c r="G294" i="1"/>
  <c r="G293" i="1"/>
  <c r="G292" i="1"/>
  <c r="G291" i="1" a="1"/>
  <c r="G291" i="1" s="1"/>
  <c r="G290" i="1"/>
  <c r="G289" i="1"/>
  <c r="G288" i="1"/>
  <c r="G287" i="1"/>
  <c r="G286" i="1"/>
  <c r="G285" i="1" a="1"/>
  <c r="G285" i="1" s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 a="1"/>
  <c r="G263" i="1" s="1"/>
  <c r="G262" i="1"/>
  <c r="G261" i="1"/>
  <c r="G260" i="1"/>
  <c r="G259" i="1"/>
  <c r="G258" i="1"/>
  <c r="G257" i="1"/>
  <c r="G256" i="1"/>
  <c r="G255" i="1"/>
  <c r="G254" i="1"/>
  <c r="G253" i="1"/>
  <c r="G252" i="1" a="1"/>
  <c r="G252" i="1" s="1"/>
  <c r="G251" i="1"/>
  <c r="G250" i="1"/>
  <c r="G249" i="1"/>
  <c r="G248" i="1"/>
  <c r="G247" i="1"/>
  <c r="G246" i="1"/>
  <c r="G245" i="1"/>
  <c r="G244" i="1"/>
  <c r="G243" i="1"/>
  <c r="G242" i="1"/>
  <c r="G241" i="1" a="1"/>
  <c r="G241" i="1" s="1"/>
  <c r="G240" i="1"/>
  <c r="G239" i="1"/>
  <c r="G238" i="1"/>
  <c r="G237" i="1"/>
  <c r="G236" i="1"/>
  <c r="G235" i="1" a="1"/>
  <c r="G235" i="1" s="1"/>
  <c r="G234" i="1"/>
  <c r="G233" i="1"/>
  <c r="G232" i="1"/>
  <c r="G231" i="1"/>
  <c r="G230" i="1"/>
  <c r="G229" i="1" a="1"/>
  <c r="G229" i="1" s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 a="1"/>
  <c r="G207" i="1" s="1"/>
  <c r="G206" i="1"/>
  <c r="G205" i="1"/>
  <c r="G204" i="1"/>
  <c r="G203" i="1"/>
  <c r="G202" i="1"/>
  <c r="G201" i="1"/>
  <c r="G200" i="1"/>
  <c r="G199" i="1"/>
  <c r="G198" i="1"/>
  <c r="G197" i="1"/>
  <c r="G196" i="1" a="1"/>
  <c r="G196" i="1" s="1"/>
  <c r="G195" i="1"/>
  <c r="G194" i="1"/>
  <c r="G193" i="1"/>
  <c r="G192" i="1"/>
  <c r="G191" i="1"/>
  <c r="G190" i="1"/>
  <c r="G189" i="1"/>
  <c r="G188" i="1"/>
  <c r="G187" i="1"/>
  <c r="G186" i="1"/>
  <c r="G185" i="1" a="1"/>
  <c r="G185" i="1" s="1"/>
  <c r="G184" i="1"/>
  <c r="G183" i="1"/>
  <c r="G182" i="1"/>
  <c r="G181" i="1"/>
  <c r="G180" i="1"/>
  <c r="G179" i="1" a="1"/>
  <c r="G179" i="1" s="1"/>
  <c r="G178" i="1"/>
  <c r="G177" i="1"/>
  <c r="G176" i="1"/>
  <c r="G175" i="1"/>
  <c r="G174" i="1"/>
  <c r="G173" i="1" a="1"/>
  <c r="G173" i="1" s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 a="1"/>
  <c r="G151" i="1" s="1"/>
  <c r="G150" i="1"/>
  <c r="G149" i="1"/>
  <c r="G148" i="1"/>
  <c r="G147" i="1"/>
  <c r="G146" i="1"/>
  <c r="G145" i="1"/>
  <c r="G144" i="1"/>
  <c r="G143" i="1"/>
  <c r="G142" i="1"/>
  <c r="G141" i="1"/>
  <c r="G140" i="1" a="1"/>
  <c r="G140" i="1" s="1"/>
  <c r="G139" i="1"/>
  <c r="G138" i="1"/>
  <c r="G137" i="1"/>
  <c r="G136" i="1"/>
  <c r="G135" i="1"/>
  <c r="G134" i="1"/>
  <c r="G133" i="1"/>
  <c r="G132" i="1"/>
  <c r="G131" i="1"/>
  <c r="G130" i="1"/>
  <c r="G129" i="1" a="1"/>
  <c r="G129" i="1" s="1"/>
  <c r="G128" i="1"/>
  <c r="G127" i="1"/>
  <c r="G126" i="1"/>
  <c r="G125" i="1"/>
  <c r="G124" i="1"/>
  <c r="G123" i="1" a="1"/>
  <c r="G123" i="1" s="1"/>
  <c r="G122" i="1"/>
  <c r="G121" i="1"/>
  <c r="G120" i="1"/>
  <c r="G119" i="1"/>
  <c r="G118" i="1"/>
  <c r="G117" i="1" a="1"/>
  <c r="G117" i="1" s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 a="1"/>
  <c r="G95" i="1" s="1"/>
  <c r="G94" i="1"/>
  <c r="G93" i="1"/>
  <c r="G92" i="1"/>
  <c r="G91" i="1"/>
  <c r="G90" i="1"/>
  <c r="G89" i="1"/>
  <c r="G88" i="1"/>
  <c r="G87" i="1"/>
  <c r="G86" i="1"/>
  <c r="G85" i="1"/>
  <c r="G84" i="1" a="1"/>
  <c r="G84" i="1" s="1"/>
  <c r="G83" i="1"/>
  <c r="G82" i="1"/>
  <c r="G81" i="1"/>
  <c r="G80" i="1"/>
  <c r="G79" i="1"/>
  <c r="G78" i="1"/>
  <c r="G77" i="1"/>
  <c r="G76" i="1"/>
  <c r="G75" i="1"/>
  <c r="G74" i="1"/>
  <c r="G73" i="1" a="1"/>
  <c r="G73" i="1" s="1"/>
  <c r="G72" i="1"/>
  <c r="G71" i="1"/>
  <c r="G70" i="1"/>
  <c r="G69" i="1"/>
  <c r="G68" i="1"/>
  <c r="G67" i="1" a="1"/>
  <c r="G67" i="1" s="1"/>
  <c r="G66" i="1"/>
  <c r="G65" i="1"/>
  <c r="G64" i="1"/>
  <c r="G63" i="1"/>
  <c r="G62" i="1"/>
  <c r="G61" i="1" a="1"/>
  <c r="G61" i="1" s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 a="1"/>
  <c r="G39" i="1" s="1"/>
  <c r="G38" i="1"/>
  <c r="G37" i="1"/>
  <c r="G36" i="1"/>
  <c r="G35" i="1"/>
  <c r="G34" i="1"/>
  <c r="G33" i="1"/>
  <c r="G32" i="1"/>
  <c r="G31" i="1"/>
  <c r="G30" i="1"/>
  <c r="G29" i="1"/>
  <c r="G28" i="1" a="1"/>
  <c r="G28" i="1" s="1"/>
  <c r="G27" i="1"/>
  <c r="G26" i="1"/>
  <c r="G25" i="1"/>
  <c r="G24" i="1"/>
  <c r="G23" i="1"/>
  <c r="G22" i="1"/>
  <c r="G21" i="1"/>
  <c r="G20" i="1"/>
  <c r="G19" i="1"/>
  <c r="G18" i="1"/>
  <c r="G17" i="1" a="1"/>
  <c r="G17" i="1" s="1"/>
  <c r="G16" i="1"/>
  <c r="G15" i="1"/>
  <c r="G14" i="1"/>
  <c r="G13" i="1"/>
  <c r="G12" i="1"/>
  <c r="G11" i="1" a="1"/>
  <c r="G11" i="1" s="1"/>
  <c r="G10" i="1"/>
  <c r="G9" i="1"/>
  <c r="G8" i="1"/>
  <c r="G7" i="1"/>
  <c r="G6" i="1"/>
  <c r="G5" i="1" a="1"/>
  <c r="G5" i="1" s="1"/>
  <c r="G4" i="1"/>
  <c r="F692" i="1" a="1"/>
  <c r="F692" i="1" s="1"/>
  <c r="F1038" i="1" s="1" a="1"/>
  <c r="F1038" i="1" s="1"/>
  <c r="F691" i="1"/>
  <c r="F1037" i="1" s="1"/>
  <c r="F690" i="1"/>
  <c r="F689" i="1"/>
  <c r="F688" i="1"/>
  <c r="F687" i="1"/>
  <c r="F686" i="1" a="1"/>
  <c r="F686" i="1" s="1"/>
  <c r="F685" i="1"/>
  <c r="F1031" i="1" s="1"/>
  <c r="F684" i="1"/>
  <c r="F1030" i="1" s="1"/>
  <c r="F683" i="1"/>
  <c r="F1029" i="1" s="1"/>
  <c r="F682" i="1"/>
  <c r="F1028" i="1" s="1"/>
  <c r="F681" i="1"/>
  <c r="F1027" i="1" s="1"/>
  <c r="F680" i="1"/>
  <c r="F1026" i="1" s="1"/>
  <c r="F679" i="1"/>
  <c r="F1025" i="1" s="1"/>
  <c r="F678" i="1"/>
  <c r="F1024" i="1" s="1"/>
  <c r="F677" i="1"/>
  <c r="F1023" i="1" s="1"/>
  <c r="F676" i="1"/>
  <c r="F1022" i="1" s="1"/>
  <c r="F675" i="1"/>
  <c r="F1021" i="1" s="1"/>
  <c r="F674" i="1"/>
  <c r="F1020" i="1" s="1"/>
  <c r="F673" i="1"/>
  <c r="F1019" i="1" s="1"/>
  <c r="F672" i="1"/>
  <c r="F1018" i="1" s="1"/>
  <c r="F671" i="1"/>
  <c r="F1017" i="1" s="1"/>
  <c r="F670" i="1"/>
  <c r="F1016" i="1" s="1"/>
  <c r="F669" i="1"/>
  <c r="F1015" i="1" s="1"/>
  <c r="F668" i="1"/>
  <c r="F1014" i="1" s="1"/>
  <c r="F667" i="1"/>
  <c r="F1013" i="1" s="1"/>
  <c r="F666" i="1"/>
  <c r="F1012" i="1" s="1"/>
  <c r="F665" i="1"/>
  <c r="F664" i="1"/>
  <c r="F663" i="1"/>
  <c r="F1009" i="1" s="1"/>
  <c r="F662" i="1"/>
  <c r="F1008" i="1" s="1"/>
  <c r="F661" i="1"/>
  <c r="F1007" i="1" s="1"/>
  <c r="F660" i="1"/>
  <c r="F1006" i="1" s="1"/>
  <c r="F659" i="1"/>
  <c r="F1005" i="1" s="1"/>
  <c r="F658" i="1"/>
  <c r="F1004" i="1" s="1"/>
  <c r="F657" i="1"/>
  <c r="F1003" i="1" s="1"/>
  <c r="F656" i="1"/>
  <c r="F1002" i="1" s="1"/>
  <c r="F655" i="1"/>
  <c r="F1001" i="1" s="1"/>
  <c r="F654" i="1"/>
  <c r="F1000" i="1" s="1"/>
  <c r="F653" i="1"/>
  <c r="F999" i="1" s="1"/>
  <c r="F652" i="1"/>
  <c r="F651" i="1"/>
  <c r="F650" i="1"/>
  <c r="F996" i="1" s="1"/>
  <c r="F649" i="1"/>
  <c r="F995" i="1" s="1"/>
  <c r="F648" i="1"/>
  <c r="F994" i="1" s="1"/>
  <c r="F647" i="1"/>
  <c r="F993" i="1" s="1"/>
  <c r="F646" i="1"/>
  <c r="F992" i="1" s="1"/>
  <c r="F645" i="1"/>
  <c r="F991" i="1" s="1"/>
  <c r="F644" i="1"/>
  <c r="F990" i="1" s="1"/>
  <c r="F643" i="1"/>
  <c r="F989" i="1" s="1"/>
  <c r="F642" i="1"/>
  <c r="F988" i="1" s="1"/>
  <c r="F641" i="1"/>
  <c r="F987" i="1" s="1"/>
  <c r="F640" i="1"/>
  <c r="F986" i="1" s="1"/>
  <c r="F639" i="1"/>
  <c r="F985" i="1" s="1"/>
  <c r="F638" i="1"/>
  <c r="F984" i="1" s="1"/>
  <c r="F637" i="1"/>
  <c r="F636" i="1"/>
  <c r="F982" i="1" s="1"/>
  <c r="F635" i="1"/>
  <c r="F981" i="1" s="1"/>
  <c r="F634" i="1"/>
  <c r="F980" i="1" s="1"/>
  <c r="F633" i="1"/>
  <c r="F979" i="1" s="1"/>
  <c r="F632" i="1"/>
  <c r="F978" i="1" s="1"/>
  <c r="F631" i="1"/>
  <c r="F977" i="1" s="1"/>
  <c r="F630" i="1"/>
  <c r="F976" i="1" s="1"/>
  <c r="F629" i="1"/>
  <c r="F975" i="1" s="1"/>
  <c r="F628" i="1"/>
  <c r="F974" i="1" s="1"/>
  <c r="F627" i="1"/>
  <c r="F973" i="1" s="1"/>
  <c r="F626" i="1"/>
  <c r="F972" i="1" s="1"/>
  <c r="F625" i="1"/>
  <c r="F971" i="1" s="1"/>
  <c r="F624" i="1"/>
  <c r="F970" i="1" s="1"/>
  <c r="F623" i="1"/>
  <c r="F969" i="1" s="1"/>
  <c r="F622" i="1"/>
  <c r="F968" i="1" s="1"/>
  <c r="F621" i="1"/>
  <c r="F967" i="1" s="1"/>
  <c r="F620" i="1"/>
  <c r="F966" i="1" s="1"/>
  <c r="F619" i="1"/>
  <c r="F965" i="1" s="1"/>
  <c r="F618" i="1"/>
  <c r="F964" i="1" s="1"/>
  <c r="F617" i="1"/>
  <c r="F963" i="1" s="1"/>
  <c r="F616" i="1"/>
  <c r="F962" i="1" s="1"/>
  <c r="F615" i="1"/>
  <c r="F961" i="1" s="1"/>
  <c r="F614" i="1"/>
  <c r="F960" i="1" s="1"/>
  <c r="F613" i="1"/>
  <c r="F612" i="1"/>
  <c r="F958" i="1" s="1"/>
  <c r="F611" i="1"/>
  <c r="F957" i="1" s="1"/>
  <c r="F610" i="1"/>
  <c r="F956" i="1" s="1"/>
  <c r="F609" i="1"/>
  <c r="F955" i="1" s="1"/>
  <c r="F608" i="1"/>
  <c r="F954" i="1" s="1"/>
  <c r="F607" i="1"/>
  <c r="F953" i="1" s="1"/>
  <c r="F606" i="1"/>
  <c r="F952" i="1" s="1"/>
  <c r="F605" i="1"/>
  <c r="F951" i="1" s="1"/>
  <c r="F604" i="1"/>
  <c r="F950" i="1" s="1"/>
  <c r="F603" i="1"/>
  <c r="F949" i="1" s="1"/>
  <c r="F602" i="1"/>
  <c r="F948" i="1" s="1"/>
  <c r="F601" i="1"/>
  <c r="F600" i="1"/>
  <c r="F599" i="1"/>
  <c r="F945" i="1" s="1"/>
  <c r="F598" i="1"/>
  <c r="F944" i="1" s="1"/>
  <c r="F597" i="1"/>
  <c r="F943" i="1" s="1"/>
  <c r="F596" i="1"/>
  <c r="F942" i="1" s="1"/>
  <c r="F595" i="1"/>
  <c r="F941" i="1" s="1"/>
  <c r="F594" i="1"/>
  <c r="F940" i="1" s="1"/>
  <c r="F593" i="1"/>
  <c r="F939" i="1" s="1"/>
  <c r="F592" i="1"/>
  <c r="F938" i="1" s="1"/>
  <c r="F591" i="1"/>
  <c r="F937" i="1" s="1"/>
  <c r="F590" i="1"/>
  <c r="F936" i="1" s="1"/>
  <c r="F589" i="1"/>
  <c r="F588" i="1"/>
  <c r="F934" i="1" s="1"/>
  <c r="F587" i="1"/>
  <c r="F933" i="1" s="1"/>
  <c r="F586" i="1"/>
  <c r="F932" i="1" s="1"/>
  <c r="F585" i="1"/>
  <c r="F931" i="1" s="1"/>
  <c r="F584" i="1"/>
  <c r="F930" i="1" s="1"/>
  <c r="F583" i="1"/>
  <c r="F929" i="1" s="1"/>
  <c r="F582" i="1"/>
  <c r="F928" i="1" s="1"/>
  <c r="F581" i="1"/>
  <c r="F927" i="1" s="1"/>
  <c r="F580" i="1"/>
  <c r="F926" i="1" s="1"/>
  <c r="F579" i="1"/>
  <c r="F925" i="1" s="1"/>
  <c r="F578" i="1"/>
  <c r="F924" i="1" s="1"/>
  <c r="F577" i="1"/>
  <c r="F923" i="1" s="1"/>
  <c r="F576" i="1"/>
  <c r="F922" i="1" s="1"/>
  <c r="F575" i="1"/>
  <c r="F921" i="1" s="1"/>
  <c r="F574" i="1"/>
  <c r="F573" i="1"/>
  <c r="F919" i="1" s="1"/>
  <c r="F572" i="1"/>
  <c r="F918" i="1" s="1"/>
  <c r="F571" i="1"/>
  <c r="F917" i="1" s="1"/>
  <c r="F570" i="1"/>
  <c r="F916" i="1" s="1"/>
  <c r="F569" i="1"/>
  <c r="F568" i="1"/>
  <c r="F914" i="1" s="1"/>
  <c r="F567" i="1"/>
  <c r="F913" i="1" s="1"/>
  <c r="F566" i="1"/>
  <c r="F912" i="1" s="1"/>
  <c r="F565" i="1"/>
  <c r="F911" i="1" s="1"/>
  <c r="F564" i="1"/>
  <c r="F910" i="1" s="1"/>
  <c r="F563" i="1"/>
  <c r="F909" i="1" s="1"/>
  <c r="F562" i="1"/>
  <c r="F908" i="1" s="1"/>
  <c r="F561" i="1"/>
  <c r="F907" i="1" s="1"/>
  <c r="F560" i="1"/>
  <c r="F906" i="1" s="1"/>
  <c r="F559" i="1"/>
  <c r="F905" i="1" s="1"/>
  <c r="F558" i="1"/>
  <c r="F904" i="1" s="1"/>
  <c r="F557" i="1"/>
  <c r="F903" i="1" s="1"/>
  <c r="F556" i="1"/>
  <c r="F902" i="1" s="1"/>
  <c r="F555" i="1"/>
  <c r="F901" i="1" s="1"/>
  <c r="F554" i="1"/>
  <c r="F900" i="1" s="1"/>
  <c r="F553" i="1"/>
  <c r="F552" i="1"/>
  <c r="F898" i="1" s="1"/>
  <c r="F551" i="1"/>
  <c r="F897" i="1" s="1"/>
  <c r="F550" i="1"/>
  <c r="F896" i="1" s="1"/>
  <c r="F549" i="1"/>
  <c r="F895" i="1" s="1"/>
  <c r="F548" i="1"/>
  <c r="F894" i="1" s="1"/>
  <c r="F547" i="1"/>
  <c r="F893" i="1" s="1"/>
  <c r="F546" i="1"/>
  <c r="F892" i="1" s="1"/>
  <c r="F545" i="1"/>
  <c r="F544" i="1"/>
  <c r="F890" i="1" s="1"/>
  <c r="F543" i="1"/>
  <c r="F889" i="1" s="1"/>
  <c r="F542" i="1"/>
  <c r="F541" i="1"/>
  <c r="F887" i="1" s="1"/>
  <c r="F540" i="1"/>
  <c r="F886" i="1" s="1"/>
  <c r="F539" i="1"/>
  <c r="F885" i="1" s="1"/>
  <c r="F538" i="1"/>
  <c r="F884" i="1" s="1"/>
  <c r="F537" i="1"/>
  <c r="F883" i="1" s="1"/>
  <c r="F536" i="1"/>
  <c r="F882" i="1" s="1"/>
  <c r="F535" i="1"/>
  <c r="F881" i="1" s="1"/>
  <c r="F534" i="1"/>
  <c r="F880" i="1" s="1"/>
  <c r="F533" i="1"/>
  <c r="F879" i="1" s="1"/>
  <c r="F532" i="1"/>
  <c r="F878" i="1" s="1"/>
  <c r="F531" i="1"/>
  <c r="F877" i="1" s="1"/>
  <c r="F530" i="1"/>
  <c r="F876" i="1" s="1"/>
  <c r="F529" i="1"/>
  <c r="F875" i="1" s="1"/>
  <c r="F528" i="1"/>
  <c r="F874" i="1" s="1"/>
  <c r="F527" i="1"/>
  <c r="F873" i="1" s="1"/>
  <c r="F526" i="1"/>
  <c r="F872" i="1" s="1"/>
  <c r="F525" i="1"/>
  <c r="F871" i="1" s="1"/>
  <c r="F524" i="1"/>
  <c r="F870" i="1" s="1"/>
  <c r="F523" i="1"/>
  <c r="F869" i="1" s="1"/>
  <c r="F522" i="1"/>
  <c r="F868" i="1" s="1"/>
  <c r="F521" i="1"/>
  <c r="F867" i="1" s="1"/>
  <c r="F520" i="1"/>
  <c r="F866" i="1" s="1"/>
  <c r="F519" i="1"/>
  <c r="F865" i="1" s="1"/>
  <c r="F518" i="1"/>
  <c r="F517" i="1"/>
  <c r="F863" i="1" s="1"/>
  <c r="F516" i="1"/>
  <c r="F862" i="1" s="1"/>
  <c r="F515" i="1"/>
  <c r="F861" i="1" s="1"/>
  <c r="F514" i="1"/>
  <c r="F860" i="1" s="1"/>
  <c r="F513" i="1"/>
  <c r="F859" i="1" s="1"/>
  <c r="F512" i="1"/>
  <c r="F858" i="1" s="1"/>
  <c r="F511" i="1"/>
  <c r="F857" i="1" s="1"/>
  <c r="F510" i="1"/>
  <c r="F856" i="1" s="1"/>
  <c r="F509" i="1"/>
  <c r="F855" i="1" s="1"/>
  <c r="F508" i="1"/>
  <c r="F854" i="1" s="1"/>
  <c r="F507" i="1"/>
  <c r="F853" i="1" s="1"/>
  <c r="F506" i="1"/>
  <c r="F852" i="1" s="1"/>
  <c r="F505" i="1"/>
  <c r="F851" i="1" s="1"/>
  <c r="F504" i="1"/>
  <c r="F850" i="1" s="1"/>
  <c r="F503" i="1"/>
  <c r="F849" i="1" s="1"/>
  <c r="F502" i="1"/>
  <c r="F848" i="1" s="1"/>
  <c r="F501" i="1"/>
  <c r="F847" i="1" s="1"/>
  <c r="F500" i="1"/>
  <c r="F846" i="1" s="1"/>
  <c r="F499" i="1"/>
  <c r="F845" i="1" s="1"/>
  <c r="F498" i="1"/>
  <c r="F844" i="1" s="1"/>
  <c r="F497" i="1"/>
  <c r="F843" i="1" s="1"/>
  <c r="F496" i="1"/>
  <c r="F842" i="1" s="1"/>
  <c r="F495" i="1"/>
  <c r="F841" i="1" s="1"/>
  <c r="F494" i="1"/>
  <c r="F840" i="1" s="1"/>
  <c r="F493" i="1"/>
  <c r="F839" i="1" s="1"/>
  <c r="F492" i="1"/>
  <c r="F838" i="1" s="1"/>
  <c r="F491" i="1"/>
  <c r="F837" i="1" s="1"/>
  <c r="F490" i="1"/>
  <c r="F836" i="1" s="1"/>
  <c r="F489" i="1"/>
  <c r="F835" i="1" s="1"/>
  <c r="F488" i="1"/>
  <c r="F834" i="1" s="1"/>
  <c r="F487" i="1"/>
  <c r="F833" i="1" s="1"/>
  <c r="F486" i="1"/>
  <c r="F832" i="1" s="1"/>
  <c r="F485" i="1"/>
  <c r="F831" i="1" s="1"/>
  <c r="F484" i="1"/>
  <c r="F830" i="1" s="1"/>
  <c r="F483" i="1"/>
  <c r="F829" i="1" s="1"/>
  <c r="F482" i="1"/>
  <c r="F828" i="1" s="1"/>
  <c r="F481" i="1"/>
  <c r="F827" i="1" s="1"/>
  <c r="F480" i="1"/>
  <c r="F479" i="1"/>
  <c r="F825" i="1" s="1"/>
  <c r="F478" i="1"/>
  <c r="F824" i="1" s="1"/>
  <c r="F477" i="1"/>
  <c r="F823" i="1" s="1"/>
  <c r="F476" i="1"/>
  <c r="F822" i="1" s="1"/>
  <c r="F475" i="1"/>
  <c r="F821" i="1" s="1"/>
  <c r="F474" i="1"/>
  <c r="F820" i="1" s="1"/>
  <c r="F473" i="1"/>
  <c r="F472" i="1"/>
  <c r="F471" i="1"/>
  <c r="F817" i="1" s="1"/>
  <c r="F470" i="1"/>
  <c r="F816" i="1" s="1"/>
  <c r="F469" i="1"/>
  <c r="F468" i="1"/>
  <c r="F814" i="1" s="1"/>
  <c r="F467" i="1"/>
  <c r="F813" i="1" s="1"/>
  <c r="F466" i="1"/>
  <c r="F812" i="1" s="1"/>
  <c r="F465" i="1"/>
  <c r="F811" i="1" s="1"/>
  <c r="F464" i="1"/>
  <c r="F810" i="1" s="1"/>
  <c r="F463" i="1"/>
  <c r="F809" i="1" s="1"/>
  <c r="F462" i="1"/>
  <c r="F808" i="1" s="1"/>
  <c r="F461" i="1"/>
  <c r="F807" i="1" s="1"/>
  <c r="F460" i="1"/>
  <c r="F806" i="1" s="1"/>
  <c r="F459" i="1"/>
  <c r="F805" i="1" s="1"/>
  <c r="F458" i="1"/>
  <c r="F804" i="1" s="1"/>
  <c r="F457" i="1"/>
  <c r="F803" i="1" s="1"/>
  <c r="F456" i="1"/>
  <c r="F802" i="1" s="1"/>
  <c r="F455" i="1"/>
  <c r="F801" i="1" s="1"/>
  <c r="F454" i="1"/>
  <c r="F800" i="1" s="1"/>
  <c r="F453" i="1"/>
  <c r="F799" i="1" s="1"/>
  <c r="F452" i="1"/>
  <c r="F798" i="1" s="1"/>
  <c r="F451" i="1"/>
  <c r="F797" i="1" s="1"/>
  <c r="F450" i="1"/>
  <c r="F796" i="1" s="1"/>
  <c r="F449" i="1"/>
  <c r="F448" i="1"/>
  <c r="F794" i="1" s="1"/>
  <c r="F447" i="1"/>
  <c r="F793" i="1" s="1"/>
  <c r="F446" i="1"/>
  <c r="F792" i="1" s="1"/>
  <c r="F445" i="1"/>
  <c r="F791" i="1" s="1"/>
  <c r="F444" i="1"/>
  <c r="F790" i="1" s="1"/>
  <c r="F443" i="1"/>
  <c r="F789" i="1" s="1"/>
  <c r="F442" i="1"/>
  <c r="F788" i="1" s="1"/>
  <c r="F441" i="1"/>
  <c r="F787" i="1" s="1"/>
  <c r="F440" i="1"/>
  <c r="F786" i="1" s="1"/>
  <c r="F439" i="1"/>
  <c r="F785" i="1" s="1"/>
  <c r="F438" i="1"/>
  <c r="F784" i="1" s="1"/>
  <c r="F437" i="1"/>
  <c r="F783" i="1" s="1"/>
  <c r="F436" i="1"/>
  <c r="F782" i="1" s="1"/>
  <c r="F435" i="1"/>
  <c r="F781" i="1" s="1"/>
  <c r="F434" i="1"/>
  <c r="F780" i="1" s="1"/>
  <c r="F433" i="1"/>
  <c r="F779" i="1" s="1"/>
  <c r="F432" i="1"/>
  <c r="F778" i="1" s="1"/>
  <c r="F431" i="1"/>
  <c r="F777" i="1" s="1"/>
  <c r="F430" i="1"/>
  <c r="F776" i="1" s="1"/>
  <c r="F429" i="1"/>
  <c r="F775" i="1" s="1"/>
  <c r="F428" i="1"/>
  <c r="F774" i="1" s="1"/>
  <c r="F427" i="1"/>
  <c r="F773" i="1" s="1"/>
  <c r="F426" i="1"/>
  <c r="F772" i="1" s="1"/>
  <c r="F425" i="1"/>
  <c r="F771" i="1" s="1"/>
  <c r="F424" i="1"/>
  <c r="F770" i="1" s="1"/>
  <c r="F423" i="1"/>
  <c r="F769" i="1" s="1"/>
  <c r="F422" i="1"/>
  <c r="F768" i="1" s="1"/>
  <c r="F421" i="1"/>
  <c r="F767" i="1" s="1"/>
  <c r="F420" i="1"/>
  <c r="F766" i="1" s="1"/>
  <c r="F419" i="1"/>
  <c r="F765" i="1" s="1"/>
  <c r="F418" i="1"/>
  <c r="F764" i="1" s="1"/>
  <c r="F417" i="1"/>
  <c r="F763" i="1" s="1"/>
  <c r="F416" i="1"/>
  <c r="F762" i="1" s="1"/>
  <c r="F415" i="1"/>
  <c r="F761" i="1" s="1"/>
  <c r="F414" i="1"/>
  <c r="F760" i="1" s="1"/>
  <c r="F413" i="1"/>
  <c r="F759" i="1" s="1"/>
  <c r="F412" i="1"/>
  <c r="F758" i="1" s="1"/>
  <c r="F411" i="1"/>
  <c r="F757" i="1" s="1"/>
  <c r="F410" i="1"/>
  <c r="F756" i="1" s="1"/>
  <c r="F409" i="1"/>
  <c r="F408" i="1"/>
  <c r="F754" i="1" s="1"/>
  <c r="F407" i="1"/>
  <c r="F753" i="1" s="1"/>
  <c r="F406" i="1"/>
  <c r="F752" i="1" s="1"/>
  <c r="F385" i="1"/>
  <c r="F374" i="1"/>
  <c r="F363" i="1"/>
  <c r="F709" i="1" s="1"/>
  <c r="F357" i="1"/>
  <c r="F703" i="1" s="1"/>
  <c r="F351" i="1"/>
  <c r="F697" i="1" s="1"/>
  <c r="F1011" i="1"/>
  <c r="F1010" i="1"/>
  <c r="F998" i="1"/>
  <c r="F997" i="1"/>
  <c r="F946" i="1"/>
  <c r="F915" i="1"/>
  <c r="F891" i="1"/>
  <c r="F826" i="1"/>
  <c r="F819" i="1"/>
  <c r="F818" i="1"/>
  <c r="F795" i="1"/>
  <c r="F346" i="1" a="1"/>
  <c r="F346" i="1" s="1"/>
  <c r="F345" i="1" a="1"/>
  <c r="F345" i="1" s="1"/>
  <c r="F344" i="1" a="1"/>
  <c r="F344" i="1" s="1"/>
  <c r="F343" i="1" a="1"/>
  <c r="F343" i="1" s="1"/>
  <c r="F342" i="1" a="1"/>
  <c r="F342" i="1" s="1"/>
  <c r="F341" i="1" a="1"/>
  <c r="F341" i="1" s="1"/>
  <c r="F340" i="1" a="1"/>
  <c r="F340" i="1" s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 a="1"/>
  <c r="F319" i="1" s="1"/>
  <c r="F318" i="1"/>
  <c r="F317" i="1"/>
  <c r="F316" i="1"/>
  <c r="F315" i="1"/>
  <c r="F314" i="1"/>
  <c r="F313" i="1"/>
  <c r="F312" i="1"/>
  <c r="F311" i="1"/>
  <c r="F310" i="1"/>
  <c r="F309" i="1"/>
  <c r="F308" i="1" a="1"/>
  <c r="F308" i="1" s="1"/>
  <c r="F307" i="1"/>
  <c r="F306" i="1"/>
  <c r="F305" i="1"/>
  <c r="F304" i="1"/>
  <c r="F303" i="1"/>
  <c r="F302" i="1"/>
  <c r="F301" i="1"/>
  <c r="F300" i="1"/>
  <c r="F299" i="1"/>
  <c r="F298" i="1"/>
  <c r="F297" i="1" a="1"/>
  <c r="F297" i="1" s="1"/>
  <c r="F296" i="1"/>
  <c r="F295" i="1"/>
  <c r="F294" i="1"/>
  <c r="F293" i="1"/>
  <c r="F292" i="1"/>
  <c r="F291" i="1" a="1"/>
  <c r="F291" i="1" s="1"/>
  <c r="F290" i="1"/>
  <c r="F289" i="1"/>
  <c r="F288" i="1"/>
  <c r="F287" i="1"/>
  <c r="F286" i="1"/>
  <c r="F285" i="1" a="1"/>
  <c r="F285" i="1" s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 a="1"/>
  <c r="F263" i="1" s="1"/>
  <c r="F262" i="1"/>
  <c r="F261" i="1"/>
  <c r="F260" i="1"/>
  <c r="F259" i="1"/>
  <c r="F258" i="1"/>
  <c r="F257" i="1"/>
  <c r="F256" i="1"/>
  <c r="F255" i="1"/>
  <c r="F254" i="1"/>
  <c r="F253" i="1"/>
  <c r="F252" i="1" a="1"/>
  <c r="F252" i="1" s="1"/>
  <c r="F251" i="1"/>
  <c r="F250" i="1"/>
  <c r="F249" i="1"/>
  <c r="F248" i="1"/>
  <c r="F247" i="1"/>
  <c r="F246" i="1"/>
  <c r="F245" i="1"/>
  <c r="F244" i="1"/>
  <c r="F243" i="1"/>
  <c r="F242" i="1"/>
  <c r="F241" i="1" a="1"/>
  <c r="F241" i="1" s="1"/>
  <c r="F240" i="1"/>
  <c r="F239" i="1"/>
  <c r="F238" i="1"/>
  <c r="F237" i="1"/>
  <c r="F236" i="1"/>
  <c r="F235" i="1" a="1"/>
  <c r="F235" i="1" s="1"/>
  <c r="F234" i="1"/>
  <c r="F233" i="1"/>
  <c r="F232" i="1"/>
  <c r="F231" i="1"/>
  <c r="F230" i="1"/>
  <c r="F229" i="1" a="1"/>
  <c r="F229" i="1" s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 a="1"/>
  <c r="F207" i="1" s="1"/>
  <c r="F206" i="1"/>
  <c r="F205" i="1"/>
  <c r="F204" i="1"/>
  <c r="F203" i="1"/>
  <c r="F202" i="1"/>
  <c r="F201" i="1"/>
  <c r="F200" i="1"/>
  <c r="F199" i="1"/>
  <c r="F198" i="1"/>
  <c r="F197" i="1"/>
  <c r="F196" i="1" a="1"/>
  <c r="F196" i="1" s="1"/>
  <c r="F195" i="1"/>
  <c r="F194" i="1"/>
  <c r="F193" i="1"/>
  <c r="F192" i="1"/>
  <c r="F191" i="1"/>
  <c r="F190" i="1"/>
  <c r="F189" i="1"/>
  <c r="F188" i="1"/>
  <c r="F187" i="1"/>
  <c r="F186" i="1"/>
  <c r="F185" i="1" a="1"/>
  <c r="F185" i="1" s="1"/>
  <c r="F184" i="1"/>
  <c r="F183" i="1"/>
  <c r="F182" i="1"/>
  <c r="F181" i="1"/>
  <c r="F180" i="1"/>
  <c r="F179" i="1" a="1"/>
  <c r="F179" i="1" s="1"/>
  <c r="F178" i="1"/>
  <c r="F177" i="1"/>
  <c r="F176" i="1"/>
  <c r="F175" i="1"/>
  <c r="F174" i="1"/>
  <c r="F173" i="1" a="1"/>
  <c r="F173" i="1" s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 a="1"/>
  <c r="F151" i="1" s="1"/>
  <c r="F150" i="1"/>
  <c r="F149" i="1"/>
  <c r="F148" i="1"/>
  <c r="F147" i="1"/>
  <c r="F146" i="1"/>
  <c r="F145" i="1"/>
  <c r="F144" i="1"/>
  <c r="F143" i="1"/>
  <c r="F142" i="1"/>
  <c r="F141" i="1"/>
  <c r="F140" i="1" a="1"/>
  <c r="F140" i="1" s="1"/>
  <c r="F139" i="1"/>
  <c r="F138" i="1"/>
  <c r="F137" i="1"/>
  <c r="F136" i="1"/>
  <c r="F135" i="1"/>
  <c r="F134" i="1"/>
  <c r="F133" i="1"/>
  <c r="F132" i="1"/>
  <c r="F131" i="1"/>
  <c r="F130" i="1"/>
  <c r="F129" i="1" a="1"/>
  <c r="F129" i="1" s="1"/>
  <c r="F128" i="1"/>
  <c r="F127" i="1"/>
  <c r="F126" i="1"/>
  <c r="F125" i="1"/>
  <c r="F124" i="1"/>
  <c r="F123" i="1" a="1"/>
  <c r="F123" i="1" s="1"/>
  <c r="F122" i="1"/>
  <c r="F121" i="1"/>
  <c r="F120" i="1"/>
  <c r="F119" i="1"/>
  <c r="F118" i="1"/>
  <c r="F117" i="1" a="1"/>
  <c r="F117" i="1" s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 a="1"/>
  <c r="F95" i="1" s="1"/>
  <c r="F94" i="1"/>
  <c r="F93" i="1"/>
  <c r="F92" i="1"/>
  <c r="F91" i="1"/>
  <c r="F90" i="1"/>
  <c r="F89" i="1"/>
  <c r="F88" i="1"/>
  <c r="F87" i="1"/>
  <c r="F86" i="1"/>
  <c r="F85" i="1"/>
  <c r="F84" i="1" a="1"/>
  <c r="F84" i="1" s="1"/>
  <c r="F83" i="1"/>
  <c r="F82" i="1"/>
  <c r="F81" i="1"/>
  <c r="F80" i="1"/>
  <c r="F79" i="1"/>
  <c r="F78" i="1"/>
  <c r="F77" i="1"/>
  <c r="F76" i="1"/>
  <c r="F75" i="1"/>
  <c r="F74" i="1"/>
  <c r="F73" i="1" a="1"/>
  <c r="F73" i="1" s="1"/>
  <c r="F72" i="1"/>
  <c r="F71" i="1"/>
  <c r="F70" i="1"/>
  <c r="F69" i="1"/>
  <c r="F68" i="1"/>
  <c r="F67" i="1" a="1"/>
  <c r="F67" i="1" s="1"/>
  <c r="F66" i="1"/>
  <c r="F65" i="1"/>
  <c r="F64" i="1"/>
  <c r="F63" i="1"/>
  <c r="F62" i="1"/>
  <c r="F61" i="1" a="1"/>
  <c r="F61" i="1" s="1"/>
  <c r="F60" i="1"/>
  <c r="F39" i="1" a="1"/>
  <c r="F39" i="1" s="1"/>
  <c r="F28" i="1" a="1"/>
  <c r="F28" i="1" s="1"/>
  <c r="F17" i="1" a="1"/>
  <c r="F17" i="1" s="1"/>
  <c r="F11" i="1" a="1"/>
  <c r="F11" i="1" s="1"/>
  <c r="F5" i="1" a="1"/>
  <c r="F5" i="1" s="1"/>
  <c r="X67" i="1" l="1"/>
  <c r="X185" i="1"/>
  <c r="X196" i="1"/>
  <c r="X241" i="1"/>
  <c r="X123" i="1"/>
  <c r="X173" i="1"/>
  <c r="Y687" i="1"/>
  <c r="F1035" i="1"/>
  <c r="X689" i="1"/>
  <c r="G1034" i="1"/>
  <c r="Y688" i="1"/>
  <c r="F1036" i="1"/>
  <c r="X690" i="1"/>
  <c r="Y84" i="1"/>
  <c r="Y179" i="1"/>
  <c r="G1035" i="1"/>
  <c r="Y689" i="1"/>
  <c r="F1034" i="1"/>
  <c r="X688" i="1"/>
  <c r="G1036" i="1"/>
  <c r="Y690" i="1"/>
  <c r="F1033" i="1"/>
  <c r="X687" i="1"/>
  <c r="Y61" i="1"/>
  <c r="Y73" i="1"/>
  <c r="X61" i="1"/>
  <c r="X406" i="1"/>
  <c r="X60" i="1"/>
  <c r="X235" i="1"/>
  <c r="X207" i="1"/>
  <c r="X73" i="1"/>
  <c r="X297" i="1"/>
  <c r="Y67" i="1"/>
  <c r="Y185" i="1"/>
  <c r="X84" i="1"/>
  <c r="Y28" i="1"/>
  <c r="X308" i="1"/>
  <c r="Y241" i="1"/>
  <c r="X117" i="1"/>
  <c r="X263" i="1"/>
  <c r="X252" i="1"/>
  <c r="N63" i="2"/>
  <c r="Y140" i="1"/>
  <c r="Y39" i="1"/>
  <c r="Y17" i="1"/>
  <c r="Y95" i="1"/>
  <c r="Y297" i="1"/>
  <c r="Y11" i="1"/>
  <c r="Y172" i="1"/>
  <c r="Y252" i="1"/>
  <c r="Y308" i="1"/>
  <c r="Y340" i="1"/>
  <c r="Y291" i="1"/>
  <c r="Y60" i="1"/>
  <c r="Y4" i="1"/>
  <c r="Y117" i="1"/>
  <c r="Y151" i="1"/>
  <c r="Y5" i="1"/>
  <c r="Y319" i="1"/>
  <c r="Y173" i="1"/>
  <c r="Y196" i="1"/>
  <c r="Y207" i="1"/>
  <c r="Y229" i="1"/>
  <c r="Y129" i="1"/>
  <c r="Y263" i="1"/>
  <c r="Y574" i="1"/>
  <c r="X631" i="1"/>
  <c r="X574" i="1"/>
  <c r="X531" i="1"/>
  <c r="X413" i="1"/>
  <c r="X542" i="1"/>
  <c r="F920" i="1"/>
  <c r="X630" i="1"/>
  <c r="X581" i="1"/>
  <c r="G864" i="1"/>
  <c r="Y518" i="1"/>
  <c r="X172" i="1"/>
  <c r="F899" i="1"/>
  <c r="X553" i="1"/>
  <c r="F935" i="1"/>
  <c r="X587" i="1"/>
  <c r="X609" i="1"/>
  <c r="F959" i="1"/>
  <c r="X525" i="1"/>
  <c r="F720" i="1"/>
  <c r="X518" i="1"/>
  <c r="F864" i="1"/>
  <c r="F1032" i="1" a="1"/>
  <c r="F1032" i="1" s="1"/>
  <c r="X686" i="1"/>
  <c r="X419" i="1"/>
  <c r="X284" i="1"/>
  <c r="X291" i="1"/>
  <c r="F888" i="1"/>
  <c r="X151" i="1"/>
  <c r="X340" i="1"/>
  <c r="F983" i="1"/>
  <c r="X116" i="1"/>
  <c r="X140" i="1"/>
  <c r="X665" i="1"/>
  <c r="X129" i="1"/>
  <c r="X462" i="1"/>
  <c r="X486" i="1"/>
  <c r="X654" i="1"/>
  <c r="X319" i="1"/>
  <c r="X475" i="1"/>
  <c r="X95" i="1"/>
  <c r="X179" i="1"/>
  <c r="X407" i="1"/>
  <c r="F755" i="1"/>
  <c r="X598" i="1"/>
  <c r="F947" i="1"/>
  <c r="X441" i="1"/>
  <c r="X643" i="1"/>
  <c r="X229" i="1"/>
  <c r="X430" i="1"/>
  <c r="X637" i="1"/>
  <c r="F731" i="1"/>
  <c r="F815" i="1"/>
  <c r="X469" i="1"/>
  <c r="X228" i="1"/>
  <c r="X285" i="1"/>
  <c r="X519" i="1"/>
  <c r="Y686" i="1"/>
  <c r="Y542" i="1"/>
  <c r="Y637" i="1"/>
  <c r="Y463" i="1"/>
  <c r="Y531" i="1"/>
  <c r="Y581" i="1"/>
  <c r="Y654" i="1"/>
  <c r="X575" i="1"/>
  <c r="X463" i="1"/>
  <c r="X497" i="1"/>
  <c r="Y486" i="1"/>
  <c r="Y475" i="1"/>
  <c r="Y525" i="1"/>
  <c r="Y598" i="1"/>
  <c r="Y643" i="1"/>
  <c r="O63" i="2"/>
  <c r="D7" i="2" s="1"/>
  <c r="N68" i="2"/>
  <c r="O68" i="2"/>
  <c r="D6" i="2" s="1"/>
  <c r="Y462" i="1"/>
  <c r="Y631" i="1"/>
  <c r="G810" i="1"/>
  <c r="G826" i="1"/>
  <c r="G874" i="1"/>
  <c r="G882" i="1"/>
  <c r="G890" i="1"/>
  <c r="G930" i="1"/>
  <c r="G946" i="1"/>
  <c r="G986" i="1"/>
  <c r="G994" i="1"/>
  <c r="G1002" i="1"/>
  <c r="G1033" i="1"/>
  <c r="Y413" i="1"/>
  <c r="Y430" i="1"/>
  <c r="Y406" i="1"/>
  <c r="Y284" i="1"/>
  <c r="Y285" i="1"/>
  <c r="Y235" i="1"/>
  <c r="Y228" i="1"/>
  <c r="Y123" i="1"/>
  <c r="Y116" i="1"/>
  <c r="Y469" i="1"/>
  <c r="Y665" i="1"/>
  <c r="Y587" i="1"/>
  <c r="Y553" i="1"/>
  <c r="Y519" i="1"/>
  <c r="Y441" i="1"/>
  <c r="Y407" i="1"/>
  <c r="Y630" i="1"/>
  <c r="Y609" i="1"/>
  <c r="Y575" i="1"/>
  <c r="Y497" i="1"/>
  <c r="Y419" i="1"/>
  <c r="E7" i="2" l="1"/>
  <c r="E6" i="2"/>
  <c r="M73" i="2"/>
  <c r="L73" i="2" a="1"/>
  <c r="L73" i="2" s="1"/>
  <c r="C5" i="2" s="1"/>
  <c r="H73" i="2"/>
  <c r="K73" i="2"/>
  <c r="J73" i="2"/>
  <c r="B5" i="2" s="1"/>
  <c r="E692" i="1" a="1"/>
  <c r="E692" i="1" s="1"/>
  <c r="E1038" i="1" s="1" a="1"/>
  <c r="E1038" i="1" s="1"/>
  <c r="E691" i="1"/>
  <c r="E1037" i="1" s="1"/>
  <c r="E690" i="1"/>
  <c r="E689" i="1"/>
  <c r="E688" i="1"/>
  <c r="E687" i="1"/>
  <c r="E686" i="1" a="1"/>
  <c r="E686" i="1" s="1"/>
  <c r="E685" i="1"/>
  <c r="E684" i="1"/>
  <c r="E1030" i="1" s="1"/>
  <c r="E683" i="1"/>
  <c r="E1029" i="1" s="1"/>
  <c r="E682" i="1"/>
  <c r="E1028" i="1" s="1"/>
  <c r="E681" i="1"/>
  <c r="E1027" i="1" s="1"/>
  <c r="E680" i="1"/>
  <c r="E1026" i="1" s="1"/>
  <c r="E679" i="1"/>
  <c r="E1025" i="1" s="1"/>
  <c r="E678" i="1"/>
  <c r="E1024" i="1" s="1"/>
  <c r="E677" i="1"/>
  <c r="E1023" i="1" s="1"/>
  <c r="E676" i="1"/>
  <c r="E1022" i="1" s="1"/>
  <c r="E675" i="1"/>
  <c r="E1021" i="1" s="1"/>
  <c r="E674" i="1"/>
  <c r="E1020" i="1" s="1"/>
  <c r="E673" i="1"/>
  <c r="E1019" i="1" s="1"/>
  <c r="E672" i="1"/>
  <c r="E1018" i="1" s="1"/>
  <c r="E671" i="1"/>
  <c r="E1017" i="1" s="1"/>
  <c r="E670" i="1"/>
  <c r="E1016" i="1" s="1"/>
  <c r="E669" i="1"/>
  <c r="E1015" i="1" s="1"/>
  <c r="E668" i="1"/>
  <c r="E1014" i="1" s="1"/>
  <c r="E667" i="1"/>
  <c r="E1013" i="1" s="1"/>
  <c r="E666" i="1"/>
  <c r="E1012" i="1" s="1"/>
  <c r="E665" i="1"/>
  <c r="E1011" i="1" s="1"/>
  <c r="E664" i="1"/>
  <c r="E1010" i="1" s="1"/>
  <c r="E663" i="1"/>
  <c r="E1009" i="1" s="1"/>
  <c r="E662" i="1"/>
  <c r="E1008" i="1" s="1"/>
  <c r="E661" i="1"/>
  <c r="E1007" i="1" s="1"/>
  <c r="E660" i="1"/>
  <c r="E1006" i="1" s="1"/>
  <c r="E659" i="1"/>
  <c r="E1005" i="1" s="1"/>
  <c r="E658" i="1"/>
  <c r="E1004" i="1" s="1"/>
  <c r="E657" i="1"/>
  <c r="E1003" i="1" s="1"/>
  <c r="E656" i="1"/>
  <c r="E1002" i="1" s="1"/>
  <c r="E655" i="1"/>
  <c r="E1001" i="1" s="1"/>
  <c r="E654" i="1"/>
  <c r="E1000" i="1" s="1"/>
  <c r="E653" i="1"/>
  <c r="E999" i="1" s="1"/>
  <c r="E652" i="1"/>
  <c r="E998" i="1" s="1"/>
  <c r="E651" i="1"/>
  <c r="E997" i="1" s="1"/>
  <c r="E650" i="1"/>
  <c r="E649" i="1"/>
  <c r="E995" i="1" s="1"/>
  <c r="E648" i="1"/>
  <c r="E647" i="1"/>
  <c r="E993" i="1" s="1"/>
  <c r="E646" i="1"/>
  <c r="E992" i="1" s="1"/>
  <c r="E645" i="1"/>
  <c r="E991" i="1" s="1"/>
  <c r="E644" i="1"/>
  <c r="E990" i="1" s="1"/>
  <c r="E643" i="1"/>
  <c r="E989" i="1" s="1"/>
  <c r="E642" i="1"/>
  <c r="E988" i="1" s="1"/>
  <c r="E641" i="1"/>
  <c r="E987" i="1" s="1"/>
  <c r="E640" i="1"/>
  <c r="E986" i="1" s="1"/>
  <c r="E639" i="1"/>
  <c r="E985" i="1" s="1"/>
  <c r="E638" i="1"/>
  <c r="E637" i="1"/>
  <c r="E983" i="1" s="1"/>
  <c r="E636" i="1"/>
  <c r="E982" i="1" s="1"/>
  <c r="E635" i="1"/>
  <c r="E634" i="1"/>
  <c r="E633" i="1"/>
  <c r="E979" i="1" s="1"/>
  <c r="E632" i="1"/>
  <c r="E978" i="1" s="1"/>
  <c r="E631" i="1"/>
  <c r="E977" i="1" s="1"/>
  <c r="E630" i="1"/>
  <c r="E629" i="1"/>
  <c r="E975" i="1" s="1"/>
  <c r="E628" i="1"/>
  <c r="E974" i="1" s="1"/>
  <c r="E627" i="1"/>
  <c r="E973" i="1" s="1"/>
  <c r="E626" i="1"/>
  <c r="E972" i="1" s="1"/>
  <c r="E625" i="1"/>
  <c r="E971" i="1" s="1"/>
  <c r="E624" i="1"/>
  <c r="E970" i="1" s="1"/>
  <c r="E623" i="1"/>
  <c r="E969" i="1" s="1"/>
  <c r="E622" i="1"/>
  <c r="E968" i="1" s="1"/>
  <c r="E621" i="1"/>
  <c r="E967" i="1" s="1"/>
  <c r="E620" i="1"/>
  <c r="E966" i="1" s="1"/>
  <c r="E619" i="1"/>
  <c r="E965" i="1" s="1"/>
  <c r="E618" i="1"/>
  <c r="E964" i="1" s="1"/>
  <c r="E617" i="1"/>
  <c r="E963" i="1" s="1"/>
  <c r="E616" i="1"/>
  <c r="E962" i="1" s="1"/>
  <c r="E615" i="1"/>
  <c r="E961" i="1" s="1"/>
  <c r="E614" i="1"/>
  <c r="E960" i="1" s="1"/>
  <c r="E613" i="1"/>
  <c r="E612" i="1"/>
  <c r="E958" i="1" s="1"/>
  <c r="E611" i="1"/>
  <c r="E957" i="1" s="1"/>
  <c r="E610" i="1"/>
  <c r="E956" i="1" s="1"/>
  <c r="E609" i="1"/>
  <c r="E955" i="1" s="1"/>
  <c r="E608" i="1"/>
  <c r="E954" i="1" s="1"/>
  <c r="E607" i="1"/>
  <c r="E953" i="1" s="1"/>
  <c r="E606" i="1"/>
  <c r="E952" i="1" s="1"/>
  <c r="E605" i="1"/>
  <c r="E951" i="1" s="1"/>
  <c r="E604" i="1"/>
  <c r="E950" i="1" s="1"/>
  <c r="E603" i="1"/>
  <c r="E949" i="1" s="1"/>
  <c r="E602" i="1"/>
  <c r="E601" i="1"/>
  <c r="E947" i="1" s="1"/>
  <c r="E600" i="1"/>
  <c r="E599" i="1"/>
  <c r="E945" i="1" s="1"/>
  <c r="E598" i="1"/>
  <c r="E944" i="1" s="1"/>
  <c r="E597" i="1"/>
  <c r="E943" i="1" s="1"/>
  <c r="E596" i="1"/>
  <c r="E942" i="1" s="1"/>
  <c r="E595" i="1"/>
  <c r="E941" i="1" s="1"/>
  <c r="E594" i="1"/>
  <c r="E940" i="1" s="1"/>
  <c r="E593" i="1"/>
  <c r="E939" i="1" s="1"/>
  <c r="E592" i="1"/>
  <c r="E938" i="1" s="1"/>
  <c r="E591" i="1"/>
  <c r="E937" i="1" s="1"/>
  <c r="E590" i="1"/>
  <c r="E936" i="1" s="1"/>
  <c r="E589" i="1"/>
  <c r="E588" i="1"/>
  <c r="E587" i="1"/>
  <c r="E933" i="1" s="1"/>
  <c r="E586" i="1"/>
  <c r="E932" i="1" s="1"/>
  <c r="E585" i="1"/>
  <c r="E931" i="1" s="1"/>
  <c r="E584" i="1"/>
  <c r="E930" i="1" s="1"/>
  <c r="E583" i="1"/>
  <c r="E929" i="1" s="1"/>
  <c r="E582" i="1"/>
  <c r="E928" i="1" s="1"/>
  <c r="E581" i="1"/>
  <c r="E580" i="1"/>
  <c r="E926" i="1" s="1"/>
  <c r="E579" i="1"/>
  <c r="E925" i="1" s="1"/>
  <c r="E578" i="1"/>
  <c r="E924" i="1" s="1"/>
  <c r="E577" i="1"/>
  <c r="E923" i="1" s="1"/>
  <c r="E576" i="1"/>
  <c r="E922" i="1" s="1"/>
  <c r="E575" i="1"/>
  <c r="E921" i="1" s="1"/>
  <c r="E574" i="1"/>
  <c r="E920" i="1" s="1"/>
  <c r="E573" i="1"/>
  <c r="E919" i="1" s="1"/>
  <c r="E572" i="1"/>
  <c r="E918" i="1" s="1"/>
  <c r="E571" i="1"/>
  <c r="E917" i="1" s="1"/>
  <c r="E570" i="1"/>
  <c r="E916" i="1" s="1"/>
  <c r="E569" i="1"/>
  <c r="E915" i="1" s="1"/>
  <c r="E568" i="1"/>
  <c r="E914" i="1" s="1"/>
  <c r="E567" i="1"/>
  <c r="E913" i="1" s="1"/>
  <c r="E566" i="1"/>
  <c r="E565" i="1"/>
  <c r="E911" i="1" s="1"/>
  <c r="E564" i="1"/>
  <c r="E910" i="1" s="1"/>
  <c r="E563" i="1"/>
  <c r="E909" i="1" s="1"/>
  <c r="E562" i="1"/>
  <c r="E908" i="1" s="1"/>
  <c r="E561" i="1"/>
  <c r="E907" i="1" s="1"/>
  <c r="E560" i="1"/>
  <c r="E906" i="1" s="1"/>
  <c r="E559" i="1"/>
  <c r="E905" i="1" s="1"/>
  <c r="E558" i="1"/>
  <c r="E904" i="1" s="1"/>
  <c r="E557" i="1"/>
  <c r="E903" i="1" s="1"/>
  <c r="E556" i="1"/>
  <c r="E902" i="1" s="1"/>
  <c r="E555" i="1"/>
  <c r="E901" i="1" s="1"/>
  <c r="E554" i="1"/>
  <c r="E553" i="1"/>
  <c r="E899" i="1" s="1"/>
  <c r="E552" i="1"/>
  <c r="E551" i="1"/>
  <c r="E897" i="1" s="1"/>
  <c r="E550" i="1"/>
  <c r="E896" i="1" s="1"/>
  <c r="E549" i="1"/>
  <c r="E895" i="1" s="1"/>
  <c r="E548" i="1"/>
  <c r="E894" i="1" s="1"/>
  <c r="E547" i="1"/>
  <c r="E893" i="1" s="1"/>
  <c r="E546" i="1"/>
  <c r="E892" i="1" s="1"/>
  <c r="E545" i="1"/>
  <c r="E891" i="1" s="1"/>
  <c r="E544" i="1"/>
  <c r="E890" i="1" s="1"/>
  <c r="E543" i="1"/>
  <c r="E889" i="1" s="1"/>
  <c r="E542" i="1"/>
  <c r="E888" i="1" s="1"/>
  <c r="E541" i="1"/>
  <c r="E540" i="1"/>
  <c r="E886" i="1" s="1"/>
  <c r="E539" i="1"/>
  <c r="E885" i="1" s="1"/>
  <c r="E538" i="1"/>
  <c r="E884" i="1" s="1"/>
  <c r="E537" i="1"/>
  <c r="E883" i="1" s="1"/>
  <c r="E536" i="1"/>
  <c r="E882" i="1" s="1"/>
  <c r="E535" i="1"/>
  <c r="E881" i="1" s="1"/>
  <c r="E534" i="1"/>
  <c r="E880" i="1" s="1"/>
  <c r="E533" i="1"/>
  <c r="E879" i="1" s="1"/>
  <c r="E532" i="1"/>
  <c r="E878" i="1" s="1"/>
  <c r="E531" i="1"/>
  <c r="E530" i="1"/>
  <c r="E876" i="1" s="1"/>
  <c r="E529" i="1"/>
  <c r="E875" i="1" s="1"/>
  <c r="E528" i="1"/>
  <c r="E874" i="1" s="1"/>
  <c r="E527" i="1"/>
  <c r="E873" i="1" s="1"/>
  <c r="E526" i="1"/>
  <c r="E872" i="1" s="1"/>
  <c r="E525" i="1"/>
  <c r="E524" i="1"/>
  <c r="E870" i="1" s="1"/>
  <c r="E523" i="1"/>
  <c r="E869" i="1" s="1"/>
  <c r="E522" i="1"/>
  <c r="E868" i="1" s="1"/>
  <c r="E521" i="1"/>
  <c r="E867" i="1" s="1"/>
  <c r="E520" i="1"/>
  <c r="E866" i="1" s="1"/>
  <c r="E519" i="1"/>
  <c r="E865" i="1" s="1"/>
  <c r="E518" i="1"/>
  <c r="E517" i="1"/>
  <c r="E863" i="1" s="1"/>
  <c r="E516" i="1"/>
  <c r="E862" i="1" s="1"/>
  <c r="E515" i="1"/>
  <c r="E861" i="1" s="1"/>
  <c r="E514" i="1"/>
  <c r="E860" i="1" s="1"/>
  <c r="E513" i="1"/>
  <c r="E859" i="1" s="1"/>
  <c r="E512" i="1"/>
  <c r="E858" i="1" s="1"/>
  <c r="E511" i="1"/>
  <c r="E857" i="1" s="1"/>
  <c r="E510" i="1"/>
  <c r="E856" i="1" s="1"/>
  <c r="E509" i="1"/>
  <c r="E855" i="1" s="1"/>
  <c r="E508" i="1"/>
  <c r="E854" i="1" s="1"/>
  <c r="E507" i="1"/>
  <c r="E853" i="1" s="1"/>
  <c r="E506" i="1"/>
  <c r="E852" i="1" s="1"/>
  <c r="E505" i="1"/>
  <c r="E851" i="1" s="1"/>
  <c r="E504" i="1"/>
  <c r="E503" i="1"/>
  <c r="E849" i="1" s="1"/>
  <c r="E502" i="1"/>
  <c r="E848" i="1" s="1"/>
  <c r="E501" i="1"/>
  <c r="E847" i="1" s="1"/>
  <c r="E500" i="1"/>
  <c r="E846" i="1" s="1"/>
  <c r="E499" i="1"/>
  <c r="E845" i="1" s="1"/>
  <c r="E498" i="1"/>
  <c r="E844" i="1" s="1"/>
  <c r="E497" i="1"/>
  <c r="E843" i="1" s="1"/>
  <c r="E496" i="1"/>
  <c r="E842" i="1" s="1"/>
  <c r="E495" i="1"/>
  <c r="E841" i="1" s="1"/>
  <c r="E494" i="1"/>
  <c r="E840" i="1" s="1"/>
  <c r="E493" i="1"/>
  <c r="E492" i="1"/>
  <c r="E838" i="1" s="1"/>
  <c r="E491" i="1"/>
  <c r="E490" i="1"/>
  <c r="E836" i="1" s="1"/>
  <c r="E489" i="1"/>
  <c r="E835" i="1" s="1"/>
  <c r="E488" i="1"/>
  <c r="E834" i="1" s="1"/>
  <c r="E487" i="1"/>
  <c r="E833" i="1" s="1"/>
  <c r="E486" i="1"/>
  <c r="E832" i="1" s="1"/>
  <c r="E485" i="1"/>
  <c r="E831" i="1" s="1"/>
  <c r="E484" i="1"/>
  <c r="E830" i="1" s="1"/>
  <c r="E483" i="1"/>
  <c r="E829" i="1" s="1"/>
  <c r="E482" i="1"/>
  <c r="E828" i="1" s="1"/>
  <c r="E481" i="1"/>
  <c r="E827" i="1" s="1"/>
  <c r="E480" i="1"/>
  <c r="E479" i="1"/>
  <c r="E825" i="1" s="1"/>
  <c r="E478" i="1"/>
  <c r="E824" i="1" s="1"/>
  <c r="E477" i="1"/>
  <c r="E823" i="1" s="1"/>
  <c r="E476" i="1"/>
  <c r="E822" i="1" s="1"/>
  <c r="E475" i="1"/>
  <c r="E821" i="1" s="1"/>
  <c r="E474" i="1"/>
  <c r="E820" i="1" s="1"/>
  <c r="E473" i="1"/>
  <c r="E819" i="1" s="1"/>
  <c r="E472" i="1"/>
  <c r="E818" i="1" s="1"/>
  <c r="E471" i="1"/>
  <c r="E817" i="1" s="1"/>
  <c r="E470" i="1"/>
  <c r="E469" i="1"/>
  <c r="E815" i="1" s="1"/>
  <c r="E468" i="1"/>
  <c r="E814" i="1" s="1"/>
  <c r="E467" i="1"/>
  <c r="E813" i="1" s="1"/>
  <c r="E466" i="1"/>
  <c r="E812" i="1" s="1"/>
  <c r="E465" i="1"/>
  <c r="E811" i="1" s="1"/>
  <c r="E464" i="1"/>
  <c r="E810" i="1" s="1"/>
  <c r="E463" i="1"/>
  <c r="E809" i="1" s="1"/>
  <c r="E462" i="1"/>
  <c r="E808" i="1" s="1"/>
  <c r="E461" i="1"/>
  <c r="E807" i="1" s="1"/>
  <c r="E460" i="1"/>
  <c r="E806" i="1" s="1"/>
  <c r="E459" i="1"/>
  <c r="E805" i="1" s="1"/>
  <c r="E458" i="1"/>
  <c r="E457" i="1"/>
  <c r="E803" i="1" s="1"/>
  <c r="E456" i="1"/>
  <c r="E802" i="1" s="1"/>
  <c r="E455" i="1"/>
  <c r="E801" i="1" s="1"/>
  <c r="E454" i="1"/>
  <c r="E800" i="1" s="1"/>
  <c r="E453" i="1"/>
  <c r="E799" i="1" s="1"/>
  <c r="E452" i="1"/>
  <c r="E798" i="1" s="1"/>
  <c r="E451" i="1"/>
  <c r="E797" i="1" s="1"/>
  <c r="E450" i="1"/>
  <c r="E796" i="1" s="1"/>
  <c r="E449" i="1"/>
  <c r="E795" i="1" s="1"/>
  <c r="E448" i="1"/>
  <c r="E794" i="1" s="1"/>
  <c r="E447" i="1"/>
  <c r="E793" i="1" s="1"/>
  <c r="E446" i="1"/>
  <c r="E792" i="1" s="1"/>
  <c r="E445" i="1"/>
  <c r="E791" i="1" s="1"/>
  <c r="E444" i="1"/>
  <c r="E790" i="1" s="1"/>
  <c r="E443" i="1"/>
  <c r="E789" i="1" s="1"/>
  <c r="E442" i="1"/>
  <c r="E788" i="1" s="1"/>
  <c r="E441" i="1"/>
  <c r="E787" i="1" s="1"/>
  <c r="E440" i="1"/>
  <c r="E786" i="1" s="1"/>
  <c r="E439" i="1"/>
  <c r="E785" i="1" s="1"/>
  <c r="E438" i="1"/>
  <c r="E784" i="1" s="1"/>
  <c r="E437" i="1"/>
  <c r="E783" i="1" s="1"/>
  <c r="E436" i="1"/>
  <c r="E782" i="1" s="1"/>
  <c r="E435" i="1"/>
  <c r="E781" i="1" s="1"/>
  <c r="E434" i="1"/>
  <c r="E780" i="1" s="1"/>
  <c r="E433" i="1"/>
  <c r="E779" i="1" s="1"/>
  <c r="E432" i="1"/>
  <c r="E778" i="1" s="1"/>
  <c r="E431" i="1"/>
  <c r="E777" i="1" s="1"/>
  <c r="E430" i="1"/>
  <c r="E776" i="1" s="1"/>
  <c r="E429" i="1"/>
  <c r="E775" i="1" s="1"/>
  <c r="E428" i="1"/>
  <c r="E774" i="1" s="1"/>
  <c r="E427" i="1"/>
  <c r="E773" i="1" s="1"/>
  <c r="E426" i="1"/>
  <c r="E772" i="1" s="1"/>
  <c r="E425" i="1"/>
  <c r="E771" i="1" s="1"/>
  <c r="E424" i="1"/>
  <c r="E770" i="1" s="1"/>
  <c r="E423" i="1"/>
  <c r="E769" i="1" s="1"/>
  <c r="E422" i="1"/>
  <c r="E768" i="1" s="1"/>
  <c r="E421" i="1"/>
  <c r="E420" i="1"/>
  <c r="E419" i="1"/>
  <c r="E765" i="1" s="1"/>
  <c r="E418" i="1"/>
  <c r="E764" i="1" s="1"/>
  <c r="E417" i="1"/>
  <c r="E763" i="1" s="1"/>
  <c r="E416" i="1"/>
  <c r="E762" i="1" s="1"/>
  <c r="E415" i="1"/>
  <c r="E761" i="1" s="1"/>
  <c r="E414" i="1"/>
  <c r="E760" i="1" s="1"/>
  <c r="E413" i="1"/>
  <c r="E412" i="1"/>
  <c r="E758" i="1" s="1"/>
  <c r="E411" i="1"/>
  <c r="E757" i="1" s="1"/>
  <c r="E410" i="1"/>
  <c r="E756" i="1" s="1"/>
  <c r="E409" i="1"/>
  <c r="E755" i="1" s="1"/>
  <c r="E408" i="1"/>
  <c r="E754" i="1" s="1"/>
  <c r="E407" i="1"/>
  <c r="E753" i="1" s="1"/>
  <c r="E406" i="1"/>
  <c r="E385" i="1"/>
  <c r="E731" i="1" s="1"/>
  <c r="E374" i="1"/>
  <c r="E720" i="1" s="1"/>
  <c r="E363" i="1"/>
  <c r="E709" i="1" s="1"/>
  <c r="E357" i="1"/>
  <c r="E703" i="1" s="1"/>
  <c r="E351" i="1"/>
  <c r="E697" i="1" s="1"/>
  <c r="E1031" i="1"/>
  <c r="E996" i="1"/>
  <c r="E994" i="1"/>
  <c r="E981" i="1"/>
  <c r="E980" i="1"/>
  <c r="E959" i="1"/>
  <c r="E948" i="1"/>
  <c r="E946" i="1"/>
  <c r="E935" i="1"/>
  <c r="E934" i="1"/>
  <c r="E912" i="1"/>
  <c r="E898" i="1"/>
  <c r="E887" i="1"/>
  <c r="E850" i="1"/>
  <c r="E839" i="1"/>
  <c r="E837" i="1"/>
  <c r="E826" i="1"/>
  <c r="E816" i="1"/>
  <c r="E804" i="1"/>
  <c r="E767" i="1"/>
  <c r="E766" i="1"/>
  <c r="E346" i="1" a="1"/>
  <c r="E346" i="1" s="1"/>
  <c r="E345" i="1" a="1"/>
  <c r="E345" i="1" s="1"/>
  <c r="E344" i="1" a="1"/>
  <c r="E344" i="1" s="1"/>
  <c r="E343" i="1" a="1"/>
  <c r="E343" i="1" s="1"/>
  <c r="E342" i="1" a="1"/>
  <c r="E342" i="1" s="1"/>
  <c r="E341" i="1" a="1"/>
  <c r="E341" i="1" s="1"/>
  <c r="E340" i="1" a="1"/>
  <c r="E340" i="1" s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 a="1"/>
  <c r="E319" i="1" s="1"/>
  <c r="E318" i="1"/>
  <c r="E317" i="1"/>
  <c r="E316" i="1"/>
  <c r="E315" i="1"/>
  <c r="E314" i="1"/>
  <c r="E313" i="1"/>
  <c r="E312" i="1"/>
  <c r="E311" i="1"/>
  <c r="E310" i="1"/>
  <c r="E309" i="1"/>
  <c r="E308" i="1" a="1"/>
  <c r="E308" i="1" s="1"/>
  <c r="E307" i="1"/>
  <c r="E306" i="1"/>
  <c r="E305" i="1"/>
  <c r="E304" i="1"/>
  <c r="E303" i="1"/>
  <c r="E302" i="1"/>
  <c r="E301" i="1"/>
  <c r="E300" i="1"/>
  <c r="E299" i="1"/>
  <c r="E298" i="1"/>
  <c r="E297" i="1" a="1"/>
  <c r="E297" i="1" s="1"/>
  <c r="E296" i="1"/>
  <c r="E295" i="1"/>
  <c r="E294" i="1"/>
  <c r="E293" i="1"/>
  <c r="E292" i="1"/>
  <c r="E291" i="1" a="1"/>
  <c r="E291" i="1" s="1"/>
  <c r="E290" i="1"/>
  <c r="E289" i="1"/>
  <c r="E288" i="1"/>
  <c r="E287" i="1"/>
  <c r="E286" i="1"/>
  <c r="E285" i="1" a="1"/>
  <c r="E285" i="1" s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 a="1"/>
  <c r="E263" i="1" s="1"/>
  <c r="E262" i="1"/>
  <c r="E261" i="1"/>
  <c r="E260" i="1"/>
  <c r="E259" i="1"/>
  <c r="E258" i="1"/>
  <c r="E257" i="1"/>
  <c r="E256" i="1"/>
  <c r="E255" i="1"/>
  <c r="E254" i="1"/>
  <c r="E253" i="1"/>
  <c r="E252" i="1" a="1"/>
  <c r="E252" i="1" s="1"/>
  <c r="E251" i="1"/>
  <c r="E250" i="1"/>
  <c r="E249" i="1"/>
  <c r="E248" i="1"/>
  <c r="E247" i="1"/>
  <c r="E246" i="1"/>
  <c r="E245" i="1"/>
  <c r="E244" i="1"/>
  <c r="E243" i="1"/>
  <c r="E242" i="1"/>
  <c r="E241" i="1" a="1"/>
  <c r="E241" i="1" s="1"/>
  <c r="E240" i="1"/>
  <c r="E239" i="1"/>
  <c r="E238" i="1"/>
  <c r="E237" i="1"/>
  <c r="E236" i="1"/>
  <c r="E235" i="1" a="1"/>
  <c r="E235" i="1" s="1"/>
  <c r="E234" i="1"/>
  <c r="E233" i="1"/>
  <c r="E232" i="1"/>
  <c r="E231" i="1"/>
  <c r="E230" i="1"/>
  <c r="E229" i="1" a="1"/>
  <c r="E229" i="1" s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 a="1"/>
  <c r="E207" i="1" s="1"/>
  <c r="E206" i="1"/>
  <c r="E205" i="1"/>
  <c r="E204" i="1"/>
  <c r="E203" i="1"/>
  <c r="E202" i="1"/>
  <c r="E201" i="1"/>
  <c r="E200" i="1"/>
  <c r="E199" i="1"/>
  <c r="E198" i="1"/>
  <c r="E197" i="1"/>
  <c r="E196" i="1" a="1"/>
  <c r="E196" i="1" s="1"/>
  <c r="E195" i="1"/>
  <c r="E194" i="1"/>
  <c r="E193" i="1"/>
  <c r="E192" i="1"/>
  <c r="E191" i="1"/>
  <c r="E190" i="1"/>
  <c r="E189" i="1"/>
  <c r="E188" i="1"/>
  <c r="E187" i="1"/>
  <c r="E186" i="1"/>
  <c r="E185" i="1" a="1"/>
  <c r="E185" i="1" s="1"/>
  <c r="E184" i="1"/>
  <c r="E183" i="1"/>
  <c r="E182" i="1"/>
  <c r="E181" i="1"/>
  <c r="E180" i="1"/>
  <c r="E179" i="1" a="1"/>
  <c r="E179" i="1" s="1"/>
  <c r="E178" i="1"/>
  <c r="E177" i="1"/>
  <c r="E176" i="1"/>
  <c r="E175" i="1"/>
  <c r="E174" i="1"/>
  <c r="E173" i="1" a="1"/>
  <c r="E173" i="1" s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 a="1"/>
  <c r="E151" i="1" s="1"/>
  <c r="E150" i="1"/>
  <c r="E149" i="1"/>
  <c r="E148" i="1"/>
  <c r="E147" i="1"/>
  <c r="E146" i="1"/>
  <c r="E145" i="1"/>
  <c r="E144" i="1"/>
  <c r="E143" i="1"/>
  <c r="E142" i="1"/>
  <c r="E141" i="1"/>
  <c r="E140" i="1" a="1"/>
  <c r="E140" i="1" s="1"/>
  <c r="E139" i="1"/>
  <c r="E138" i="1"/>
  <c r="E137" i="1"/>
  <c r="E136" i="1"/>
  <c r="E135" i="1"/>
  <c r="E134" i="1"/>
  <c r="E133" i="1"/>
  <c r="E132" i="1"/>
  <c r="E131" i="1"/>
  <c r="E130" i="1"/>
  <c r="E129" i="1" a="1"/>
  <c r="E129" i="1" s="1"/>
  <c r="E128" i="1"/>
  <c r="E127" i="1"/>
  <c r="E126" i="1"/>
  <c r="E125" i="1"/>
  <c r="E124" i="1"/>
  <c r="E123" i="1" a="1"/>
  <c r="E123" i="1" s="1"/>
  <c r="E122" i="1"/>
  <c r="E121" i="1"/>
  <c r="E120" i="1"/>
  <c r="E119" i="1"/>
  <c r="E118" i="1"/>
  <c r="E117" i="1" a="1"/>
  <c r="E117" i="1" s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 a="1"/>
  <c r="E95" i="1" s="1"/>
  <c r="E94" i="1"/>
  <c r="E93" i="1"/>
  <c r="E92" i="1"/>
  <c r="E91" i="1"/>
  <c r="E90" i="1"/>
  <c r="E89" i="1"/>
  <c r="E88" i="1"/>
  <c r="E87" i="1"/>
  <c r="E86" i="1"/>
  <c r="E85" i="1"/>
  <c r="E84" i="1" a="1"/>
  <c r="E84" i="1" s="1"/>
  <c r="E83" i="1"/>
  <c r="E82" i="1"/>
  <c r="E81" i="1"/>
  <c r="E80" i="1"/>
  <c r="E79" i="1"/>
  <c r="E78" i="1"/>
  <c r="E77" i="1"/>
  <c r="E76" i="1"/>
  <c r="E75" i="1"/>
  <c r="E74" i="1"/>
  <c r="E73" i="1" a="1"/>
  <c r="E73" i="1" s="1"/>
  <c r="E72" i="1"/>
  <c r="E71" i="1"/>
  <c r="E70" i="1"/>
  <c r="E69" i="1"/>
  <c r="E68" i="1"/>
  <c r="E67" i="1" a="1"/>
  <c r="E67" i="1" s="1"/>
  <c r="E66" i="1"/>
  <c r="E65" i="1"/>
  <c r="E64" i="1"/>
  <c r="E63" i="1"/>
  <c r="E62" i="1"/>
  <c r="E61" i="1" a="1"/>
  <c r="E61" i="1" s="1"/>
  <c r="E60" i="1"/>
  <c r="E39" i="1" a="1"/>
  <c r="E39" i="1" s="1"/>
  <c r="E28" i="1" a="1"/>
  <c r="E28" i="1" s="1"/>
  <c r="E17" i="1" a="1"/>
  <c r="E17" i="1" s="1"/>
  <c r="E11" i="1" a="1"/>
  <c r="E11" i="1" s="1"/>
  <c r="E5" i="1" a="1"/>
  <c r="E5" i="1" s="1"/>
  <c r="E1036" i="1" l="1"/>
  <c r="W690" i="1"/>
  <c r="W172" i="1"/>
  <c r="W173" i="1"/>
  <c r="W185" i="1"/>
  <c r="W340" i="1"/>
  <c r="W61" i="1"/>
  <c r="E1034" i="1"/>
  <c r="W688" i="1"/>
  <c r="E1035" i="1"/>
  <c r="W689" i="1"/>
  <c r="W196" i="1"/>
  <c r="W60" i="1"/>
  <c r="W235" i="1"/>
  <c r="E1033" i="1"/>
  <c r="W687" i="1"/>
  <c r="W140" i="1"/>
  <c r="W117" i="1"/>
  <c r="W129" i="1"/>
  <c r="W308" i="1"/>
  <c r="W297" i="1"/>
  <c r="W319" i="1"/>
  <c r="W179" i="1"/>
  <c r="W285" i="1"/>
  <c r="W406" i="1"/>
  <c r="W84" i="1"/>
  <c r="W95" i="1"/>
  <c r="W263" i="1"/>
  <c r="W73" i="1"/>
  <c r="W252" i="1"/>
  <c r="W531" i="1"/>
  <c r="W229" i="1"/>
  <c r="W151" i="1"/>
  <c r="W241" i="1"/>
  <c r="W123" i="1"/>
  <c r="W207" i="1"/>
  <c r="W284" i="1"/>
  <c r="W291" i="1"/>
  <c r="W116" i="1"/>
  <c r="W228" i="1"/>
  <c r="W518" i="1"/>
  <c r="W553" i="1"/>
  <c r="W637" i="1"/>
  <c r="W67" i="1"/>
  <c r="W413" i="1"/>
  <c r="E864" i="1"/>
  <c r="W630" i="1"/>
  <c r="W581" i="1"/>
  <c r="E752" i="1"/>
  <c r="E877" i="1"/>
  <c r="E900" i="1"/>
  <c r="W525" i="1"/>
  <c r="W575" i="1"/>
  <c r="E1032" i="1" a="1"/>
  <c r="E1032" i="1" s="1"/>
  <c r="W686" i="1"/>
  <c r="W609" i="1"/>
  <c r="W497" i="1"/>
  <c r="E927" i="1"/>
  <c r="W598" i="1"/>
  <c r="W486" i="1"/>
  <c r="W587" i="1"/>
  <c r="W475" i="1"/>
  <c r="W469" i="1"/>
  <c r="W463" i="1"/>
  <c r="W574" i="1"/>
  <c r="W462" i="1"/>
  <c r="W665" i="1"/>
  <c r="W441" i="1"/>
  <c r="E759" i="1"/>
  <c r="E871" i="1"/>
  <c r="W654" i="1"/>
  <c r="W542" i="1"/>
  <c r="W430" i="1"/>
  <c r="E984" i="1"/>
  <c r="W643" i="1"/>
  <c r="W419" i="1"/>
  <c r="E976" i="1"/>
  <c r="W631" i="1"/>
  <c r="W519" i="1"/>
  <c r="W407" i="1"/>
  <c r="E53" i="1"/>
  <c r="O73" i="2"/>
  <c r="D5" i="2" s="1"/>
  <c r="N73" i="2"/>
  <c r="E5" i="2" l="1"/>
  <c r="E38" i="1"/>
  <c r="E23" i="1"/>
  <c r="E7" i="1"/>
  <c r="E45" i="1"/>
  <c r="E8" i="1"/>
  <c r="E44" i="1"/>
  <c r="E25" i="1"/>
  <c r="E27" i="1"/>
  <c r="E34" i="1"/>
  <c r="E36" i="1"/>
  <c r="E40" i="1"/>
  <c r="E6" i="1"/>
  <c r="E4" i="1"/>
  <c r="W4" i="1" s="1"/>
  <c r="E43" i="1"/>
  <c r="E32" i="1"/>
  <c r="E59" i="1"/>
  <c r="E57" i="1"/>
  <c r="E15" i="1"/>
  <c r="E13" i="1"/>
  <c r="E48" i="1"/>
  <c r="E37" i="1"/>
  <c r="E50" i="1"/>
  <c r="E30" i="1"/>
  <c r="E9" i="1"/>
  <c r="E46" i="1"/>
  <c r="E58" i="1"/>
  <c r="E14" i="1"/>
  <c r="E54" i="1"/>
  <c r="E12" i="1"/>
  <c r="E47" i="1"/>
  <c r="E41" i="1"/>
  <c r="E10" i="1"/>
  <c r="E24" i="1"/>
  <c r="E18" i="1"/>
  <c r="E52" i="1"/>
  <c r="E19" i="1"/>
  <c r="E16" i="1"/>
  <c r="E51" i="1"/>
  <c r="E49" i="1"/>
  <c r="E20" i="1"/>
  <c r="E33" i="1"/>
  <c r="E22" i="1"/>
  <c r="E56" i="1"/>
  <c r="E31" i="1"/>
  <c r="E35" i="1"/>
  <c r="E21" i="1"/>
  <c r="E55" i="1"/>
  <c r="E29" i="1"/>
  <c r="E42" i="1"/>
  <c r="E26" i="1"/>
  <c r="W39" i="1" l="1"/>
  <c r="W5" i="1"/>
  <c r="W17" i="1"/>
  <c r="W28" i="1"/>
  <c r="W11" i="1"/>
  <c r="D476" i="1" l="1"/>
  <c r="D822" i="1" s="1"/>
  <c r="C476" i="1"/>
  <c r="B476" i="1"/>
  <c r="D686" i="1" a="1"/>
  <c r="D686" i="1" s="1"/>
  <c r="C686" i="1" a="1"/>
  <c r="C686" i="1" s="1"/>
  <c r="B686" i="1" a="1"/>
  <c r="B686" i="1" s="1"/>
  <c r="M78" i="2"/>
  <c r="L78" i="2" a="1"/>
  <c r="L78" i="2" s="1"/>
  <c r="C4" i="2" s="1"/>
  <c r="H78" i="2"/>
  <c r="K78" i="2"/>
  <c r="J78" i="2"/>
  <c r="M83" i="2"/>
  <c r="L83" i="2" a="1"/>
  <c r="L83" i="2" s="1"/>
  <c r="C3" i="2" s="1"/>
  <c r="H83" i="2"/>
  <c r="K83" i="2"/>
  <c r="J83" i="2"/>
  <c r="M88" i="2"/>
  <c r="H88" i="2"/>
  <c r="D692" i="1" a="1"/>
  <c r="D692" i="1" s="1"/>
  <c r="D1038" i="1" s="1" a="1"/>
  <c r="D1038" i="1" s="1"/>
  <c r="D691" i="1"/>
  <c r="D1037" i="1" s="1"/>
  <c r="D690" i="1"/>
  <c r="D689" i="1"/>
  <c r="D688" i="1"/>
  <c r="D687" i="1"/>
  <c r="D685" i="1"/>
  <c r="D1031" i="1" s="1"/>
  <c r="D684" i="1"/>
  <c r="D1030" i="1" s="1"/>
  <c r="D683" i="1"/>
  <c r="D1029" i="1" s="1"/>
  <c r="D682" i="1"/>
  <c r="D1028" i="1" s="1"/>
  <c r="D681" i="1"/>
  <c r="D1027" i="1" s="1"/>
  <c r="D680" i="1"/>
  <c r="D1026" i="1" s="1"/>
  <c r="D679" i="1"/>
  <c r="D1025" i="1" s="1"/>
  <c r="D678" i="1"/>
  <c r="D1024" i="1" s="1"/>
  <c r="D677" i="1"/>
  <c r="D1023" i="1" s="1"/>
  <c r="D676" i="1"/>
  <c r="D1022" i="1" s="1"/>
  <c r="D675" i="1"/>
  <c r="D1021" i="1" s="1"/>
  <c r="D674" i="1"/>
  <c r="D1020" i="1" s="1"/>
  <c r="D673" i="1"/>
  <c r="D1019" i="1" s="1"/>
  <c r="D672" i="1"/>
  <c r="D1018" i="1" s="1"/>
  <c r="D671" i="1"/>
  <c r="D1017" i="1" s="1"/>
  <c r="D670" i="1"/>
  <c r="D1016" i="1" s="1"/>
  <c r="D669" i="1"/>
  <c r="D1015" i="1" s="1"/>
  <c r="D668" i="1"/>
  <c r="D1014" i="1" s="1"/>
  <c r="D667" i="1"/>
  <c r="D1013" i="1" s="1"/>
  <c r="D666" i="1"/>
  <c r="D1012" i="1" s="1"/>
  <c r="D665" i="1"/>
  <c r="D1011" i="1" s="1"/>
  <c r="D664" i="1"/>
  <c r="D1010" i="1" s="1"/>
  <c r="D663" i="1"/>
  <c r="D1009" i="1" s="1"/>
  <c r="D662" i="1"/>
  <c r="D1008" i="1" s="1"/>
  <c r="D661" i="1"/>
  <c r="D1007" i="1" s="1"/>
  <c r="D660" i="1"/>
  <c r="D1006" i="1" s="1"/>
  <c r="D659" i="1"/>
  <c r="D1005" i="1" s="1"/>
  <c r="D658" i="1"/>
  <c r="D1004" i="1" s="1"/>
  <c r="D657" i="1"/>
  <c r="D1003" i="1" s="1"/>
  <c r="D656" i="1"/>
  <c r="D1002" i="1" s="1"/>
  <c r="D655" i="1"/>
  <c r="D1001" i="1" s="1"/>
  <c r="D654" i="1"/>
  <c r="D1000" i="1" s="1"/>
  <c r="D653" i="1"/>
  <c r="D999" i="1" s="1"/>
  <c r="D652" i="1"/>
  <c r="D998" i="1" s="1"/>
  <c r="D651" i="1"/>
  <c r="D997" i="1" s="1"/>
  <c r="D650" i="1"/>
  <c r="D996" i="1" s="1"/>
  <c r="D649" i="1"/>
  <c r="D995" i="1" s="1"/>
  <c r="D648" i="1"/>
  <c r="D994" i="1" s="1"/>
  <c r="D647" i="1"/>
  <c r="D993" i="1" s="1"/>
  <c r="D646" i="1"/>
  <c r="D992" i="1" s="1"/>
  <c r="D645" i="1"/>
  <c r="D991" i="1" s="1"/>
  <c r="D644" i="1"/>
  <c r="D990" i="1" s="1"/>
  <c r="D643" i="1"/>
  <c r="D989" i="1" s="1"/>
  <c r="D642" i="1"/>
  <c r="D988" i="1" s="1"/>
  <c r="D641" i="1"/>
  <c r="D987" i="1" s="1"/>
  <c r="D640" i="1"/>
  <c r="D986" i="1" s="1"/>
  <c r="D639" i="1"/>
  <c r="D985" i="1" s="1"/>
  <c r="D638" i="1"/>
  <c r="D984" i="1" s="1"/>
  <c r="D637" i="1"/>
  <c r="D983" i="1" s="1"/>
  <c r="D636" i="1"/>
  <c r="D982" i="1" s="1"/>
  <c r="D635" i="1"/>
  <c r="D981" i="1" s="1"/>
  <c r="D634" i="1"/>
  <c r="D980" i="1" s="1"/>
  <c r="D633" i="1"/>
  <c r="D979" i="1" s="1"/>
  <c r="D632" i="1"/>
  <c r="D978" i="1" s="1"/>
  <c r="D631" i="1"/>
  <c r="D977" i="1" s="1"/>
  <c r="D630" i="1"/>
  <c r="D976" i="1" s="1"/>
  <c r="D629" i="1"/>
  <c r="D975" i="1" s="1"/>
  <c r="D628" i="1"/>
  <c r="D974" i="1" s="1"/>
  <c r="D627" i="1"/>
  <c r="D973" i="1" s="1"/>
  <c r="D626" i="1"/>
  <c r="D972" i="1" s="1"/>
  <c r="D625" i="1"/>
  <c r="D971" i="1" s="1"/>
  <c r="D624" i="1"/>
  <c r="D970" i="1" s="1"/>
  <c r="D623" i="1"/>
  <c r="D969" i="1" s="1"/>
  <c r="D622" i="1"/>
  <c r="D968" i="1" s="1"/>
  <c r="D621" i="1"/>
  <c r="D967" i="1" s="1"/>
  <c r="D620" i="1"/>
  <c r="D966" i="1" s="1"/>
  <c r="D619" i="1"/>
  <c r="D965" i="1" s="1"/>
  <c r="D618" i="1"/>
  <c r="D964" i="1" s="1"/>
  <c r="D617" i="1"/>
  <c r="D963" i="1" s="1"/>
  <c r="D616" i="1"/>
  <c r="D962" i="1" s="1"/>
  <c r="D615" i="1"/>
  <c r="D961" i="1" s="1"/>
  <c r="D614" i="1"/>
  <c r="D960" i="1" s="1"/>
  <c r="D613" i="1"/>
  <c r="D959" i="1" s="1"/>
  <c r="D612" i="1"/>
  <c r="D958" i="1" s="1"/>
  <c r="D611" i="1"/>
  <c r="D957" i="1" s="1"/>
  <c r="D610" i="1"/>
  <c r="D956" i="1" s="1"/>
  <c r="D609" i="1"/>
  <c r="D955" i="1" s="1"/>
  <c r="D608" i="1"/>
  <c r="D954" i="1" s="1"/>
  <c r="D607" i="1"/>
  <c r="D953" i="1" s="1"/>
  <c r="D606" i="1"/>
  <c r="D952" i="1" s="1"/>
  <c r="D605" i="1"/>
  <c r="D951" i="1" s="1"/>
  <c r="D604" i="1"/>
  <c r="D950" i="1" s="1"/>
  <c r="D603" i="1"/>
  <c r="D949" i="1" s="1"/>
  <c r="D602" i="1"/>
  <c r="D948" i="1" s="1"/>
  <c r="D601" i="1"/>
  <c r="D947" i="1" s="1"/>
  <c r="D600" i="1"/>
  <c r="D946" i="1" s="1"/>
  <c r="D599" i="1"/>
  <c r="D945" i="1" s="1"/>
  <c r="D598" i="1"/>
  <c r="D944" i="1" s="1"/>
  <c r="D597" i="1"/>
  <c r="D943" i="1" s="1"/>
  <c r="D596" i="1"/>
  <c r="D942" i="1" s="1"/>
  <c r="D595" i="1"/>
  <c r="D941" i="1" s="1"/>
  <c r="D594" i="1"/>
  <c r="D940" i="1" s="1"/>
  <c r="D593" i="1"/>
  <c r="D939" i="1" s="1"/>
  <c r="D592" i="1"/>
  <c r="D938" i="1" s="1"/>
  <c r="D591" i="1"/>
  <c r="D937" i="1" s="1"/>
  <c r="D590" i="1"/>
  <c r="D936" i="1" s="1"/>
  <c r="D589" i="1"/>
  <c r="D935" i="1" s="1"/>
  <c r="D588" i="1"/>
  <c r="D934" i="1" s="1"/>
  <c r="D587" i="1"/>
  <c r="D933" i="1" s="1"/>
  <c r="D586" i="1"/>
  <c r="D932" i="1" s="1"/>
  <c r="D585" i="1"/>
  <c r="D931" i="1" s="1"/>
  <c r="D584" i="1"/>
  <c r="D930" i="1" s="1"/>
  <c r="D583" i="1"/>
  <c r="D929" i="1" s="1"/>
  <c r="D582" i="1"/>
  <c r="D928" i="1" s="1"/>
  <c r="D581" i="1"/>
  <c r="D927" i="1" s="1"/>
  <c r="D580" i="1"/>
  <c r="D926" i="1" s="1"/>
  <c r="D579" i="1"/>
  <c r="D925" i="1" s="1"/>
  <c r="D578" i="1"/>
  <c r="D924" i="1" s="1"/>
  <c r="D577" i="1"/>
  <c r="D923" i="1" s="1"/>
  <c r="D576" i="1"/>
  <c r="D922" i="1" s="1"/>
  <c r="D575" i="1"/>
  <c r="D921" i="1" s="1"/>
  <c r="D574" i="1"/>
  <c r="D920" i="1" s="1"/>
  <c r="D573" i="1"/>
  <c r="D919" i="1" s="1"/>
  <c r="D572" i="1"/>
  <c r="D918" i="1" s="1"/>
  <c r="D571" i="1"/>
  <c r="D917" i="1" s="1"/>
  <c r="D570" i="1"/>
  <c r="D916" i="1" s="1"/>
  <c r="D569" i="1"/>
  <c r="D915" i="1" s="1"/>
  <c r="D568" i="1"/>
  <c r="D914" i="1" s="1"/>
  <c r="D567" i="1"/>
  <c r="D913" i="1" s="1"/>
  <c r="D566" i="1"/>
  <c r="D912" i="1" s="1"/>
  <c r="D565" i="1"/>
  <c r="D911" i="1" s="1"/>
  <c r="D564" i="1"/>
  <c r="D910" i="1" s="1"/>
  <c r="D563" i="1"/>
  <c r="D909" i="1" s="1"/>
  <c r="D562" i="1"/>
  <c r="D908" i="1" s="1"/>
  <c r="D561" i="1"/>
  <c r="D907" i="1" s="1"/>
  <c r="D560" i="1"/>
  <c r="D906" i="1" s="1"/>
  <c r="D559" i="1"/>
  <c r="D905" i="1" s="1"/>
  <c r="D558" i="1"/>
  <c r="D904" i="1" s="1"/>
  <c r="D557" i="1"/>
  <c r="D903" i="1" s="1"/>
  <c r="D556" i="1"/>
  <c r="D902" i="1" s="1"/>
  <c r="D555" i="1"/>
  <c r="D901" i="1" s="1"/>
  <c r="D554" i="1"/>
  <c r="D900" i="1" s="1"/>
  <c r="D553" i="1"/>
  <c r="D899" i="1" s="1"/>
  <c r="D552" i="1"/>
  <c r="D898" i="1" s="1"/>
  <c r="D551" i="1"/>
  <c r="D897" i="1" s="1"/>
  <c r="D550" i="1"/>
  <c r="D896" i="1" s="1"/>
  <c r="D549" i="1"/>
  <c r="D895" i="1" s="1"/>
  <c r="D548" i="1"/>
  <c r="D894" i="1" s="1"/>
  <c r="D547" i="1"/>
  <c r="D893" i="1" s="1"/>
  <c r="D546" i="1"/>
  <c r="D892" i="1" s="1"/>
  <c r="D545" i="1"/>
  <c r="D891" i="1" s="1"/>
  <c r="D544" i="1"/>
  <c r="D890" i="1" s="1"/>
  <c r="D543" i="1"/>
  <c r="D889" i="1" s="1"/>
  <c r="D542" i="1"/>
  <c r="D888" i="1" s="1"/>
  <c r="D541" i="1"/>
  <c r="D887" i="1" s="1"/>
  <c r="D540" i="1"/>
  <c r="D886" i="1" s="1"/>
  <c r="D539" i="1"/>
  <c r="D885" i="1" s="1"/>
  <c r="D538" i="1"/>
  <c r="D884" i="1" s="1"/>
  <c r="D537" i="1"/>
  <c r="D883" i="1" s="1"/>
  <c r="D536" i="1"/>
  <c r="D882" i="1" s="1"/>
  <c r="D535" i="1"/>
  <c r="D881" i="1" s="1"/>
  <c r="D534" i="1"/>
  <c r="D880" i="1" s="1"/>
  <c r="D533" i="1"/>
  <c r="D879" i="1" s="1"/>
  <c r="D532" i="1"/>
  <c r="D878" i="1" s="1"/>
  <c r="D531" i="1"/>
  <c r="D877" i="1" s="1"/>
  <c r="D530" i="1"/>
  <c r="D876" i="1" s="1"/>
  <c r="D529" i="1"/>
  <c r="D875" i="1" s="1"/>
  <c r="D528" i="1"/>
  <c r="D874" i="1" s="1"/>
  <c r="D527" i="1"/>
  <c r="D873" i="1" s="1"/>
  <c r="D526" i="1"/>
  <c r="D872" i="1" s="1"/>
  <c r="D525" i="1"/>
  <c r="D871" i="1" s="1"/>
  <c r="D524" i="1"/>
  <c r="D870" i="1" s="1"/>
  <c r="D523" i="1"/>
  <c r="D869" i="1" s="1"/>
  <c r="D522" i="1"/>
  <c r="D868" i="1" s="1"/>
  <c r="D521" i="1"/>
  <c r="D867" i="1" s="1"/>
  <c r="D520" i="1"/>
  <c r="D866" i="1" s="1"/>
  <c r="D519" i="1"/>
  <c r="D865" i="1" s="1"/>
  <c r="D518" i="1"/>
  <c r="D864" i="1" s="1"/>
  <c r="D517" i="1"/>
  <c r="D863" i="1" s="1"/>
  <c r="D516" i="1"/>
  <c r="D862" i="1" s="1"/>
  <c r="D515" i="1"/>
  <c r="D861" i="1" s="1"/>
  <c r="D514" i="1"/>
  <c r="D860" i="1" s="1"/>
  <c r="D513" i="1"/>
  <c r="D859" i="1" s="1"/>
  <c r="D512" i="1"/>
  <c r="D858" i="1" s="1"/>
  <c r="D511" i="1"/>
  <c r="D857" i="1" s="1"/>
  <c r="D510" i="1"/>
  <c r="D856" i="1" s="1"/>
  <c r="D509" i="1"/>
  <c r="D855" i="1" s="1"/>
  <c r="D508" i="1"/>
  <c r="D854" i="1" s="1"/>
  <c r="D507" i="1"/>
  <c r="D853" i="1" s="1"/>
  <c r="D506" i="1"/>
  <c r="D852" i="1" s="1"/>
  <c r="D505" i="1"/>
  <c r="D851" i="1" s="1"/>
  <c r="D504" i="1"/>
  <c r="D850" i="1" s="1"/>
  <c r="D503" i="1"/>
  <c r="D849" i="1" s="1"/>
  <c r="D502" i="1"/>
  <c r="D848" i="1" s="1"/>
  <c r="D501" i="1"/>
  <c r="D847" i="1" s="1"/>
  <c r="D500" i="1"/>
  <c r="D846" i="1" s="1"/>
  <c r="D499" i="1"/>
  <c r="D845" i="1" s="1"/>
  <c r="D498" i="1"/>
  <c r="D844" i="1" s="1"/>
  <c r="D497" i="1"/>
  <c r="D843" i="1" s="1"/>
  <c r="D496" i="1"/>
  <c r="D842" i="1" s="1"/>
  <c r="D495" i="1"/>
  <c r="D841" i="1" s="1"/>
  <c r="D494" i="1"/>
  <c r="D840" i="1" s="1"/>
  <c r="D493" i="1"/>
  <c r="D839" i="1" s="1"/>
  <c r="D492" i="1"/>
  <c r="D838" i="1" s="1"/>
  <c r="D491" i="1"/>
  <c r="D837" i="1" s="1"/>
  <c r="D490" i="1"/>
  <c r="D836" i="1" s="1"/>
  <c r="D489" i="1"/>
  <c r="D835" i="1" s="1"/>
  <c r="D488" i="1"/>
  <c r="D834" i="1" s="1"/>
  <c r="D487" i="1"/>
  <c r="D833" i="1" s="1"/>
  <c r="D486" i="1"/>
  <c r="D832" i="1" s="1"/>
  <c r="D485" i="1"/>
  <c r="D831" i="1" s="1"/>
  <c r="D484" i="1"/>
  <c r="D830" i="1" s="1"/>
  <c r="D483" i="1"/>
  <c r="D829" i="1" s="1"/>
  <c r="D482" i="1"/>
  <c r="D828" i="1" s="1"/>
  <c r="D481" i="1"/>
  <c r="D827" i="1" s="1"/>
  <c r="D480" i="1"/>
  <c r="D826" i="1" s="1"/>
  <c r="D479" i="1"/>
  <c r="D825" i="1" s="1"/>
  <c r="D478" i="1"/>
  <c r="D824" i="1" s="1"/>
  <c r="D477" i="1"/>
  <c r="D823" i="1" s="1"/>
  <c r="D475" i="1"/>
  <c r="D821" i="1" s="1"/>
  <c r="D474" i="1"/>
  <c r="D820" i="1" s="1"/>
  <c r="D473" i="1"/>
  <c r="D819" i="1" s="1"/>
  <c r="D472" i="1"/>
  <c r="D818" i="1" s="1"/>
  <c r="D471" i="1"/>
  <c r="D817" i="1" s="1"/>
  <c r="D470" i="1"/>
  <c r="D816" i="1" s="1"/>
  <c r="D469" i="1"/>
  <c r="D815" i="1" s="1"/>
  <c r="D468" i="1"/>
  <c r="D814" i="1" s="1"/>
  <c r="D467" i="1"/>
  <c r="D813" i="1" s="1"/>
  <c r="D466" i="1"/>
  <c r="D812" i="1" s="1"/>
  <c r="D465" i="1"/>
  <c r="D811" i="1" s="1"/>
  <c r="D464" i="1"/>
  <c r="D810" i="1" s="1"/>
  <c r="D463" i="1"/>
  <c r="D809" i="1" s="1"/>
  <c r="D462" i="1"/>
  <c r="D808" i="1" s="1"/>
  <c r="D461" i="1"/>
  <c r="D807" i="1" s="1"/>
  <c r="D460" i="1"/>
  <c r="D806" i="1" s="1"/>
  <c r="D459" i="1"/>
  <c r="D805" i="1" s="1"/>
  <c r="D458" i="1"/>
  <c r="D804" i="1" s="1"/>
  <c r="D457" i="1"/>
  <c r="D803" i="1" s="1"/>
  <c r="D456" i="1"/>
  <c r="D802" i="1" s="1"/>
  <c r="D455" i="1"/>
  <c r="D801" i="1" s="1"/>
  <c r="D454" i="1"/>
  <c r="D800" i="1" s="1"/>
  <c r="D453" i="1"/>
  <c r="D799" i="1" s="1"/>
  <c r="D452" i="1"/>
  <c r="D798" i="1" s="1"/>
  <c r="D451" i="1"/>
  <c r="D797" i="1" s="1"/>
  <c r="D450" i="1"/>
  <c r="D796" i="1" s="1"/>
  <c r="D449" i="1"/>
  <c r="D795" i="1" s="1"/>
  <c r="D448" i="1"/>
  <c r="D794" i="1" s="1"/>
  <c r="D447" i="1"/>
  <c r="D793" i="1" s="1"/>
  <c r="D446" i="1"/>
  <c r="D792" i="1" s="1"/>
  <c r="D445" i="1"/>
  <c r="D791" i="1" s="1"/>
  <c r="D444" i="1"/>
  <c r="D790" i="1" s="1"/>
  <c r="D443" i="1"/>
  <c r="D789" i="1" s="1"/>
  <c r="D442" i="1"/>
  <c r="D788" i="1" s="1"/>
  <c r="D441" i="1"/>
  <c r="D787" i="1" s="1"/>
  <c r="D440" i="1"/>
  <c r="D786" i="1" s="1"/>
  <c r="D439" i="1"/>
  <c r="D785" i="1" s="1"/>
  <c r="D438" i="1"/>
  <c r="D784" i="1" s="1"/>
  <c r="D437" i="1"/>
  <c r="D783" i="1" s="1"/>
  <c r="D436" i="1"/>
  <c r="D782" i="1" s="1"/>
  <c r="D435" i="1"/>
  <c r="D781" i="1" s="1"/>
  <c r="D434" i="1"/>
  <c r="D780" i="1" s="1"/>
  <c r="D433" i="1"/>
  <c r="D779" i="1" s="1"/>
  <c r="D432" i="1"/>
  <c r="D778" i="1" s="1"/>
  <c r="D431" i="1"/>
  <c r="D777" i="1" s="1"/>
  <c r="D430" i="1"/>
  <c r="D776" i="1" s="1"/>
  <c r="D429" i="1"/>
  <c r="D775" i="1" s="1"/>
  <c r="D428" i="1"/>
  <c r="D774" i="1" s="1"/>
  <c r="D427" i="1"/>
  <c r="D773" i="1" s="1"/>
  <c r="D426" i="1"/>
  <c r="D772" i="1" s="1"/>
  <c r="D425" i="1"/>
  <c r="D771" i="1" s="1"/>
  <c r="D424" i="1"/>
  <c r="D770" i="1" s="1"/>
  <c r="D423" i="1"/>
  <c r="D769" i="1" s="1"/>
  <c r="D422" i="1"/>
  <c r="D768" i="1" s="1"/>
  <c r="D421" i="1"/>
  <c r="D767" i="1" s="1"/>
  <c r="D420" i="1"/>
  <c r="D766" i="1" s="1"/>
  <c r="D419" i="1"/>
  <c r="D765" i="1" s="1"/>
  <c r="D418" i="1"/>
  <c r="D764" i="1" s="1"/>
  <c r="D417" i="1"/>
  <c r="D763" i="1" s="1"/>
  <c r="D416" i="1"/>
  <c r="D762" i="1" s="1"/>
  <c r="D415" i="1"/>
  <c r="D761" i="1" s="1"/>
  <c r="D414" i="1"/>
  <c r="D760" i="1" s="1"/>
  <c r="D413" i="1"/>
  <c r="D759" i="1" s="1"/>
  <c r="D412" i="1"/>
  <c r="D758" i="1" s="1"/>
  <c r="D411" i="1"/>
  <c r="D757" i="1" s="1"/>
  <c r="D410" i="1"/>
  <c r="D756" i="1" s="1"/>
  <c r="D409" i="1"/>
  <c r="D755" i="1" s="1"/>
  <c r="D408" i="1"/>
  <c r="D754" i="1" s="1"/>
  <c r="D407" i="1"/>
  <c r="D753" i="1" s="1"/>
  <c r="D406" i="1"/>
  <c r="D752" i="1" s="1"/>
  <c r="D385" i="1"/>
  <c r="D731" i="1" s="1"/>
  <c r="D374" i="1"/>
  <c r="D720" i="1" s="1"/>
  <c r="D363" i="1"/>
  <c r="D709" i="1" s="1"/>
  <c r="D357" i="1"/>
  <c r="D703" i="1" s="1"/>
  <c r="D351" i="1"/>
  <c r="D346" i="1" a="1"/>
  <c r="D346" i="1" s="1"/>
  <c r="C346" i="1" a="1"/>
  <c r="C346" i="1" s="1"/>
  <c r="B346" i="1" a="1"/>
  <c r="B346" i="1" s="1"/>
  <c r="D345" i="1" a="1"/>
  <c r="D345" i="1" s="1"/>
  <c r="D344" i="1" a="1"/>
  <c r="D344" i="1" s="1"/>
  <c r="D343" i="1" a="1"/>
  <c r="D343" i="1" s="1"/>
  <c r="D342" i="1" a="1"/>
  <c r="D342" i="1" s="1"/>
  <c r="D341" i="1" a="1"/>
  <c r="D341" i="1" s="1"/>
  <c r="D340" i="1" a="1"/>
  <c r="D340" i="1" s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 a="1"/>
  <c r="D319" i="1" s="1"/>
  <c r="D318" i="1"/>
  <c r="D317" i="1"/>
  <c r="D316" i="1"/>
  <c r="D315" i="1"/>
  <c r="D314" i="1"/>
  <c r="D313" i="1"/>
  <c r="D312" i="1"/>
  <c r="D311" i="1"/>
  <c r="D310" i="1"/>
  <c r="D309" i="1"/>
  <c r="D308" i="1" a="1"/>
  <c r="D308" i="1" s="1"/>
  <c r="D307" i="1"/>
  <c r="D306" i="1"/>
  <c r="D305" i="1"/>
  <c r="D304" i="1"/>
  <c r="D303" i="1"/>
  <c r="D302" i="1"/>
  <c r="D301" i="1"/>
  <c r="D300" i="1"/>
  <c r="D299" i="1"/>
  <c r="D298" i="1"/>
  <c r="D297" i="1" a="1"/>
  <c r="D297" i="1" s="1"/>
  <c r="D296" i="1"/>
  <c r="D295" i="1"/>
  <c r="D294" i="1"/>
  <c r="D293" i="1"/>
  <c r="D292" i="1"/>
  <c r="D291" i="1" a="1"/>
  <c r="D291" i="1" s="1"/>
  <c r="D290" i="1"/>
  <c r="D289" i="1"/>
  <c r="D288" i="1"/>
  <c r="D287" i="1"/>
  <c r="D286" i="1"/>
  <c r="D285" i="1" a="1"/>
  <c r="D285" i="1" s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 a="1"/>
  <c r="D263" i="1" s="1"/>
  <c r="D262" i="1"/>
  <c r="D261" i="1"/>
  <c r="D260" i="1"/>
  <c r="D259" i="1"/>
  <c r="D258" i="1"/>
  <c r="D257" i="1"/>
  <c r="D256" i="1"/>
  <c r="D255" i="1"/>
  <c r="D254" i="1"/>
  <c r="D253" i="1"/>
  <c r="D252" i="1" a="1"/>
  <c r="D252" i="1" s="1"/>
  <c r="D251" i="1"/>
  <c r="D250" i="1"/>
  <c r="D249" i="1"/>
  <c r="D248" i="1"/>
  <c r="D247" i="1"/>
  <c r="D246" i="1"/>
  <c r="D245" i="1"/>
  <c r="D244" i="1"/>
  <c r="D243" i="1"/>
  <c r="D242" i="1"/>
  <c r="D241" i="1" a="1"/>
  <c r="D241" i="1" s="1"/>
  <c r="D240" i="1"/>
  <c r="D239" i="1"/>
  <c r="D238" i="1"/>
  <c r="D237" i="1"/>
  <c r="D236" i="1"/>
  <c r="D235" i="1" a="1"/>
  <c r="D235" i="1" s="1"/>
  <c r="D234" i="1"/>
  <c r="D233" i="1"/>
  <c r="D232" i="1"/>
  <c r="D231" i="1"/>
  <c r="D230" i="1"/>
  <c r="D229" i="1" a="1"/>
  <c r="D229" i="1" s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 a="1"/>
  <c r="D207" i="1" s="1"/>
  <c r="D206" i="1"/>
  <c r="D205" i="1"/>
  <c r="D204" i="1"/>
  <c r="D203" i="1"/>
  <c r="D202" i="1"/>
  <c r="D201" i="1"/>
  <c r="D200" i="1"/>
  <c r="D199" i="1"/>
  <c r="D198" i="1"/>
  <c r="D197" i="1"/>
  <c r="D196" i="1" a="1"/>
  <c r="D196" i="1" s="1"/>
  <c r="D195" i="1"/>
  <c r="D194" i="1"/>
  <c r="D193" i="1"/>
  <c r="D192" i="1"/>
  <c r="D191" i="1"/>
  <c r="D190" i="1"/>
  <c r="D189" i="1"/>
  <c r="D188" i="1"/>
  <c r="D187" i="1"/>
  <c r="D186" i="1"/>
  <c r="D185" i="1" a="1"/>
  <c r="D185" i="1" s="1"/>
  <c r="D184" i="1"/>
  <c r="D183" i="1"/>
  <c r="D182" i="1"/>
  <c r="D181" i="1"/>
  <c r="D180" i="1"/>
  <c r="D179" i="1" a="1"/>
  <c r="D179" i="1" s="1"/>
  <c r="D178" i="1"/>
  <c r="D177" i="1"/>
  <c r="D176" i="1"/>
  <c r="D175" i="1"/>
  <c r="D174" i="1"/>
  <c r="D173" i="1" a="1"/>
  <c r="D173" i="1" s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 a="1"/>
  <c r="D151" i="1" s="1"/>
  <c r="D150" i="1"/>
  <c r="D149" i="1"/>
  <c r="D148" i="1"/>
  <c r="D147" i="1"/>
  <c r="D146" i="1"/>
  <c r="D145" i="1"/>
  <c r="D144" i="1"/>
  <c r="D143" i="1"/>
  <c r="D142" i="1"/>
  <c r="D141" i="1"/>
  <c r="D140" i="1" a="1"/>
  <c r="D140" i="1" s="1"/>
  <c r="D139" i="1"/>
  <c r="D138" i="1"/>
  <c r="D137" i="1"/>
  <c r="D136" i="1"/>
  <c r="D135" i="1"/>
  <c r="D134" i="1"/>
  <c r="D133" i="1"/>
  <c r="D132" i="1"/>
  <c r="D131" i="1"/>
  <c r="D130" i="1"/>
  <c r="D129" i="1" a="1"/>
  <c r="D129" i="1" s="1"/>
  <c r="D128" i="1"/>
  <c r="D127" i="1"/>
  <c r="D126" i="1"/>
  <c r="D125" i="1"/>
  <c r="D124" i="1"/>
  <c r="D123" i="1" a="1"/>
  <c r="D123" i="1" s="1"/>
  <c r="D122" i="1"/>
  <c r="D121" i="1"/>
  <c r="D120" i="1"/>
  <c r="D119" i="1"/>
  <c r="D118" i="1"/>
  <c r="D117" i="1" a="1"/>
  <c r="D117" i="1" s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 a="1"/>
  <c r="D95" i="1" s="1"/>
  <c r="D94" i="1"/>
  <c r="D93" i="1"/>
  <c r="D92" i="1"/>
  <c r="D91" i="1"/>
  <c r="D90" i="1"/>
  <c r="D89" i="1"/>
  <c r="D88" i="1"/>
  <c r="D87" i="1"/>
  <c r="D86" i="1"/>
  <c r="D85" i="1"/>
  <c r="D84" i="1" a="1"/>
  <c r="D84" i="1" s="1"/>
  <c r="D83" i="1"/>
  <c r="D82" i="1"/>
  <c r="D81" i="1"/>
  <c r="D80" i="1"/>
  <c r="D79" i="1"/>
  <c r="D78" i="1"/>
  <c r="D77" i="1"/>
  <c r="D76" i="1"/>
  <c r="D75" i="1"/>
  <c r="D74" i="1"/>
  <c r="D73" i="1" a="1"/>
  <c r="D73" i="1" s="1"/>
  <c r="D72" i="1"/>
  <c r="D71" i="1"/>
  <c r="D70" i="1"/>
  <c r="D69" i="1"/>
  <c r="D68" i="1"/>
  <c r="D67" i="1" a="1"/>
  <c r="D67" i="1" s="1"/>
  <c r="D66" i="1"/>
  <c r="D65" i="1"/>
  <c r="D64" i="1"/>
  <c r="D63" i="1"/>
  <c r="D62" i="1"/>
  <c r="D61" i="1" a="1"/>
  <c r="D61" i="1" s="1"/>
  <c r="D60" i="1"/>
  <c r="D39" i="1" a="1"/>
  <c r="D39" i="1" s="1"/>
  <c r="D28" i="1" a="1"/>
  <c r="D28" i="1" s="1"/>
  <c r="D17" i="1" a="1"/>
  <c r="D17" i="1" s="1"/>
  <c r="D11" i="1" a="1"/>
  <c r="D11" i="1" s="1"/>
  <c r="D5" i="1" a="1"/>
  <c r="D5" i="1" s="1"/>
  <c r="B345" i="1" a="1"/>
  <c r="B345" i="1" s="1"/>
  <c r="B344" i="1" a="1"/>
  <c r="B344" i="1" s="1"/>
  <c r="B343" i="1" a="1"/>
  <c r="B343" i="1" s="1"/>
  <c r="B342" i="1" a="1"/>
  <c r="B342" i="1" s="1"/>
  <c r="B341" i="1" a="1"/>
  <c r="B341" i="1" s="1"/>
  <c r="B340" i="1" a="1"/>
  <c r="B340" i="1" s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 a="1"/>
  <c r="B319" i="1" s="1"/>
  <c r="B318" i="1"/>
  <c r="B317" i="1"/>
  <c r="B316" i="1"/>
  <c r="B315" i="1"/>
  <c r="B314" i="1"/>
  <c r="B313" i="1"/>
  <c r="B312" i="1"/>
  <c r="B311" i="1"/>
  <c r="B310" i="1"/>
  <c r="B309" i="1"/>
  <c r="B308" i="1" a="1"/>
  <c r="B308" i="1" s="1"/>
  <c r="B307" i="1"/>
  <c r="B306" i="1"/>
  <c r="B305" i="1"/>
  <c r="B304" i="1"/>
  <c r="B303" i="1"/>
  <c r="B302" i="1"/>
  <c r="B301" i="1"/>
  <c r="B300" i="1"/>
  <c r="B299" i="1"/>
  <c r="B298" i="1"/>
  <c r="B297" i="1" a="1"/>
  <c r="B297" i="1" s="1"/>
  <c r="B296" i="1"/>
  <c r="B295" i="1"/>
  <c r="B294" i="1"/>
  <c r="B293" i="1"/>
  <c r="B292" i="1"/>
  <c r="B291" i="1" a="1"/>
  <c r="B291" i="1" s="1"/>
  <c r="B290" i="1"/>
  <c r="B289" i="1"/>
  <c r="B288" i="1"/>
  <c r="B287" i="1"/>
  <c r="B286" i="1"/>
  <c r="B285" i="1" a="1"/>
  <c r="B285" i="1" s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 a="1"/>
  <c r="B263" i="1" s="1"/>
  <c r="B262" i="1"/>
  <c r="B261" i="1"/>
  <c r="B260" i="1"/>
  <c r="B259" i="1"/>
  <c r="B258" i="1"/>
  <c r="B257" i="1"/>
  <c r="B256" i="1"/>
  <c r="B255" i="1"/>
  <c r="B254" i="1"/>
  <c r="B253" i="1"/>
  <c r="B252" i="1" a="1"/>
  <c r="B252" i="1" s="1"/>
  <c r="B251" i="1"/>
  <c r="B250" i="1"/>
  <c r="B249" i="1"/>
  <c r="B248" i="1"/>
  <c r="B247" i="1"/>
  <c r="B246" i="1"/>
  <c r="B245" i="1"/>
  <c r="B244" i="1"/>
  <c r="B243" i="1"/>
  <c r="B242" i="1"/>
  <c r="B241" i="1" a="1"/>
  <c r="B241" i="1" s="1"/>
  <c r="B240" i="1"/>
  <c r="B239" i="1"/>
  <c r="B238" i="1"/>
  <c r="B237" i="1"/>
  <c r="B236" i="1"/>
  <c r="B235" i="1" a="1"/>
  <c r="B235" i="1" s="1"/>
  <c r="B234" i="1"/>
  <c r="B233" i="1"/>
  <c r="B232" i="1"/>
  <c r="B231" i="1"/>
  <c r="B230" i="1"/>
  <c r="B229" i="1" a="1"/>
  <c r="B229" i="1" s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 a="1"/>
  <c r="B207" i="1" s="1"/>
  <c r="B206" i="1"/>
  <c r="B205" i="1"/>
  <c r="B204" i="1"/>
  <c r="B203" i="1"/>
  <c r="B202" i="1"/>
  <c r="B201" i="1"/>
  <c r="B200" i="1"/>
  <c r="B199" i="1"/>
  <c r="B198" i="1"/>
  <c r="B197" i="1"/>
  <c r="B196" i="1" a="1"/>
  <c r="B196" i="1" s="1"/>
  <c r="B195" i="1"/>
  <c r="B194" i="1"/>
  <c r="B193" i="1"/>
  <c r="B192" i="1"/>
  <c r="B191" i="1"/>
  <c r="B190" i="1"/>
  <c r="B189" i="1"/>
  <c r="B188" i="1"/>
  <c r="B187" i="1"/>
  <c r="B186" i="1"/>
  <c r="B185" i="1" a="1"/>
  <c r="B185" i="1" s="1"/>
  <c r="B184" i="1"/>
  <c r="B183" i="1"/>
  <c r="B182" i="1"/>
  <c r="B181" i="1"/>
  <c r="B180" i="1"/>
  <c r="B179" i="1" a="1"/>
  <c r="B179" i="1" s="1"/>
  <c r="B178" i="1"/>
  <c r="B177" i="1"/>
  <c r="B176" i="1"/>
  <c r="B175" i="1"/>
  <c r="B174" i="1"/>
  <c r="B173" i="1" a="1"/>
  <c r="B173" i="1" s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 a="1"/>
  <c r="B151" i="1" s="1"/>
  <c r="B150" i="1"/>
  <c r="B149" i="1"/>
  <c r="B148" i="1"/>
  <c r="B147" i="1"/>
  <c r="B146" i="1"/>
  <c r="B145" i="1"/>
  <c r="B144" i="1"/>
  <c r="B143" i="1"/>
  <c r="B142" i="1"/>
  <c r="B141" i="1"/>
  <c r="B140" i="1" a="1"/>
  <c r="B140" i="1" s="1"/>
  <c r="B139" i="1"/>
  <c r="B138" i="1"/>
  <c r="B137" i="1"/>
  <c r="B136" i="1"/>
  <c r="B135" i="1"/>
  <c r="B134" i="1"/>
  <c r="B133" i="1"/>
  <c r="B132" i="1"/>
  <c r="B131" i="1"/>
  <c r="B130" i="1"/>
  <c r="B129" i="1" a="1"/>
  <c r="B129" i="1" s="1"/>
  <c r="B128" i="1"/>
  <c r="B127" i="1"/>
  <c r="B126" i="1"/>
  <c r="B125" i="1"/>
  <c r="B124" i="1"/>
  <c r="B123" i="1" a="1"/>
  <c r="B123" i="1" s="1"/>
  <c r="B122" i="1"/>
  <c r="B121" i="1"/>
  <c r="B120" i="1"/>
  <c r="B119" i="1"/>
  <c r="B118" i="1"/>
  <c r="B117" i="1" a="1"/>
  <c r="B117" i="1" s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 a="1"/>
  <c r="B95" i="1" s="1"/>
  <c r="B94" i="1"/>
  <c r="B93" i="1"/>
  <c r="B92" i="1"/>
  <c r="B91" i="1"/>
  <c r="B90" i="1"/>
  <c r="B89" i="1"/>
  <c r="B88" i="1"/>
  <c r="B87" i="1"/>
  <c r="B86" i="1"/>
  <c r="B85" i="1"/>
  <c r="B84" i="1" a="1"/>
  <c r="B84" i="1" s="1"/>
  <c r="B83" i="1"/>
  <c r="B82" i="1"/>
  <c r="B81" i="1"/>
  <c r="B80" i="1"/>
  <c r="B79" i="1"/>
  <c r="B78" i="1"/>
  <c r="B77" i="1"/>
  <c r="B76" i="1"/>
  <c r="B75" i="1"/>
  <c r="B74" i="1"/>
  <c r="B73" i="1" a="1"/>
  <c r="B73" i="1" s="1"/>
  <c r="B72" i="1"/>
  <c r="B71" i="1"/>
  <c r="B70" i="1"/>
  <c r="B69" i="1"/>
  <c r="B68" i="1"/>
  <c r="B67" i="1" a="1"/>
  <c r="B67" i="1" s="1"/>
  <c r="B66" i="1"/>
  <c r="B65" i="1"/>
  <c r="B64" i="1"/>
  <c r="B63" i="1"/>
  <c r="B62" i="1"/>
  <c r="B61" i="1" a="1"/>
  <c r="B61" i="1" s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 a="1"/>
  <c r="B39" i="1" s="1"/>
  <c r="B38" i="1"/>
  <c r="B37" i="1"/>
  <c r="B36" i="1"/>
  <c r="B35" i="1"/>
  <c r="B34" i="1"/>
  <c r="B33" i="1"/>
  <c r="B32" i="1"/>
  <c r="B31" i="1"/>
  <c r="B30" i="1"/>
  <c r="B29" i="1"/>
  <c r="B28" i="1" a="1"/>
  <c r="B28" i="1" s="1"/>
  <c r="B27" i="1"/>
  <c r="B26" i="1"/>
  <c r="B25" i="1"/>
  <c r="B24" i="1"/>
  <c r="B23" i="1"/>
  <c r="B22" i="1"/>
  <c r="B21" i="1"/>
  <c r="B20" i="1"/>
  <c r="B19" i="1"/>
  <c r="B18" i="1"/>
  <c r="B17" i="1" a="1"/>
  <c r="B17" i="1" s="1"/>
  <c r="B16" i="1"/>
  <c r="B15" i="1"/>
  <c r="B14" i="1"/>
  <c r="B13" i="1"/>
  <c r="B12" i="1"/>
  <c r="B11" i="1" a="1"/>
  <c r="B11" i="1" s="1"/>
  <c r="B10" i="1"/>
  <c r="B9" i="1"/>
  <c r="B8" i="1"/>
  <c r="B7" i="1"/>
  <c r="B6" i="1"/>
  <c r="B5" i="1" a="1"/>
  <c r="B5" i="1" s="1"/>
  <c r="B4" i="1"/>
  <c r="C340" i="1" a="1"/>
  <c r="C340" i="1" s="1"/>
  <c r="D1033" i="1" l="1"/>
  <c r="V687" i="1"/>
  <c r="D1034" i="1"/>
  <c r="V688" i="1"/>
  <c r="D1035" i="1"/>
  <c r="V689" i="1"/>
  <c r="D1036" i="1"/>
  <c r="V690" i="1"/>
  <c r="V129" i="1"/>
  <c r="V95" i="1"/>
  <c r="V179" i="1"/>
  <c r="V285" i="1"/>
  <c r="V84" i="1"/>
  <c r="V297" i="1"/>
  <c r="V61" i="1"/>
  <c r="V229" i="1"/>
  <c r="V123" i="1"/>
  <c r="V291" i="1"/>
  <c r="N78" i="2"/>
  <c r="V196" i="1"/>
  <c r="V173" i="1"/>
  <c r="V60" i="1"/>
  <c r="V73" i="1"/>
  <c r="V228" i="1"/>
  <c r="V252" i="1"/>
  <c r="V185" i="1"/>
  <c r="V67" i="1"/>
  <c r="V116" i="1"/>
  <c r="V151" i="1"/>
  <c r="V263" i="1"/>
  <c r="V207" i="1"/>
  <c r="V172" i="1"/>
  <c r="V340" i="1"/>
  <c r="V117" i="1"/>
  <c r="V235" i="1"/>
  <c r="V319" i="1"/>
  <c r="V241" i="1"/>
  <c r="V463" i="1"/>
  <c r="V140" i="1"/>
  <c r="V284" i="1"/>
  <c r="V308" i="1"/>
  <c r="V587" i="1"/>
  <c r="V553" i="1"/>
  <c r="V469" i="1"/>
  <c r="V430" i="1"/>
  <c r="V406" i="1"/>
  <c r="V665" i="1"/>
  <c r="V475" i="1"/>
  <c r="D697" i="1"/>
  <c r="V654" i="1"/>
  <c r="V630" i="1"/>
  <c r="V581" i="1"/>
  <c r="V542" i="1"/>
  <c r="V518" i="1"/>
  <c r="V419" i="1"/>
  <c r="V631" i="1"/>
  <c r="V643" i="1"/>
  <c r="V609" i="1"/>
  <c r="V575" i="1"/>
  <c r="V531" i="1"/>
  <c r="V497" i="1"/>
  <c r="V462" i="1"/>
  <c r="V413" i="1"/>
  <c r="V519" i="1"/>
  <c r="V637" i="1"/>
  <c r="V598" i="1"/>
  <c r="V574" i="1"/>
  <c r="V525" i="1"/>
  <c r="V486" i="1"/>
  <c r="V441" i="1"/>
  <c r="V407" i="1"/>
  <c r="D1032" i="1" a="1"/>
  <c r="D1032" i="1" s="1"/>
  <c r="V686" i="1"/>
  <c r="O78" i="2"/>
  <c r="D4" i="2" s="1"/>
  <c r="O83" i="2"/>
  <c r="D3" i="2" s="1"/>
  <c r="N83" i="2"/>
  <c r="E4" i="2" l="1"/>
  <c r="E3" i="2"/>
  <c r="C1032" i="1" a="1"/>
  <c r="C1032" i="1" s="1"/>
  <c r="C822" i="1"/>
  <c r="C692" i="1" a="1"/>
  <c r="C692" i="1" s="1"/>
  <c r="C1038" i="1" s="1" a="1"/>
  <c r="C1038" i="1" s="1"/>
  <c r="C691" i="1"/>
  <c r="C1037" i="1" s="1"/>
  <c r="C690" i="1"/>
  <c r="C689" i="1"/>
  <c r="C688" i="1"/>
  <c r="C687" i="1"/>
  <c r="C685" i="1"/>
  <c r="C1031" i="1" s="1"/>
  <c r="C684" i="1"/>
  <c r="C1030" i="1" s="1"/>
  <c r="C683" i="1"/>
  <c r="C1029" i="1" s="1"/>
  <c r="C682" i="1"/>
  <c r="C1028" i="1" s="1"/>
  <c r="C681" i="1"/>
  <c r="C1027" i="1" s="1"/>
  <c r="C680" i="1"/>
  <c r="C1026" i="1" s="1"/>
  <c r="C679" i="1"/>
  <c r="C1025" i="1" s="1"/>
  <c r="C678" i="1"/>
  <c r="C1024" i="1" s="1"/>
  <c r="C677" i="1"/>
  <c r="C1023" i="1" s="1"/>
  <c r="C676" i="1"/>
  <c r="C1022" i="1" s="1"/>
  <c r="C675" i="1"/>
  <c r="C1021" i="1" s="1"/>
  <c r="C674" i="1"/>
  <c r="C1020" i="1" s="1"/>
  <c r="C673" i="1"/>
  <c r="C1019" i="1" s="1"/>
  <c r="C672" i="1"/>
  <c r="C1018" i="1" s="1"/>
  <c r="C671" i="1"/>
  <c r="C1017" i="1" s="1"/>
  <c r="C670" i="1"/>
  <c r="C1016" i="1" s="1"/>
  <c r="C669" i="1"/>
  <c r="C1015" i="1" s="1"/>
  <c r="C668" i="1"/>
  <c r="C1014" i="1" s="1"/>
  <c r="C667" i="1"/>
  <c r="C1013" i="1" s="1"/>
  <c r="C666" i="1"/>
  <c r="C1012" i="1" s="1"/>
  <c r="C665" i="1"/>
  <c r="C664" i="1"/>
  <c r="C1010" i="1" s="1"/>
  <c r="C663" i="1"/>
  <c r="C1009" i="1" s="1"/>
  <c r="C662" i="1"/>
  <c r="C1008" i="1" s="1"/>
  <c r="C661" i="1"/>
  <c r="C1007" i="1" s="1"/>
  <c r="C660" i="1"/>
  <c r="C1006" i="1" s="1"/>
  <c r="C659" i="1"/>
  <c r="C1005" i="1" s="1"/>
  <c r="C658" i="1"/>
  <c r="C1004" i="1" s="1"/>
  <c r="C657" i="1"/>
  <c r="C1003" i="1" s="1"/>
  <c r="C656" i="1"/>
  <c r="C1002" i="1" s="1"/>
  <c r="C655" i="1"/>
  <c r="C1001" i="1" s="1"/>
  <c r="C654" i="1"/>
  <c r="C653" i="1"/>
  <c r="C999" i="1" s="1"/>
  <c r="C652" i="1"/>
  <c r="C998" i="1" s="1"/>
  <c r="C651" i="1"/>
  <c r="C997" i="1" s="1"/>
  <c r="C650" i="1"/>
  <c r="C996" i="1" s="1"/>
  <c r="C649" i="1"/>
  <c r="C995" i="1" s="1"/>
  <c r="C648" i="1"/>
  <c r="C994" i="1" s="1"/>
  <c r="C647" i="1"/>
  <c r="C993" i="1" s="1"/>
  <c r="C646" i="1"/>
  <c r="C992" i="1" s="1"/>
  <c r="C645" i="1"/>
  <c r="C991" i="1" s="1"/>
  <c r="C644" i="1"/>
  <c r="C990" i="1" s="1"/>
  <c r="C643" i="1"/>
  <c r="C989" i="1" s="1"/>
  <c r="C642" i="1"/>
  <c r="C988" i="1" s="1"/>
  <c r="C641" i="1"/>
  <c r="C987" i="1" s="1"/>
  <c r="C640" i="1"/>
  <c r="C986" i="1" s="1"/>
  <c r="C639" i="1"/>
  <c r="C985" i="1" s="1"/>
  <c r="C638" i="1"/>
  <c r="C984" i="1" s="1"/>
  <c r="C637" i="1"/>
  <c r="C636" i="1"/>
  <c r="C982" i="1" s="1"/>
  <c r="C635" i="1"/>
  <c r="C981" i="1" s="1"/>
  <c r="C634" i="1"/>
  <c r="C980" i="1" s="1"/>
  <c r="C633" i="1"/>
  <c r="C979" i="1" s="1"/>
  <c r="C632" i="1"/>
  <c r="C978" i="1" s="1"/>
  <c r="C631" i="1"/>
  <c r="C630" i="1"/>
  <c r="C629" i="1"/>
  <c r="C975" i="1" s="1"/>
  <c r="C628" i="1"/>
  <c r="C974" i="1" s="1"/>
  <c r="C627" i="1"/>
  <c r="C973" i="1" s="1"/>
  <c r="C626" i="1"/>
  <c r="C972" i="1" s="1"/>
  <c r="C625" i="1"/>
  <c r="C971" i="1" s="1"/>
  <c r="C624" i="1"/>
  <c r="C970" i="1" s="1"/>
  <c r="C623" i="1"/>
  <c r="C969" i="1" s="1"/>
  <c r="C622" i="1"/>
  <c r="C968" i="1" s="1"/>
  <c r="C621" i="1"/>
  <c r="C967" i="1" s="1"/>
  <c r="C620" i="1"/>
  <c r="C966" i="1" s="1"/>
  <c r="C619" i="1"/>
  <c r="C965" i="1" s="1"/>
  <c r="C618" i="1"/>
  <c r="C964" i="1" s="1"/>
  <c r="C617" i="1"/>
  <c r="C963" i="1" s="1"/>
  <c r="C616" i="1"/>
  <c r="C962" i="1" s="1"/>
  <c r="C615" i="1"/>
  <c r="C961" i="1" s="1"/>
  <c r="C614" i="1"/>
  <c r="C960" i="1" s="1"/>
  <c r="C613" i="1"/>
  <c r="C959" i="1" s="1"/>
  <c r="C612" i="1"/>
  <c r="C958" i="1" s="1"/>
  <c r="C611" i="1"/>
  <c r="C957" i="1" s="1"/>
  <c r="C610" i="1"/>
  <c r="C956" i="1" s="1"/>
  <c r="C609" i="1"/>
  <c r="C608" i="1"/>
  <c r="C954" i="1" s="1"/>
  <c r="C607" i="1"/>
  <c r="C953" i="1" s="1"/>
  <c r="C606" i="1"/>
  <c r="C952" i="1" s="1"/>
  <c r="C605" i="1"/>
  <c r="C951" i="1" s="1"/>
  <c r="C604" i="1"/>
  <c r="C950" i="1" s="1"/>
  <c r="C603" i="1"/>
  <c r="C949" i="1" s="1"/>
  <c r="C602" i="1"/>
  <c r="C948" i="1" s="1"/>
  <c r="C601" i="1"/>
  <c r="C947" i="1" s="1"/>
  <c r="C600" i="1"/>
  <c r="C946" i="1" s="1"/>
  <c r="C599" i="1"/>
  <c r="C945" i="1" s="1"/>
  <c r="C598" i="1"/>
  <c r="C597" i="1"/>
  <c r="C943" i="1" s="1"/>
  <c r="C596" i="1"/>
  <c r="C942" i="1" s="1"/>
  <c r="C595" i="1"/>
  <c r="C941" i="1" s="1"/>
  <c r="C594" i="1"/>
  <c r="C940" i="1" s="1"/>
  <c r="C593" i="1"/>
  <c r="C939" i="1" s="1"/>
  <c r="C592" i="1"/>
  <c r="C938" i="1" s="1"/>
  <c r="C591" i="1"/>
  <c r="C937" i="1" s="1"/>
  <c r="C590" i="1"/>
  <c r="C936" i="1" s="1"/>
  <c r="C589" i="1"/>
  <c r="C935" i="1" s="1"/>
  <c r="C588" i="1"/>
  <c r="C934" i="1" s="1"/>
  <c r="C587" i="1"/>
  <c r="C933" i="1" s="1"/>
  <c r="C586" i="1"/>
  <c r="C932" i="1" s="1"/>
  <c r="C585" i="1"/>
  <c r="C931" i="1" s="1"/>
  <c r="C584" i="1"/>
  <c r="C930" i="1" s="1"/>
  <c r="C583" i="1"/>
  <c r="C929" i="1" s="1"/>
  <c r="C582" i="1"/>
  <c r="C928" i="1" s="1"/>
  <c r="C581" i="1"/>
  <c r="C580" i="1"/>
  <c r="C926" i="1" s="1"/>
  <c r="C579" i="1"/>
  <c r="C925" i="1" s="1"/>
  <c r="C578" i="1"/>
  <c r="C924" i="1" s="1"/>
  <c r="C577" i="1"/>
  <c r="C923" i="1" s="1"/>
  <c r="C576" i="1"/>
  <c r="C922" i="1" s="1"/>
  <c r="C575" i="1"/>
  <c r="C574" i="1"/>
  <c r="C573" i="1"/>
  <c r="C919" i="1" s="1"/>
  <c r="C572" i="1"/>
  <c r="C918" i="1" s="1"/>
  <c r="C571" i="1"/>
  <c r="C917" i="1" s="1"/>
  <c r="C570" i="1"/>
  <c r="C916" i="1" s="1"/>
  <c r="C569" i="1"/>
  <c r="C915" i="1" s="1"/>
  <c r="C568" i="1"/>
  <c r="C914" i="1" s="1"/>
  <c r="C567" i="1"/>
  <c r="C913" i="1" s="1"/>
  <c r="C566" i="1"/>
  <c r="C912" i="1" s="1"/>
  <c r="C565" i="1"/>
  <c r="C911" i="1" s="1"/>
  <c r="C564" i="1"/>
  <c r="C910" i="1" s="1"/>
  <c r="C563" i="1"/>
  <c r="C909" i="1" s="1"/>
  <c r="C562" i="1"/>
  <c r="C908" i="1" s="1"/>
  <c r="C561" i="1"/>
  <c r="C907" i="1" s="1"/>
  <c r="C560" i="1"/>
  <c r="C906" i="1" s="1"/>
  <c r="C559" i="1"/>
  <c r="C905" i="1" s="1"/>
  <c r="C558" i="1"/>
  <c r="C904" i="1" s="1"/>
  <c r="C557" i="1"/>
  <c r="C903" i="1" s="1"/>
  <c r="C556" i="1"/>
  <c r="C902" i="1" s="1"/>
  <c r="C555" i="1"/>
  <c r="C901" i="1" s="1"/>
  <c r="C554" i="1"/>
  <c r="C900" i="1" s="1"/>
  <c r="C553" i="1"/>
  <c r="C552" i="1"/>
  <c r="C898" i="1" s="1"/>
  <c r="C551" i="1"/>
  <c r="C897" i="1" s="1"/>
  <c r="C550" i="1"/>
  <c r="C896" i="1" s="1"/>
  <c r="C549" i="1"/>
  <c r="C895" i="1" s="1"/>
  <c r="C548" i="1"/>
  <c r="C894" i="1" s="1"/>
  <c r="C547" i="1"/>
  <c r="C893" i="1" s="1"/>
  <c r="C546" i="1"/>
  <c r="C892" i="1" s="1"/>
  <c r="C545" i="1"/>
  <c r="C891" i="1" s="1"/>
  <c r="C544" i="1"/>
  <c r="C890" i="1" s="1"/>
  <c r="C543" i="1"/>
  <c r="C889" i="1" s="1"/>
  <c r="C542" i="1"/>
  <c r="C541" i="1"/>
  <c r="C887" i="1" s="1"/>
  <c r="C540" i="1"/>
  <c r="C886" i="1" s="1"/>
  <c r="C539" i="1"/>
  <c r="C885" i="1" s="1"/>
  <c r="C538" i="1"/>
  <c r="C884" i="1" s="1"/>
  <c r="C537" i="1"/>
  <c r="C883" i="1" s="1"/>
  <c r="C536" i="1"/>
  <c r="C882" i="1" s="1"/>
  <c r="C535" i="1"/>
  <c r="C881" i="1" s="1"/>
  <c r="C534" i="1"/>
  <c r="C880" i="1" s="1"/>
  <c r="C533" i="1"/>
  <c r="C879" i="1" s="1"/>
  <c r="C532" i="1"/>
  <c r="C878" i="1" s="1"/>
  <c r="C531" i="1"/>
  <c r="C877" i="1" s="1"/>
  <c r="C530" i="1"/>
  <c r="C876" i="1" s="1"/>
  <c r="C529" i="1"/>
  <c r="C875" i="1" s="1"/>
  <c r="C528" i="1"/>
  <c r="C874" i="1" s="1"/>
  <c r="C527" i="1"/>
  <c r="C873" i="1" s="1"/>
  <c r="C526" i="1"/>
  <c r="C872" i="1" s="1"/>
  <c r="C525" i="1"/>
  <c r="C524" i="1"/>
  <c r="C870" i="1" s="1"/>
  <c r="C523" i="1"/>
  <c r="C869" i="1" s="1"/>
  <c r="C522" i="1"/>
  <c r="C868" i="1" s="1"/>
  <c r="C521" i="1"/>
  <c r="C867" i="1" s="1"/>
  <c r="C520" i="1"/>
  <c r="C866" i="1" s="1"/>
  <c r="C519" i="1"/>
  <c r="C518" i="1"/>
  <c r="C517" i="1"/>
  <c r="C863" i="1" s="1"/>
  <c r="C516" i="1"/>
  <c r="C862" i="1" s="1"/>
  <c r="C515" i="1"/>
  <c r="C861" i="1" s="1"/>
  <c r="C514" i="1"/>
  <c r="C860" i="1" s="1"/>
  <c r="C513" i="1"/>
  <c r="C859" i="1" s="1"/>
  <c r="C512" i="1"/>
  <c r="C858" i="1" s="1"/>
  <c r="C511" i="1"/>
  <c r="C857" i="1" s="1"/>
  <c r="C510" i="1"/>
  <c r="C856" i="1" s="1"/>
  <c r="C509" i="1"/>
  <c r="C855" i="1" s="1"/>
  <c r="C508" i="1"/>
  <c r="C854" i="1" s="1"/>
  <c r="C507" i="1"/>
  <c r="C853" i="1" s="1"/>
  <c r="C506" i="1"/>
  <c r="C852" i="1" s="1"/>
  <c r="C505" i="1"/>
  <c r="C851" i="1" s="1"/>
  <c r="C504" i="1"/>
  <c r="C850" i="1" s="1"/>
  <c r="C503" i="1"/>
  <c r="C849" i="1" s="1"/>
  <c r="C502" i="1"/>
  <c r="C848" i="1" s="1"/>
  <c r="C501" i="1"/>
  <c r="C847" i="1" s="1"/>
  <c r="C500" i="1"/>
  <c r="C846" i="1" s="1"/>
  <c r="C499" i="1"/>
  <c r="C845" i="1" s="1"/>
  <c r="C498" i="1"/>
  <c r="C844" i="1" s="1"/>
  <c r="C497" i="1"/>
  <c r="C496" i="1"/>
  <c r="C842" i="1" s="1"/>
  <c r="C495" i="1"/>
  <c r="C841" i="1" s="1"/>
  <c r="C494" i="1"/>
  <c r="C840" i="1" s="1"/>
  <c r="C493" i="1"/>
  <c r="C839" i="1" s="1"/>
  <c r="C492" i="1"/>
  <c r="C838" i="1" s="1"/>
  <c r="C491" i="1"/>
  <c r="C837" i="1" s="1"/>
  <c r="C490" i="1"/>
  <c r="C836" i="1" s="1"/>
  <c r="C489" i="1"/>
  <c r="C835" i="1" s="1"/>
  <c r="C488" i="1"/>
  <c r="C834" i="1" s="1"/>
  <c r="C487" i="1"/>
  <c r="C833" i="1" s="1"/>
  <c r="C486" i="1"/>
  <c r="C832" i="1" s="1"/>
  <c r="C485" i="1"/>
  <c r="C831" i="1" s="1"/>
  <c r="C484" i="1"/>
  <c r="C830" i="1" s="1"/>
  <c r="C483" i="1"/>
  <c r="C829" i="1" s="1"/>
  <c r="C482" i="1"/>
  <c r="C828" i="1" s="1"/>
  <c r="C481" i="1"/>
  <c r="C827" i="1" s="1"/>
  <c r="C480" i="1"/>
  <c r="C826" i="1" s="1"/>
  <c r="C479" i="1"/>
  <c r="C825" i="1" s="1"/>
  <c r="C478" i="1"/>
  <c r="C824" i="1" s="1"/>
  <c r="C477" i="1"/>
  <c r="C823" i="1" s="1"/>
  <c r="C475" i="1"/>
  <c r="C821" i="1" s="1"/>
  <c r="C474" i="1"/>
  <c r="C820" i="1" s="1"/>
  <c r="C473" i="1"/>
  <c r="C819" i="1" s="1"/>
  <c r="C472" i="1"/>
  <c r="C818" i="1" s="1"/>
  <c r="C471" i="1"/>
  <c r="C817" i="1" s="1"/>
  <c r="C470" i="1"/>
  <c r="C816" i="1" s="1"/>
  <c r="C469" i="1"/>
  <c r="C468" i="1"/>
  <c r="C814" i="1" s="1"/>
  <c r="C467" i="1"/>
  <c r="C813" i="1" s="1"/>
  <c r="C466" i="1"/>
  <c r="C812" i="1" s="1"/>
  <c r="C465" i="1"/>
  <c r="C811" i="1" s="1"/>
  <c r="C464" i="1"/>
  <c r="C810" i="1" s="1"/>
  <c r="C463" i="1"/>
  <c r="C462" i="1"/>
  <c r="C461" i="1"/>
  <c r="C807" i="1" s="1"/>
  <c r="C460" i="1"/>
  <c r="C806" i="1" s="1"/>
  <c r="C459" i="1"/>
  <c r="C805" i="1" s="1"/>
  <c r="C458" i="1"/>
  <c r="C804" i="1" s="1"/>
  <c r="C457" i="1"/>
  <c r="C803" i="1" s="1"/>
  <c r="C456" i="1"/>
  <c r="C802" i="1" s="1"/>
  <c r="C455" i="1"/>
  <c r="C801" i="1" s="1"/>
  <c r="C454" i="1"/>
  <c r="C800" i="1" s="1"/>
  <c r="C453" i="1"/>
  <c r="C799" i="1" s="1"/>
  <c r="C452" i="1"/>
  <c r="C798" i="1" s="1"/>
  <c r="C451" i="1"/>
  <c r="C797" i="1" s="1"/>
  <c r="C450" i="1"/>
  <c r="C796" i="1" s="1"/>
  <c r="C449" i="1"/>
  <c r="C795" i="1" s="1"/>
  <c r="C448" i="1"/>
  <c r="C794" i="1" s="1"/>
  <c r="C447" i="1"/>
  <c r="C793" i="1" s="1"/>
  <c r="C446" i="1"/>
  <c r="C792" i="1" s="1"/>
  <c r="C445" i="1"/>
  <c r="C791" i="1" s="1"/>
  <c r="C444" i="1"/>
  <c r="C790" i="1" s="1"/>
  <c r="C443" i="1"/>
  <c r="C789" i="1" s="1"/>
  <c r="C442" i="1"/>
  <c r="C788" i="1" s="1"/>
  <c r="C441" i="1"/>
  <c r="C440" i="1"/>
  <c r="C786" i="1" s="1"/>
  <c r="C439" i="1"/>
  <c r="C785" i="1" s="1"/>
  <c r="C438" i="1"/>
  <c r="C784" i="1" s="1"/>
  <c r="C437" i="1"/>
  <c r="C783" i="1" s="1"/>
  <c r="C436" i="1"/>
  <c r="C782" i="1" s="1"/>
  <c r="C435" i="1"/>
  <c r="C781" i="1" s="1"/>
  <c r="C434" i="1"/>
  <c r="C780" i="1" s="1"/>
  <c r="C433" i="1"/>
  <c r="C779" i="1" s="1"/>
  <c r="C432" i="1"/>
  <c r="C778" i="1" s="1"/>
  <c r="C431" i="1"/>
  <c r="C777" i="1" s="1"/>
  <c r="C430" i="1"/>
  <c r="C429" i="1"/>
  <c r="C775" i="1" s="1"/>
  <c r="C428" i="1"/>
  <c r="C774" i="1" s="1"/>
  <c r="C427" i="1"/>
  <c r="C773" i="1" s="1"/>
  <c r="C426" i="1"/>
  <c r="C772" i="1" s="1"/>
  <c r="C425" i="1"/>
  <c r="C771" i="1" s="1"/>
  <c r="C424" i="1"/>
  <c r="C770" i="1" s="1"/>
  <c r="C423" i="1"/>
  <c r="C769" i="1" s="1"/>
  <c r="C422" i="1"/>
  <c r="C768" i="1" s="1"/>
  <c r="C421" i="1"/>
  <c r="C767" i="1" s="1"/>
  <c r="C420" i="1"/>
  <c r="C766" i="1" s="1"/>
  <c r="C419" i="1"/>
  <c r="C765" i="1" s="1"/>
  <c r="C418" i="1"/>
  <c r="C764" i="1" s="1"/>
  <c r="C417" i="1"/>
  <c r="C763" i="1" s="1"/>
  <c r="C416" i="1"/>
  <c r="C762" i="1" s="1"/>
  <c r="C415" i="1"/>
  <c r="C761" i="1" s="1"/>
  <c r="C414" i="1"/>
  <c r="C760" i="1" s="1"/>
  <c r="C413" i="1"/>
  <c r="C412" i="1"/>
  <c r="C758" i="1" s="1"/>
  <c r="C411" i="1"/>
  <c r="C757" i="1" s="1"/>
  <c r="C410" i="1"/>
  <c r="C756" i="1" s="1"/>
  <c r="C409" i="1"/>
  <c r="C755" i="1" s="1"/>
  <c r="C408" i="1"/>
  <c r="C754" i="1" s="1"/>
  <c r="C407" i="1"/>
  <c r="C406" i="1"/>
  <c r="C385" i="1"/>
  <c r="C374" i="1"/>
  <c r="C363" i="1"/>
  <c r="C709" i="1" s="1"/>
  <c r="C357" i="1"/>
  <c r="C703" i="1" s="1"/>
  <c r="C351" i="1"/>
  <c r="C1034" i="1" l="1"/>
  <c r="U688" i="1"/>
  <c r="C1035" i="1"/>
  <c r="U689" i="1"/>
  <c r="C1036" i="1"/>
  <c r="U690" i="1"/>
  <c r="U687" i="1"/>
  <c r="U581" i="1"/>
  <c r="U637" i="1"/>
  <c r="U469" i="1"/>
  <c r="U525" i="1"/>
  <c r="U413" i="1"/>
  <c r="U518" i="1"/>
  <c r="U542" i="1"/>
  <c r="U574" i="1"/>
  <c r="U598" i="1"/>
  <c r="U630" i="1"/>
  <c r="U654" i="1"/>
  <c r="U686" i="1"/>
  <c r="U462" i="1"/>
  <c r="U519" i="1"/>
  <c r="U575" i="1"/>
  <c r="U631" i="1"/>
  <c r="C720" i="1"/>
  <c r="U406" i="1"/>
  <c r="U430" i="1"/>
  <c r="U407" i="1"/>
  <c r="U463" i="1"/>
  <c r="C731" i="1"/>
  <c r="C759" i="1"/>
  <c r="C815" i="1"/>
  <c r="C871" i="1"/>
  <c r="C927" i="1"/>
  <c r="C983" i="1"/>
  <c r="U497" i="1"/>
  <c r="U553" i="1"/>
  <c r="U609" i="1"/>
  <c r="U665" i="1"/>
  <c r="C752" i="1"/>
  <c r="C776" i="1"/>
  <c r="C808" i="1"/>
  <c r="C864" i="1"/>
  <c r="C888" i="1"/>
  <c r="C920" i="1"/>
  <c r="C944" i="1"/>
  <c r="C976" i="1"/>
  <c r="C1000" i="1"/>
  <c r="U486" i="1"/>
  <c r="U441" i="1"/>
  <c r="C753" i="1"/>
  <c r="C809" i="1"/>
  <c r="C865" i="1"/>
  <c r="C921" i="1"/>
  <c r="C977" i="1"/>
  <c r="C1033" i="1"/>
  <c r="U531" i="1"/>
  <c r="U587" i="1"/>
  <c r="U643" i="1"/>
  <c r="U419" i="1"/>
  <c r="U475" i="1"/>
  <c r="C697" i="1"/>
  <c r="C787" i="1"/>
  <c r="C843" i="1"/>
  <c r="C899" i="1"/>
  <c r="C955" i="1"/>
  <c r="C1011" i="1"/>
  <c r="B350" i="1" l="1"/>
  <c r="B696" i="1" s="1"/>
  <c r="C399" i="1" l="1"/>
  <c r="C745" i="1" s="1"/>
  <c r="C382" i="1"/>
  <c r="C728" i="1" s="1"/>
  <c r="C360" i="1"/>
  <c r="C706" i="1" s="1"/>
  <c r="C402" i="1"/>
  <c r="C748" i="1" s="1"/>
  <c r="C398" i="1"/>
  <c r="C744" i="1" s="1"/>
  <c r="C394" i="1"/>
  <c r="C740" i="1" s="1"/>
  <c r="C390" i="1"/>
  <c r="C736" i="1" s="1"/>
  <c r="C386" i="1"/>
  <c r="C381" i="1"/>
  <c r="C727" i="1" s="1"/>
  <c r="C377" i="1"/>
  <c r="C723" i="1" s="1"/>
  <c r="C372" i="1"/>
  <c r="C718" i="1" s="1"/>
  <c r="C368" i="1"/>
  <c r="C714" i="1" s="1"/>
  <c r="C364" i="1"/>
  <c r="C359" i="1"/>
  <c r="C705" i="1" s="1"/>
  <c r="C354" i="1"/>
  <c r="C700" i="1" s="1"/>
  <c r="C391" i="1"/>
  <c r="C737" i="1" s="1"/>
  <c r="C378" i="1"/>
  <c r="C724" i="1" s="1"/>
  <c r="C355" i="1"/>
  <c r="C701" i="1" s="1"/>
  <c r="C405" i="1"/>
  <c r="C751" i="1" s="1"/>
  <c r="C401" i="1"/>
  <c r="C747" i="1" s="1"/>
  <c r="C397" i="1"/>
  <c r="C743" i="1" s="1"/>
  <c r="C393" i="1"/>
  <c r="C739" i="1" s="1"/>
  <c r="C389" i="1"/>
  <c r="C735" i="1" s="1"/>
  <c r="C384" i="1"/>
  <c r="C730" i="1" s="1"/>
  <c r="C380" i="1"/>
  <c r="C726" i="1" s="1"/>
  <c r="C376" i="1"/>
  <c r="C722" i="1" s="1"/>
  <c r="C371" i="1"/>
  <c r="C717" i="1" s="1"/>
  <c r="C367" i="1"/>
  <c r="C713" i="1" s="1"/>
  <c r="C362" i="1"/>
  <c r="C708" i="1" s="1"/>
  <c r="C358" i="1"/>
  <c r="C353" i="1"/>
  <c r="C699" i="1" s="1"/>
  <c r="C395" i="1"/>
  <c r="C741" i="1" s="1"/>
  <c r="C387" i="1"/>
  <c r="C733" i="1" s="1"/>
  <c r="C373" i="1"/>
  <c r="C719" i="1" s="1"/>
  <c r="C365" i="1"/>
  <c r="C711" i="1" s="1"/>
  <c r="C403" i="1"/>
  <c r="C749" i="1" s="1"/>
  <c r="C369" i="1"/>
  <c r="C715" i="1" s="1"/>
  <c r="C404" i="1"/>
  <c r="C750" i="1" s="1"/>
  <c r="C400" i="1"/>
  <c r="C746" i="1" s="1"/>
  <c r="C396" i="1"/>
  <c r="C742" i="1" s="1"/>
  <c r="C392" i="1"/>
  <c r="C738" i="1" s="1"/>
  <c r="C388" i="1"/>
  <c r="C734" i="1" s="1"/>
  <c r="C383" i="1"/>
  <c r="C729" i="1" s="1"/>
  <c r="C379" i="1"/>
  <c r="C725" i="1" s="1"/>
  <c r="C375" i="1"/>
  <c r="C370" i="1"/>
  <c r="C716" i="1" s="1"/>
  <c r="C366" i="1"/>
  <c r="C712" i="1" s="1"/>
  <c r="C361" i="1"/>
  <c r="C707" i="1" s="1"/>
  <c r="C356" i="1"/>
  <c r="C702" i="1" s="1"/>
  <c r="C704" i="1" l="1"/>
  <c r="U357" i="1"/>
  <c r="C732" i="1"/>
  <c r="U385" i="1"/>
  <c r="C721" i="1"/>
  <c r="U374" i="1"/>
  <c r="C710" i="1"/>
  <c r="U363" i="1"/>
  <c r="C352" i="1"/>
  <c r="C350" i="1"/>
  <c r="C698" i="1" l="1"/>
  <c r="U351" i="1"/>
  <c r="C696" i="1"/>
  <c r="U350" i="1"/>
  <c r="U691" i="1" l="1"/>
  <c r="U692" i="1"/>
  <c r="B437" i="1"/>
  <c r="B435" i="1"/>
  <c r="B497" i="1"/>
  <c r="C345" i="1" a="1"/>
  <c r="C345" i="1" s="1"/>
  <c r="C344" i="1" a="1"/>
  <c r="C344" i="1" s="1"/>
  <c r="C343" i="1" a="1"/>
  <c r="C343" i="1" s="1"/>
  <c r="C342" i="1" a="1"/>
  <c r="C342" i="1" s="1"/>
  <c r="C341" i="1" a="1"/>
  <c r="C341" i="1" s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 a="1"/>
  <c r="C319" i="1" s="1"/>
  <c r="C318" i="1"/>
  <c r="C317" i="1"/>
  <c r="C316" i="1"/>
  <c r="C315" i="1"/>
  <c r="C314" i="1"/>
  <c r="C313" i="1"/>
  <c r="C312" i="1"/>
  <c r="C311" i="1"/>
  <c r="C310" i="1"/>
  <c r="C309" i="1"/>
  <c r="C308" i="1" a="1"/>
  <c r="C308" i="1" s="1"/>
  <c r="C307" i="1"/>
  <c r="C306" i="1"/>
  <c r="C305" i="1"/>
  <c r="C304" i="1"/>
  <c r="C303" i="1"/>
  <c r="C302" i="1"/>
  <c r="C301" i="1"/>
  <c r="C300" i="1"/>
  <c r="C299" i="1"/>
  <c r="C298" i="1"/>
  <c r="C297" i="1" a="1"/>
  <c r="C297" i="1" s="1"/>
  <c r="C296" i="1"/>
  <c r="C295" i="1"/>
  <c r="C294" i="1"/>
  <c r="C293" i="1"/>
  <c r="C292" i="1"/>
  <c r="C291" i="1" a="1"/>
  <c r="C291" i="1" s="1"/>
  <c r="C290" i="1"/>
  <c r="C289" i="1"/>
  <c r="C288" i="1"/>
  <c r="C287" i="1"/>
  <c r="C286" i="1"/>
  <c r="C285" i="1" a="1"/>
  <c r="C285" i="1" s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 a="1"/>
  <c r="C263" i="1" s="1"/>
  <c r="C262" i="1"/>
  <c r="C261" i="1"/>
  <c r="C260" i="1"/>
  <c r="C259" i="1"/>
  <c r="C258" i="1"/>
  <c r="C257" i="1"/>
  <c r="C256" i="1"/>
  <c r="C255" i="1"/>
  <c r="C254" i="1"/>
  <c r="C253" i="1"/>
  <c r="C252" i="1" a="1"/>
  <c r="C252" i="1" s="1"/>
  <c r="C251" i="1"/>
  <c r="C250" i="1"/>
  <c r="C249" i="1"/>
  <c r="C248" i="1"/>
  <c r="C247" i="1"/>
  <c r="C246" i="1"/>
  <c r="C245" i="1"/>
  <c r="C244" i="1"/>
  <c r="C243" i="1"/>
  <c r="C242" i="1"/>
  <c r="C241" i="1" a="1"/>
  <c r="C241" i="1" s="1"/>
  <c r="C240" i="1"/>
  <c r="C239" i="1"/>
  <c r="C238" i="1"/>
  <c r="C237" i="1"/>
  <c r="C236" i="1"/>
  <c r="C235" i="1" a="1"/>
  <c r="C235" i="1" s="1"/>
  <c r="C234" i="1"/>
  <c r="C233" i="1"/>
  <c r="C232" i="1"/>
  <c r="C231" i="1"/>
  <c r="C230" i="1"/>
  <c r="C229" i="1" a="1"/>
  <c r="C229" i="1" s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 a="1"/>
  <c r="C207" i="1" s="1"/>
  <c r="C206" i="1"/>
  <c r="C205" i="1"/>
  <c r="C204" i="1"/>
  <c r="C203" i="1"/>
  <c r="C202" i="1"/>
  <c r="C201" i="1"/>
  <c r="C200" i="1"/>
  <c r="C199" i="1"/>
  <c r="C198" i="1"/>
  <c r="C197" i="1"/>
  <c r="C196" i="1" a="1"/>
  <c r="C196" i="1" s="1"/>
  <c r="C195" i="1"/>
  <c r="C194" i="1"/>
  <c r="C193" i="1"/>
  <c r="C192" i="1"/>
  <c r="C191" i="1"/>
  <c r="C190" i="1"/>
  <c r="C189" i="1"/>
  <c r="C188" i="1"/>
  <c r="C187" i="1"/>
  <c r="C186" i="1"/>
  <c r="C185" i="1" a="1"/>
  <c r="C185" i="1" s="1"/>
  <c r="C184" i="1"/>
  <c r="C183" i="1"/>
  <c r="C182" i="1"/>
  <c r="C181" i="1"/>
  <c r="C180" i="1"/>
  <c r="C179" i="1" a="1"/>
  <c r="C179" i="1" s="1"/>
  <c r="C178" i="1"/>
  <c r="C177" i="1"/>
  <c r="C176" i="1"/>
  <c r="C175" i="1"/>
  <c r="C174" i="1"/>
  <c r="C173" i="1" a="1"/>
  <c r="C173" i="1" s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 a="1"/>
  <c r="C151" i="1" s="1"/>
  <c r="C150" i="1"/>
  <c r="C149" i="1"/>
  <c r="C148" i="1"/>
  <c r="C147" i="1"/>
  <c r="C146" i="1"/>
  <c r="C145" i="1"/>
  <c r="C144" i="1"/>
  <c r="C143" i="1"/>
  <c r="C142" i="1"/>
  <c r="C141" i="1"/>
  <c r="C140" i="1" a="1"/>
  <c r="C140" i="1" s="1"/>
  <c r="C139" i="1"/>
  <c r="C138" i="1"/>
  <c r="C137" i="1"/>
  <c r="C136" i="1"/>
  <c r="C135" i="1"/>
  <c r="C134" i="1"/>
  <c r="C133" i="1"/>
  <c r="C132" i="1"/>
  <c r="C131" i="1"/>
  <c r="C130" i="1"/>
  <c r="C129" i="1" a="1"/>
  <c r="C129" i="1" s="1"/>
  <c r="C128" i="1"/>
  <c r="C127" i="1"/>
  <c r="C126" i="1"/>
  <c r="C125" i="1"/>
  <c r="C124" i="1"/>
  <c r="C123" i="1" a="1"/>
  <c r="C123" i="1" s="1"/>
  <c r="C122" i="1"/>
  <c r="C121" i="1"/>
  <c r="C120" i="1"/>
  <c r="C119" i="1"/>
  <c r="C118" i="1"/>
  <c r="C117" i="1" a="1"/>
  <c r="C117" i="1" s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 a="1"/>
  <c r="C95" i="1" s="1"/>
  <c r="C94" i="1"/>
  <c r="C93" i="1"/>
  <c r="C92" i="1"/>
  <c r="C91" i="1"/>
  <c r="C90" i="1"/>
  <c r="C89" i="1"/>
  <c r="C88" i="1"/>
  <c r="C87" i="1"/>
  <c r="C86" i="1"/>
  <c r="C85" i="1"/>
  <c r="C84" i="1" a="1"/>
  <c r="C84" i="1" s="1"/>
  <c r="C83" i="1"/>
  <c r="C82" i="1"/>
  <c r="C81" i="1"/>
  <c r="C80" i="1"/>
  <c r="C79" i="1"/>
  <c r="C78" i="1"/>
  <c r="C77" i="1"/>
  <c r="C76" i="1"/>
  <c r="C75" i="1"/>
  <c r="C74" i="1"/>
  <c r="C73" i="1" a="1"/>
  <c r="C73" i="1" s="1"/>
  <c r="C72" i="1"/>
  <c r="C71" i="1"/>
  <c r="C70" i="1"/>
  <c r="C69" i="1"/>
  <c r="C68" i="1"/>
  <c r="C67" i="1" a="1"/>
  <c r="C67" i="1" s="1"/>
  <c r="C66" i="1"/>
  <c r="C65" i="1"/>
  <c r="C64" i="1"/>
  <c r="C63" i="1"/>
  <c r="C62" i="1"/>
  <c r="C61" i="1" a="1"/>
  <c r="C61" i="1" s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 a="1"/>
  <c r="C39" i="1" s="1"/>
  <c r="C38" i="1"/>
  <c r="C37" i="1"/>
  <c r="C36" i="1"/>
  <c r="C35" i="1"/>
  <c r="C34" i="1"/>
  <c r="C33" i="1"/>
  <c r="C32" i="1"/>
  <c r="C31" i="1"/>
  <c r="C30" i="1"/>
  <c r="C29" i="1"/>
  <c r="C28" i="1" a="1"/>
  <c r="C28" i="1" s="1"/>
  <c r="C27" i="1"/>
  <c r="C26" i="1"/>
  <c r="C25" i="1"/>
  <c r="C24" i="1"/>
  <c r="C23" i="1"/>
  <c r="C22" i="1"/>
  <c r="C21" i="1"/>
  <c r="C20" i="1"/>
  <c r="C19" i="1"/>
  <c r="C18" i="1"/>
  <c r="C17" i="1" a="1"/>
  <c r="C17" i="1" s="1"/>
  <c r="C16" i="1"/>
  <c r="C15" i="1"/>
  <c r="C14" i="1"/>
  <c r="C13" i="1"/>
  <c r="C12" i="1"/>
  <c r="C11" i="1" a="1"/>
  <c r="C11" i="1" s="1"/>
  <c r="C10" i="1"/>
  <c r="C9" i="1"/>
  <c r="C8" i="1"/>
  <c r="C7" i="1"/>
  <c r="C6" i="1"/>
  <c r="C5" i="1" a="1"/>
  <c r="C5" i="1" s="1"/>
  <c r="C4" i="1"/>
  <c r="U123" i="1" l="1"/>
  <c r="U291" i="1"/>
  <c r="U340" i="1"/>
  <c r="U5" i="1"/>
  <c r="U173" i="1"/>
  <c r="U61" i="1"/>
  <c r="U229" i="1"/>
  <c r="U235" i="1"/>
  <c r="U117" i="1"/>
  <c r="U285" i="1"/>
  <c r="U67" i="1"/>
  <c r="U11" i="1"/>
  <c r="U179" i="1"/>
  <c r="U39" i="1"/>
  <c r="U95" i="1"/>
  <c r="U151" i="1"/>
  <c r="U207" i="1"/>
  <c r="U263" i="1"/>
  <c r="U308" i="1"/>
  <c r="U319" i="1"/>
  <c r="U73" i="1"/>
  <c r="U129" i="1"/>
  <c r="U185" i="1"/>
  <c r="U241" i="1"/>
  <c r="U17" i="1"/>
  <c r="U297" i="1"/>
  <c r="U4" i="1"/>
  <c r="U28" i="1"/>
  <c r="U60" i="1"/>
  <c r="U84" i="1"/>
  <c r="U116" i="1"/>
  <c r="U140" i="1"/>
  <c r="U172" i="1"/>
  <c r="U196" i="1"/>
  <c r="U228" i="1"/>
  <c r="U252" i="1"/>
  <c r="U284" i="1"/>
  <c r="L88" i="2" a="1"/>
  <c r="L88" i="2" s="1"/>
  <c r="C2" i="2" s="1"/>
  <c r="T319" i="1"/>
  <c r="T308" i="1"/>
  <c r="T297" i="1"/>
  <c r="T291" i="1"/>
  <c r="T285" i="1"/>
  <c r="T284" i="1"/>
  <c r="T263" i="1"/>
  <c r="T252" i="1"/>
  <c r="T241" i="1"/>
  <c r="T235" i="1"/>
  <c r="T229" i="1"/>
  <c r="T228" i="1"/>
  <c r="T207" i="1"/>
  <c r="T196" i="1"/>
  <c r="T185" i="1"/>
  <c r="T179" i="1"/>
  <c r="T173" i="1"/>
  <c r="T172" i="1"/>
  <c r="T151" i="1"/>
  <c r="T140" i="1"/>
  <c r="T129" i="1"/>
  <c r="T123" i="1"/>
  <c r="T117" i="1"/>
  <c r="T116" i="1"/>
  <c r="T95" i="1"/>
  <c r="T84" i="1"/>
  <c r="T73" i="1"/>
  <c r="T67" i="1"/>
  <c r="T61" i="1"/>
  <c r="T60" i="1"/>
  <c r="T39" i="1"/>
  <c r="T28" i="1"/>
  <c r="T17" i="1"/>
  <c r="T11" i="1"/>
  <c r="T5" i="1"/>
  <c r="T4" i="1"/>
  <c r="B843" i="1"/>
  <c r="B783" i="1"/>
  <c r="B781" i="1"/>
  <c r="B692" i="1" a="1"/>
  <c r="B692" i="1" s="1"/>
  <c r="B691" i="1"/>
  <c r="B690" i="1"/>
  <c r="B689" i="1"/>
  <c r="B1035" i="1" s="1"/>
  <c r="B688" i="1"/>
  <c r="B687" i="1"/>
  <c r="B685" i="1"/>
  <c r="B1031" i="1" s="1"/>
  <c r="B684" i="1"/>
  <c r="B1030" i="1" s="1"/>
  <c r="B683" i="1"/>
  <c r="B1029" i="1" s="1"/>
  <c r="B682" i="1"/>
  <c r="B1028" i="1" s="1"/>
  <c r="B681" i="1"/>
  <c r="B1027" i="1" s="1"/>
  <c r="B680" i="1"/>
  <c r="B1026" i="1" s="1"/>
  <c r="B679" i="1"/>
  <c r="B1025" i="1" s="1"/>
  <c r="B678" i="1"/>
  <c r="B1024" i="1" s="1"/>
  <c r="B677" i="1"/>
  <c r="B1023" i="1" s="1"/>
  <c r="B676" i="1"/>
  <c r="B1022" i="1" s="1"/>
  <c r="B675" i="1"/>
  <c r="B1021" i="1" s="1"/>
  <c r="B674" i="1"/>
  <c r="B1020" i="1" s="1"/>
  <c r="B673" i="1"/>
  <c r="B1019" i="1" s="1"/>
  <c r="B672" i="1"/>
  <c r="B1018" i="1" s="1"/>
  <c r="B671" i="1"/>
  <c r="B1017" i="1" s="1"/>
  <c r="B670" i="1"/>
  <c r="B1016" i="1" s="1"/>
  <c r="B669" i="1"/>
  <c r="B1015" i="1" s="1"/>
  <c r="B668" i="1"/>
  <c r="B1014" i="1" s="1"/>
  <c r="B667" i="1"/>
  <c r="B1013" i="1" s="1"/>
  <c r="B666" i="1"/>
  <c r="B1012" i="1" s="1"/>
  <c r="B665" i="1"/>
  <c r="B664" i="1"/>
  <c r="B1010" i="1" s="1"/>
  <c r="B663" i="1"/>
  <c r="B1009" i="1" s="1"/>
  <c r="B662" i="1"/>
  <c r="B1008" i="1" s="1"/>
  <c r="B661" i="1"/>
  <c r="B1007" i="1" s="1"/>
  <c r="B660" i="1"/>
  <c r="B1006" i="1" s="1"/>
  <c r="B659" i="1"/>
  <c r="B1005" i="1" s="1"/>
  <c r="B658" i="1"/>
  <c r="B1004" i="1" s="1"/>
  <c r="B657" i="1"/>
  <c r="B1003" i="1" s="1"/>
  <c r="B656" i="1"/>
  <c r="B1002" i="1" s="1"/>
  <c r="B655" i="1"/>
  <c r="B1001" i="1" s="1"/>
  <c r="B654" i="1"/>
  <c r="B653" i="1"/>
  <c r="B999" i="1" s="1"/>
  <c r="B652" i="1"/>
  <c r="B998" i="1" s="1"/>
  <c r="B651" i="1"/>
  <c r="B997" i="1" s="1"/>
  <c r="B650" i="1"/>
  <c r="B996" i="1" s="1"/>
  <c r="B649" i="1"/>
  <c r="B995" i="1" s="1"/>
  <c r="B648" i="1"/>
  <c r="B994" i="1" s="1"/>
  <c r="B647" i="1"/>
  <c r="B993" i="1" s="1"/>
  <c r="B646" i="1"/>
  <c r="B992" i="1" s="1"/>
  <c r="B645" i="1"/>
  <c r="B991" i="1" s="1"/>
  <c r="B644" i="1"/>
  <c r="B990" i="1" s="1"/>
  <c r="B643" i="1"/>
  <c r="B989" i="1" s="1"/>
  <c r="B642" i="1"/>
  <c r="B988" i="1" s="1"/>
  <c r="B641" i="1"/>
  <c r="B987" i="1" s="1"/>
  <c r="B640" i="1"/>
  <c r="B986" i="1" s="1"/>
  <c r="B639" i="1"/>
  <c r="B985" i="1" s="1"/>
  <c r="B638" i="1"/>
  <c r="B984" i="1" s="1"/>
  <c r="B637" i="1"/>
  <c r="B983" i="1" s="1"/>
  <c r="B636" i="1"/>
  <c r="B982" i="1" s="1"/>
  <c r="B635" i="1"/>
  <c r="B981" i="1" s="1"/>
  <c r="B634" i="1"/>
  <c r="B980" i="1" s="1"/>
  <c r="B633" i="1"/>
  <c r="B979" i="1" s="1"/>
  <c r="B632" i="1"/>
  <c r="B978" i="1" s="1"/>
  <c r="B631" i="1"/>
  <c r="B977" i="1" s="1"/>
  <c r="B630" i="1"/>
  <c r="B976" i="1" s="1"/>
  <c r="B629" i="1"/>
  <c r="B975" i="1" s="1"/>
  <c r="B628" i="1"/>
  <c r="B974" i="1" s="1"/>
  <c r="B627" i="1"/>
  <c r="B973" i="1" s="1"/>
  <c r="B626" i="1"/>
  <c r="B972" i="1" s="1"/>
  <c r="B625" i="1"/>
  <c r="B971" i="1" s="1"/>
  <c r="B624" i="1"/>
  <c r="B970" i="1" s="1"/>
  <c r="B622" i="1"/>
  <c r="B968" i="1" s="1"/>
  <c r="B621" i="1"/>
  <c r="B967" i="1" s="1"/>
  <c r="B620" i="1"/>
  <c r="B966" i="1" s="1"/>
  <c r="B619" i="1"/>
  <c r="B965" i="1" s="1"/>
  <c r="B618" i="1"/>
  <c r="B964" i="1" s="1"/>
  <c r="B617" i="1"/>
  <c r="B963" i="1" s="1"/>
  <c r="B616" i="1"/>
  <c r="B962" i="1" s="1"/>
  <c r="B615" i="1"/>
  <c r="B961" i="1" s="1"/>
  <c r="B614" i="1"/>
  <c r="B960" i="1" s="1"/>
  <c r="B613" i="1"/>
  <c r="B959" i="1" s="1"/>
  <c r="B612" i="1"/>
  <c r="B958" i="1" s="1"/>
  <c r="B611" i="1"/>
  <c r="B957" i="1" s="1"/>
  <c r="B610" i="1"/>
  <c r="B956" i="1" s="1"/>
  <c r="B609" i="1"/>
  <c r="B955" i="1" s="1"/>
  <c r="B608" i="1"/>
  <c r="B954" i="1" s="1"/>
  <c r="B607" i="1"/>
  <c r="B953" i="1" s="1"/>
  <c r="B606" i="1"/>
  <c r="B952" i="1" s="1"/>
  <c r="B605" i="1"/>
  <c r="B951" i="1" s="1"/>
  <c r="B604" i="1"/>
  <c r="B950" i="1" s="1"/>
  <c r="B603" i="1"/>
  <c r="B949" i="1" s="1"/>
  <c r="B602" i="1"/>
  <c r="B948" i="1" s="1"/>
  <c r="B601" i="1"/>
  <c r="B947" i="1" s="1"/>
  <c r="B600" i="1"/>
  <c r="B946" i="1" s="1"/>
  <c r="B599" i="1"/>
  <c r="B945" i="1" s="1"/>
  <c r="B598" i="1"/>
  <c r="B597" i="1"/>
  <c r="B943" i="1" s="1"/>
  <c r="B596" i="1"/>
  <c r="B942" i="1" s="1"/>
  <c r="B595" i="1"/>
  <c r="B941" i="1" s="1"/>
  <c r="B594" i="1"/>
  <c r="B940" i="1" s="1"/>
  <c r="B593" i="1"/>
  <c r="B939" i="1" s="1"/>
  <c r="B592" i="1"/>
  <c r="B938" i="1" s="1"/>
  <c r="B591" i="1"/>
  <c r="B937" i="1" s="1"/>
  <c r="B590" i="1"/>
  <c r="B936" i="1" s="1"/>
  <c r="B589" i="1"/>
  <c r="B935" i="1" s="1"/>
  <c r="B588" i="1"/>
  <c r="B934" i="1" s="1"/>
  <c r="B587" i="1"/>
  <c r="B933" i="1" s="1"/>
  <c r="B586" i="1"/>
  <c r="B932" i="1" s="1"/>
  <c r="B585" i="1"/>
  <c r="B931" i="1" s="1"/>
  <c r="B584" i="1"/>
  <c r="B930" i="1" s="1"/>
  <c r="B583" i="1"/>
  <c r="B929" i="1" s="1"/>
  <c r="B582" i="1"/>
  <c r="B928" i="1" s="1"/>
  <c r="B581" i="1"/>
  <c r="B580" i="1"/>
  <c r="B926" i="1" s="1"/>
  <c r="B579" i="1"/>
  <c r="B925" i="1" s="1"/>
  <c r="B578" i="1"/>
  <c r="B924" i="1" s="1"/>
  <c r="B577" i="1"/>
  <c r="B923" i="1" s="1"/>
  <c r="B576" i="1"/>
  <c r="B922" i="1" s="1"/>
  <c r="B575" i="1"/>
  <c r="B921" i="1" s="1"/>
  <c r="B574" i="1"/>
  <c r="B573" i="1"/>
  <c r="B919" i="1" s="1"/>
  <c r="B572" i="1"/>
  <c r="B918" i="1" s="1"/>
  <c r="B571" i="1"/>
  <c r="B917" i="1" s="1"/>
  <c r="B570" i="1"/>
  <c r="B916" i="1" s="1"/>
  <c r="B569" i="1"/>
  <c r="B915" i="1" s="1"/>
  <c r="B568" i="1"/>
  <c r="B914" i="1" s="1"/>
  <c r="B567" i="1"/>
  <c r="B913" i="1" s="1"/>
  <c r="B566" i="1"/>
  <c r="B912" i="1" s="1"/>
  <c r="B565" i="1"/>
  <c r="B911" i="1" s="1"/>
  <c r="B564" i="1"/>
  <c r="B910" i="1" s="1"/>
  <c r="B563" i="1"/>
  <c r="B909" i="1" s="1"/>
  <c r="B562" i="1"/>
  <c r="B908" i="1" s="1"/>
  <c r="B561" i="1"/>
  <c r="B907" i="1" s="1"/>
  <c r="B560" i="1"/>
  <c r="B906" i="1" s="1"/>
  <c r="B559" i="1"/>
  <c r="B905" i="1" s="1"/>
  <c r="B558" i="1"/>
  <c r="B904" i="1" s="1"/>
  <c r="B557" i="1"/>
  <c r="B903" i="1" s="1"/>
  <c r="B556" i="1"/>
  <c r="B902" i="1" s="1"/>
  <c r="B555" i="1"/>
  <c r="B901" i="1" s="1"/>
  <c r="B554" i="1"/>
  <c r="B900" i="1" s="1"/>
  <c r="B553" i="1"/>
  <c r="B899" i="1" s="1"/>
  <c r="B552" i="1"/>
  <c r="B898" i="1" s="1"/>
  <c r="B551" i="1"/>
  <c r="B897" i="1" s="1"/>
  <c r="B550" i="1"/>
  <c r="B896" i="1" s="1"/>
  <c r="B549" i="1"/>
  <c r="B895" i="1" s="1"/>
  <c r="B548" i="1"/>
  <c r="B894" i="1" s="1"/>
  <c r="B547" i="1"/>
  <c r="B893" i="1" s="1"/>
  <c r="B546" i="1"/>
  <c r="B892" i="1" s="1"/>
  <c r="B545" i="1"/>
  <c r="B891" i="1" s="1"/>
  <c r="B544" i="1"/>
  <c r="B890" i="1" s="1"/>
  <c r="B543" i="1"/>
  <c r="B889" i="1" s="1"/>
  <c r="B542" i="1"/>
  <c r="B541" i="1"/>
  <c r="B887" i="1" s="1"/>
  <c r="B540" i="1"/>
  <c r="B886" i="1" s="1"/>
  <c r="B539" i="1"/>
  <c r="B885" i="1" s="1"/>
  <c r="B538" i="1"/>
  <c r="B884" i="1" s="1"/>
  <c r="B537" i="1"/>
  <c r="B883" i="1" s="1"/>
  <c r="B536" i="1"/>
  <c r="B882" i="1" s="1"/>
  <c r="B535" i="1"/>
  <c r="B881" i="1" s="1"/>
  <c r="B534" i="1"/>
  <c r="B880" i="1" s="1"/>
  <c r="B533" i="1"/>
  <c r="B879" i="1" s="1"/>
  <c r="B532" i="1"/>
  <c r="B878" i="1" s="1"/>
  <c r="B531" i="1"/>
  <c r="B877" i="1" s="1"/>
  <c r="B530" i="1"/>
  <c r="B876" i="1" s="1"/>
  <c r="B529" i="1"/>
  <c r="B875" i="1" s="1"/>
  <c r="B528" i="1"/>
  <c r="B874" i="1" s="1"/>
  <c r="B527" i="1"/>
  <c r="B873" i="1" s="1"/>
  <c r="B526" i="1"/>
  <c r="B872" i="1" s="1"/>
  <c r="B525" i="1"/>
  <c r="B524" i="1"/>
  <c r="B870" i="1" s="1"/>
  <c r="B523" i="1"/>
  <c r="B869" i="1" s="1"/>
  <c r="B522" i="1"/>
  <c r="B868" i="1" s="1"/>
  <c r="B521" i="1"/>
  <c r="B867" i="1" s="1"/>
  <c r="B520" i="1"/>
  <c r="B866" i="1" s="1"/>
  <c r="B519" i="1"/>
  <c r="B865" i="1" s="1"/>
  <c r="B518" i="1"/>
  <c r="B517" i="1"/>
  <c r="B863" i="1" s="1"/>
  <c r="B516" i="1"/>
  <c r="B862" i="1" s="1"/>
  <c r="B515" i="1"/>
  <c r="B861" i="1" s="1"/>
  <c r="B514" i="1"/>
  <c r="B860" i="1" s="1"/>
  <c r="B513" i="1"/>
  <c r="B859" i="1" s="1"/>
  <c r="B512" i="1"/>
  <c r="B858" i="1" s="1"/>
  <c r="B511" i="1"/>
  <c r="B857" i="1" s="1"/>
  <c r="B510" i="1"/>
  <c r="B856" i="1" s="1"/>
  <c r="B509" i="1"/>
  <c r="B855" i="1" s="1"/>
  <c r="B508" i="1"/>
  <c r="B854" i="1" s="1"/>
  <c r="B507" i="1"/>
  <c r="B853" i="1" s="1"/>
  <c r="B506" i="1"/>
  <c r="B852" i="1" s="1"/>
  <c r="B505" i="1"/>
  <c r="B851" i="1" s="1"/>
  <c r="B504" i="1"/>
  <c r="B850" i="1" s="1"/>
  <c r="B503" i="1"/>
  <c r="B849" i="1" s="1"/>
  <c r="B502" i="1"/>
  <c r="B848" i="1" s="1"/>
  <c r="B501" i="1"/>
  <c r="B847" i="1" s="1"/>
  <c r="B500" i="1"/>
  <c r="B846" i="1" s="1"/>
  <c r="B499" i="1"/>
  <c r="B845" i="1" s="1"/>
  <c r="B498" i="1"/>
  <c r="B844" i="1" s="1"/>
  <c r="B496" i="1"/>
  <c r="B842" i="1" s="1"/>
  <c r="B495" i="1"/>
  <c r="B841" i="1" s="1"/>
  <c r="B494" i="1"/>
  <c r="B840" i="1" s="1"/>
  <c r="B493" i="1"/>
  <c r="B839" i="1" s="1"/>
  <c r="B492" i="1"/>
  <c r="B838" i="1" s="1"/>
  <c r="B491" i="1"/>
  <c r="B837" i="1" s="1"/>
  <c r="B490" i="1"/>
  <c r="B836" i="1" s="1"/>
  <c r="B489" i="1"/>
  <c r="B835" i="1" s="1"/>
  <c r="B488" i="1"/>
  <c r="B834" i="1" s="1"/>
  <c r="B487" i="1"/>
  <c r="B833" i="1" s="1"/>
  <c r="B486" i="1"/>
  <c r="B485" i="1"/>
  <c r="B831" i="1" s="1"/>
  <c r="B484" i="1"/>
  <c r="B830" i="1" s="1"/>
  <c r="B483" i="1"/>
  <c r="B829" i="1" s="1"/>
  <c r="B482" i="1"/>
  <c r="B828" i="1" s="1"/>
  <c r="B481" i="1"/>
  <c r="B827" i="1" s="1"/>
  <c r="B480" i="1"/>
  <c r="B826" i="1" s="1"/>
  <c r="B479" i="1"/>
  <c r="B825" i="1" s="1"/>
  <c r="B478" i="1"/>
  <c r="B824" i="1" s="1"/>
  <c r="B477" i="1"/>
  <c r="B823" i="1" s="1"/>
  <c r="B822" i="1"/>
  <c r="B475" i="1"/>
  <c r="B474" i="1"/>
  <c r="B820" i="1" s="1"/>
  <c r="B473" i="1"/>
  <c r="B819" i="1" s="1"/>
  <c r="B472" i="1"/>
  <c r="B818" i="1" s="1"/>
  <c r="B471" i="1"/>
  <c r="B817" i="1" s="1"/>
  <c r="B470" i="1"/>
  <c r="B816" i="1" s="1"/>
  <c r="B469" i="1"/>
  <c r="B815" i="1" s="1"/>
  <c r="B468" i="1"/>
  <c r="B814" i="1" s="1"/>
  <c r="B467" i="1"/>
  <c r="B813" i="1" s="1"/>
  <c r="B466" i="1"/>
  <c r="B812" i="1" s="1"/>
  <c r="B465" i="1"/>
  <c r="B811" i="1" s="1"/>
  <c r="B464" i="1"/>
  <c r="B810" i="1" s="1"/>
  <c r="B463" i="1"/>
  <c r="B809" i="1" s="1"/>
  <c r="B462" i="1"/>
  <c r="B461" i="1"/>
  <c r="B807" i="1" s="1"/>
  <c r="B460" i="1"/>
  <c r="B806" i="1" s="1"/>
  <c r="B459" i="1"/>
  <c r="B805" i="1" s="1"/>
  <c r="B458" i="1"/>
  <c r="B804" i="1" s="1"/>
  <c r="B457" i="1"/>
  <c r="B803" i="1" s="1"/>
  <c r="B456" i="1"/>
  <c r="B802" i="1" s="1"/>
  <c r="B455" i="1"/>
  <c r="B801" i="1" s="1"/>
  <c r="B454" i="1"/>
  <c r="B800" i="1" s="1"/>
  <c r="B453" i="1"/>
  <c r="B799" i="1" s="1"/>
  <c r="B452" i="1"/>
  <c r="B798" i="1" s="1"/>
  <c r="B451" i="1"/>
  <c r="B797" i="1" s="1"/>
  <c r="B450" i="1"/>
  <c r="B796" i="1" s="1"/>
  <c r="B449" i="1"/>
  <c r="B795" i="1" s="1"/>
  <c r="B448" i="1"/>
  <c r="B794" i="1" s="1"/>
  <c r="B447" i="1"/>
  <c r="B793" i="1" s="1"/>
  <c r="B446" i="1"/>
  <c r="B792" i="1" s="1"/>
  <c r="B445" i="1"/>
  <c r="B791" i="1" s="1"/>
  <c r="B444" i="1"/>
  <c r="B790" i="1" s="1"/>
  <c r="B443" i="1"/>
  <c r="B789" i="1" s="1"/>
  <c r="B442" i="1"/>
  <c r="B788" i="1" s="1"/>
  <c r="B441" i="1"/>
  <c r="B440" i="1"/>
  <c r="B786" i="1" s="1"/>
  <c r="B439" i="1"/>
  <c r="B785" i="1" s="1"/>
  <c r="B438" i="1"/>
  <c r="B784" i="1" s="1"/>
  <c r="B436" i="1"/>
  <c r="B782" i="1" s="1"/>
  <c r="B434" i="1"/>
  <c r="B780" i="1" s="1"/>
  <c r="B433" i="1"/>
  <c r="B779" i="1" s="1"/>
  <c r="B432" i="1"/>
  <c r="B778" i="1" s="1"/>
  <c r="B431" i="1"/>
  <c r="B777" i="1" s="1"/>
  <c r="B430" i="1"/>
  <c r="B776" i="1" s="1"/>
  <c r="B429" i="1"/>
  <c r="B775" i="1" s="1"/>
  <c r="B428" i="1"/>
  <c r="B774" i="1" s="1"/>
  <c r="B427" i="1"/>
  <c r="B773" i="1" s="1"/>
  <c r="B426" i="1"/>
  <c r="B772" i="1" s="1"/>
  <c r="B425" i="1"/>
  <c r="B771" i="1" s="1"/>
  <c r="B424" i="1"/>
  <c r="B770" i="1" s="1"/>
  <c r="B423" i="1"/>
  <c r="B769" i="1" s="1"/>
  <c r="B422" i="1"/>
  <c r="B768" i="1" s="1"/>
  <c r="B421" i="1"/>
  <c r="B767" i="1" s="1"/>
  <c r="B420" i="1"/>
  <c r="B766" i="1" s="1"/>
  <c r="B419" i="1"/>
  <c r="B418" i="1"/>
  <c r="B764" i="1" s="1"/>
  <c r="B417" i="1"/>
  <c r="B763" i="1" s="1"/>
  <c r="B416" i="1"/>
  <c r="B762" i="1" s="1"/>
  <c r="B415" i="1"/>
  <c r="B761" i="1" s="1"/>
  <c r="B414" i="1"/>
  <c r="B760" i="1" s="1"/>
  <c r="B413" i="1"/>
  <c r="B759" i="1" s="1"/>
  <c r="B412" i="1"/>
  <c r="B758" i="1" s="1"/>
  <c r="B411" i="1"/>
  <c r="B757" i="1" s="1"/>
  <c r="B410" i="1"/>
  <c r="B756" i="1" s="1"/>
  <c r="B409" i="1"/>
  <c r="B755" i="1" s="1"/>
  <c r="B408" i="1"/>
  <c r="B754" i="1" s="1"/>
  <c r="B407" i="1"/>
  <c r="B753" i="1" s="1"/>
  <c r="B406" i="1"/>
  <c r="B405" i="1"/>
  <c r="B751" i="1" s="1"/>
  <c r="B404" i="1"/>
  <c r="B750" i="1" s="1"/>
  <c r="B403" i="1"/>
  <c r="B749" i="1" s="1"/>
  <c r="B402" i="1"/>
  <c r="B748" i="1" s="1"/>
  <c r="B401" i="1"/>
  <c r="B747" i="1" s="1"/>
  <c r="B400" i="1"/>
  <c r="B746" i="1" s="1"/>
  <c r="B399" i="1"/>
  <c r="B745" i="1" s="1"/>
  <c r="B398" i="1"/>
  <c r="B744" i="1" s="1"/>
  <c r="B397" i="1"/>
  <c r="B743" i="1" s="1"/>
  <c r="B396" i="1"/>
  <c r="B742" i="1" s="1"/>
  <c r="B395" i="1"/>
  <c r="B741" i="1" s="1"/>
  <c r="B394" i="1"/>
  <c r="B740" i="1" s="1"/>
  <c r="B393" i="1"/>
  <c r="B739" i="1" s="1"/>
  <c r="B392" i="1"/>
  <c r="B738" i="1" s="1"/>
  <c r="B391" i="1"/>
  <c r="B390" i="1"/>
  <c r="B736" i="1" s="1"/>
  <c r="B389" i="1"/>
  <c r="B735" i="1" s="1"/>
  <c r="B388" i="1"/>
  <c r="B734" i="1" s="1"/>
  <c r="B387" i="1"/>
  <c r="B733" i="1" s="1"/>
  <c r="B386" i="1"/>
  <c r="B732" i="1" s="1"/>
  <c r="B385" i="1"/>
  <c r="B731" i="1" s="1"/>
  <c r="B384" i="1"/>
  <c r="B730" i="1" s="1"/>
  <c r="B383" i="1"/>
  <c r="B729" i="1" s="1"/>
  <c r="B382" i="1"/>
  <c r="B728" i="1" s="1"/>
  <c r="B381" i="1"/>
  <c r="B727" i="1" s="1"/>
  <c r="B380" i="1"/>
  <c r="B726" i="1" s="1"/>
  <c r="B379" i="1"/>
  <c r="B725" i="1" s="1"/>
  <c r="B378" i="1"/>
  <c r="B724" i="1" s="1"/>
  <c r="B377" i="1"/>
  <c r="B723" i="1" s="1"/>
  <c r="B376" i="1"/>
  <c r="B722" i="1" s="1"/>
  <c r="B375" i="1"/>
  <c r="B721" i="1" s="1"/>
  <c r="B374" i="1"/>
  <c r="B373" i="1"/>
  <c r="B719" i="1" s="1"/>
  <c r="B372" i="1"/>
  <c r="B718" i="1" s="1"/>
  <c r="B371" i="1"/>
  <c r="B717" i="1" s="1"/>
  <c r="B370" i="1"/>
  <c r="B716" i="1" s="1"/>
  <c r="B369" i="1"/>
  <c r="B715" i="1" s="1"/>
  <c r="B368" i="1"/>
  <c r="B714" i="1" s="1"/>
  <c r="B367" i="1"/>
  <c r="B713" i="1" s="1"/>
  <c r="B366" i="1"/>
  <c r="B712" i="1" s="1"/>
  <c r="B365" i="1"/>
  <c r="B711" i="1" s="1"/>
  <c r="B364" i="1"/>
  <c r="B710" i="1" s="1"/>
  <c r="B363" i="1"/>
  <c r="B362" i="1"/>
  <c r="B708" i="1" s="1"/>
  <c r="B361" i="1"/>
  <c r="B707" i="1" s="1"/>
  <c r="B360" i="1"/>
  <c r="B706" i="1" s="1"/>
  <c r="B359" i="1"/>
  <c r="B705" i="1" s="1"/>
  <c r="B358" i="1"/>
  <c r="B704" i="1" s="1"/>
  <c r="B357" i="1"/>
  <c r="B703" i="1" s="1"/>
  <c r="B356" i="1"/>
  <c r="B702" i="1" s="1"/>
  <c r="B355" i="1"/>
  <c r="B701" i="1" s="1"/>
  <c r="B351" i="1"/>
  <c r="B697" i="1" s="1"/>
  <c r="B354" i="1"/>
  <c r="B700" i="1" s="1"/>
  <c r="B353" i="1"/>
  <c r="B699" i="1" s="1"/>
  <c r="B352" i="1"/>
  <c r="B698" i="1" s="1"/>
  <c r="T692" i="1" l="1"/>
  <c r="T689" i="1"/>
  <c r="B1033" i="1"/>
  <c r="T687" i="1"/>
  <c r="B1034" i="1"/>
  <c r="T688" i="1"/>
  <c r="B1036" i="1"/>
  <c r="T690" i="1"/>
  <c r="B1037" i="1"/>
  <c r="T691" i="1"/>
  <c r="T406" i="1"/>
  <c r="T441" i="1"/>
  <c r="T475" i="1"/>
  <c r="T374" i="1"/>
  <c r="T525" i="1"/>
  <c r="T581" i="1"/>
  <c r="T654" i="1"/>
  <c r="B821" i="1"/>
  <c r="T419" i="1"/>
  <c r="T518" i="1"/>
  <c r="T542" i="1"/>
  <c r="T574" i="1"/>
  <c r="T598" i="1"/>
  <c r="T631" i="1"/>
  <c r="B927" i="1"/>
  <c r="T363" i="1"/>
  <c r="T462" i="1"/>
  <c r="T486" i="1"/>
  <c r="T519" i="1"/>
  <c r="T385" i="1"/>
  <c r="T665" i="1"/>
  <c r="B871" i="1"/>
  <c r="B832" i="1"/>
  <c r="B1000" i="1"/>
  <c r="T686" i="1"/>
  <c r="T630" i="1"/>
  <c r="B888" i="1"/>
  <c r="B920" i="1"/>
  <c r="B944" i="1"/>
  <c r="B1011" i="1"/>
  <c r="T407" i="1"/>
  <c r="T553" i="1"/>
  <c r="T469" i="1"/>
  <c r="B765" i="1"/>
  <c r="T413" i="1"/>
  <c r="T637" i="1"/>
  <c r="B737" i="1"/>
  <c r="B787" i="1"/>
  <c r="T463" i="1"/>
  <c r="B709" i="1"/>
  <c r="T575" i="1"/>
  <c r="T643" i="1"/>
  <c r="T531" i="1"/>
  <c r="T497" i="1"/>
  <c r="T357" i="1"/>
  <c r="T430" i="1"/>
  <c r="T587" i="1"/>
  <c r="B720" i="1"/>
  <c r="T350" i="1"/>
  <c r="T351" i="1"/>
  <c r="T340" i="1"/>
  <c r="K88" i="2"/>
  <c r="B1038" i="1" a="1"/>
  <c r="B1038" i="1" s="1"/>
  <c r="B1032" i="1" a="1"/>
  <c r="B1032" i="1" s="1"/>
  <c r="B623" i="1"/>
  <c r="B969" i="1" s="1"/>
  <c r="B864" i="1"/>
  <c r="B808" i="1"/>
  <c r="B752" i="1"/>
  <c r="T609" i="1" l="1"/>
  <c r="N88" i="2"/>
  <c r="O88" i="2"/>
  <c r="D2" i="2" s="1"/>
  <c r="E2" i="2" l="1"/>
  <c r="G399" i="1"/>
  <c r="G745" i="1" s="1"/>
  <c r="F399" i="1"/>
  <c r="F745" i="1" s="1"/>
  <c r="F53" i="1"/>
  <c r="G384" i="1" l="1"/>
  <c r="G730" i="1" s="1"/>
  <c r="F384" i="1"/>
  <c r="F730" i="1" s="1"/>
  <c r="F38" i="1"/>
  <c r="G365" i="1"/>
  <c r="G711" i="1" s="1"/>
  <c r="F365" i="1"/>
  <c r="F711" i="1" s="1"/>
  <c r="F19" i="1"/>
  <c r="G372" i="1"/>
  <c r="G718" i="1" s="1"/>
  <c r="F372" i="1"/>
  <c r="F718" i="1" s="1"/>
  <c r="F26" i="1"/>
  <c r="F361" i="1"/>
  <c r="F707" i="1" s="1"/>
  <c r="G361" i="1"/>
  <c r="G707" i="1" s="1"/>
  <c r="F15" i="1"/>
  <c r="F10" i="1"/>
  <c r="F356" i="1"/>
  <c r="F702" i="1" s="1"/>
  <c r="G356" i="1"/>
  <c r="G702" i="1" s="1"/>
  <c r="G366" i="1"/>
  <c r="G712" i="1" s="1"/>
  <c r="F366" i="1"/>
  <c r="F712" i="1" s="1"/>
  <c r="F20" i="1"/>
  <c r="G401" i="1"/>
  <c r="G747" i="1" s="1"/>
  <c r="F401" i="1"/>
  <c r="F747" i="1" s="1"/>
  <c r="F55" i="1"/>
  <c r="G388" i="1"/>
  <c r="G734" i="1" s="1"/>
  <c r="F388" i="1"/>
  <c r="F734" i="1" s="1"/>
  <c r="F42" i="1"/>
  <c r="G378" i="1"/>
  <c r="G724" i="1" s="1"/>
  <c r="F378" i="1"/>
  <c r="F724" i="1" s="1"/>
  <c r="F32" i="1"/>
  <c r="F37" i="1"/>
  <c r="G383" i="1"/>
  <c r="G729" i="1" s="1"/>
  <c r="F383" i="1"/>
  <c r="F729" i="1" s="1"/>
  <c r="F57" i="1"/>
  <c r="G403" i="1"/>
  <c r="G749" i="1" s="1"/>
  <c r="F403" i="1"/>
  <c r="F749" i="1" s="1"/>
  <c r="G396" i="1"/>
  <c r="G742" i="1" s="1"/>
  <c r="F396" i="1"/>
  <c r="F742" i="1" s="1"/>
  <c r="F50" i="1"/>
  <c r="F394" i="1"/>
  <c r="F740" i="1" s="1"/>
  <c r="G394" i="1"/>
  <c r="G740" i="1" s="1"/>
  <c r="F48" i="1"/>
  <c r="G377" i="1"/>
  <c r="G723" i="1" s="1"/>
  <c r="F377" i="1"/>
  <c r="F723" i="1" s="1"/>
  <c r="F31" i="1"/>
  <c r="F9" i="1"/>
  <c r="G355" i="1"/>
  <c r="G701" i="1" s="1"/>
  <c r="F355" i="1"/>
  <c r="F701" i="1" s="1"/>
  <c r="F379" i="1"/>
  <c r="F725" i="1" s="1"/>
  <c r="F33" i="1"/>
  <c r="G379" i="1"/>
  <c r="G725" i="1" s="1"/>
  <c r="F29" i="1"/>
  <c r="G375" i="1"/>
  <c r="F375" i="1"/>
  <c r="G390" i="1"/>
  <c r="G736" i="1" s="1"/>
  <c r="F390" i="1"/>
  <c r="F736" i="1" s="1"/>
  <c r="F44" i="1"/>
  <c r="F358" i="1"/>
  <c r="F12" i="1"/>
  <c r="G358" i="1"/>
  <c r="F41" i="1"/>
  <c r="G387" i="1"/>
  <c r="G733" i="1" s="1"/>
  <c r="F387" i="1"/>
  <c r="F733" i="1" s="1"/>
  <c r="F46" i="1"/>
  <c r="F392" i="1"/>
  <c r="F738" i="1" s="1"/>
  <c r="G392" i="1"/>
  <c r="G738" i="1" s="1"/>
  <c r="G404" i="1"/>
  <c r="G750" i="1" s="1"/>
  <c r="F58" i="1"/>
  <c r="F404" i="1"/>
  <c r="F750" i="1" s="1"/>
  <c r="F52" i="1"/>
  <c r="G398" i="1"/>
  <c r="G744" i="1" s="1"/>
  <c r="F398" i="1"/>
  <c r="F744" i="1" s="1"/>
  <c r="G352" i="1"/>
  <c r="F352" i="1"/>
  <c r="F6" i="1"/>
  <c r="G350" i="1"/>
  <c r="F350" i="1"/>
  <c r="F4" i="1"/>
  <c r="X4" i="1" s="1"/>
  <c r="F47" i="1"/>
  <c r="G393" i="1"/>
  <c r="G739" i="1" s="1"/>
  <c r="F393" i="1"/>
  <c r="F739" i="1" s="1"/>
  <c r="F35" i="1"/>
  <c r="G381" i="1"/>
  <c r="G727" i="1" s="1"/>
  <c r="F381" i="1"/>
  <c r="F727" i="1" s="1"/>
  <c r="F397" i="1"/>
  <c r="F743" i="1" s="1"/>
  <c r="G397" i="1"/>
  <c r="G743" i="1" s="1"/>
  <c r="F51" i="1"/>
  <c r="F36" i="1"/>
  <c r="F382" i="1"/>
  <c r="F728" i="1" s="1"/>
  <c r="G382" i="1"/>
  <c r="G728" i="1" s="1"/>
  <c r="F45" i="1"/>
  <c r="G391" i="1"/>
  <c r="G737" i="1" s="1"/>
  <c r="F391" i="1"/>
  <c r="F737" i="1" s="1"/>
  <c r="G362" i="1"/>
  <c r="G708" i="1" s="1"/>
  <c r="F362" i="1"/>
  <c r="F708" i="1" s="1"/>
  <c r="F16" i="1"/>
  <c r="F49" i="1"/>
  <c r="G395" i="1"/>
  <c r="G741" i="1" s="1"/>
  <c r="F395" i="1"/>
  <c r="F741" i="1" s="1"/>
  <c r="G400" i="1"/>
  <c r="G746" i="1" s="1"/>
  <c r="F400" i="1"/>
  <c r="F746" i="1" s="1"/>
  <c r="F54" i="1"/>
  <c r="G402" i="1"/>
  <c r="G748" i="1" s="1"/>
  <c r="F402" i="1"/>
  <c r="F748" i="1" s="1"/>
  <c r="F56" i="1"/>
  <c r="G389" i="1"/>
  <c r="G735" i="1" s="1"/>
  <c r="F389" i="1"/>
  <c r="F735" i="1" s="1"/>
  <c r="F43" i="1"/>
  <c r="F24" i="1"/>
  <c r="F370" i="1"/>
  <c r="F716" i="1" s="1"/>
  <c r="G370" i="1"/>
  <c r="G716" i="1" s="1"/>
  <c r="F40" i="1"/>
  <c r="G386" i="1"/>
  <c r="F386" i="1"/>
  <c r="F23" i="1"/>
  <c r="G369" i="1"/>
  <c r="G715" i="1" s="1"/>
  <c r="F369" i="1"/>
  <c r="F715" i="1" s="1"/>
  <c r="G367" i="1"/>
  <c r="G713" i="1" s="1"/>
  <c r="F21" i="1"/>
  <c r="F367" i="1"/>
  <c r="F713" i="1" s="1"/>
  <c r="G353" i="1"/>
  <c r="G699" i="1" s="1"/>
  <c r="F353" i="1"/>
  <c r="F699" i="1" s="1"/>
  <c r="F7" i="1"/>
  <c r="F25" i="1"/>
  <c r="G371" i="1"/>
  <c r="G717" i="1" s="1"/>
  <c r="F371" i="1"/>
  <c r="F717" i="1" s="1"/>
  <c r="F59" i="1"/>
  <c r="G405" i="1"/>
  <c r="G751" i="1" s="1"/>
  <c r="F405" i="1"/>
  <c r="F751" i="1" s="1"/>
  <c r="F13" i="1"/>
  <c r="G359" i="1"/>
  <c r="G705" i="1" s="1"/>
  <c r="F359" i="1"/>
  <c r="F705" i="1" s="1"/>
  <c r="F373" i="1"/>
  <c r="F719" i="1" s="1"/>
  <c r="G373" i="1"/>
  <c r="G719" i="1" s="1"/>
  <c r="F27" i="1"/>
  <c r="G360" i="1"/>
  <c r="G706" i="1" s="1"/>
  <c r="F360" i="1"/>
  <c r="F706" i="1" s="1"/>
  <c r="F14" i="1"/>
  <c r="F30" i="1"/>
  <c r="G376" i="1"/>
  <c r="G722" i="1" s="1"/>
  <c r="F376" i="1"/>
  <c r="F722" i="1" s="1"/>
  <c r="G354" i="1"/>
  <c r="G700" i="1" s="1"/>
  <c r="F354" i="1"/>
  <c r="F700" i="1" s="1"/>
  <c r="F8" i="1"/>
  <c r="G364" i="1"/>
  <c r="F364" i="1"/>
  <c r="F18" i="1"/>
  <c r="F34" i="1"/>
  <c r="F380" i="1"/>
  <c r="F726" i="1" s="1"/>
  <c r="G380" i="1"/>
  <c r="G726" i="1" s="1"/>
  <c r="F22" i="1"/>
  <c r="F368" i="1"/>
  <c r="F714" i="1" s="1"/>
  <c r="G368" i="1"/>
  <c r="G714" i="1" s="1"/>
  <c r="X5" i="1" l="1"/>
  <c r="G704" i="1"/>
  <c r="Y357" i="1"/>
  <c r="X17" i="1"/>
  <c r="X11" i="1"/>
  <c r="F704" i="1"/>
  <c r="X357" i="1"/>
  <c r="F710" i="1"/>
  <c r="X363" i="1"/>
  <c r="F698" i="1"/>
  <c r="X351" i="1"/>
  <c r="G710" i="1"/>
  <c r="Y363" i="1"/>
  <c r="F696" i="1"/>
  <c r="X350" i="1"/>
  <c r="G721" i="1"/>
  <c r="Y374" i="1"/>
  <c r="Y351" i="1"/>
  <c r="G698" i="1"/>
  <c r="F732" i="1"/>
  <c r="X385" i="1"/>
  <c r="F721" i="1"/>
  <c r="X374" i="1"/>
  <c r="G732" i="1"/>
  <c r="Y385" i="1"/>
  <c r="X39" i="1"/>
  <c r="G696" i="1"/>
  <c r="Y350" i="1"/>
  <c r="X28" i="1"/>
  <c r="Y691" i="1" l="1"/>
  <c r="Y692" i="1"/>
  <c r="X691" i="1"/>
  <c r="X692" i="1"/>
  <c r="D399" i="1"/>
  <c r="D745" i="1" s="1"/>
  <c r="D53" i="1"/>
  <c r="E399" i="1"/>
  <c r="E745" i="1" s="1"/>
  <c r="E364" i="1" l="1"/>
  <c r="D364" i="1"/>
  <c r="D18" i="1"/>
  <c r="E393" i="1"/>
  <c r="E739" i="1" s="1"/>
  <c r="D47" i="1"/>
  <c r="D393" i="1"/>
  <c r="D739" i="1" s="1"/>
  <c r="E355" i="1"/>
  <c r="E701" i="1" s="1"/>
  <c r="D9" i="1"/>
  <c r="D355" i="1"/>
  <c r="D701" i="1" s="1"/>
  <c r="E356" i="1"/>
  <c r="E702" i="1" s="1"/>
  <c r="D10" i="1"/>
  <c r="D356" i="1"/>
  <c r="D702" i="1" s="1"/>
  <c r="E373" i="1"/>
  <c r="E719" i="1" s="1"/>
  <c r="D373" i="1"/>
  <c r="D719" i="1" s="1"/>
  <c r="D27" i="1"/>
  <c r="E370" i="1"/>
  <c r="E716" i="1" s="1"/>
  <c r="D24" i="1"/>
  <c r="D370" i="1"/>
  <c r="D716" i="1" s="1"/>
  <c r="E381" i="1"/>
  <c r="E727" i="1" s="1"/>
  <c r="D381" i="1"/>
  <c r="D727" i="1" s="1"/>
  <c r="D35" i="1"/>
  <c r="E376" i="1"/>
  <c r="E722" i="1" s="1"/>
  <c r="D376" i="1"/>
  <c r="D722" i="1" s="1"/>
  <c r="D30" i="1"/>
  <c r="E360" i="1"/>
  <c r="E706" i="1" s="1"/>
  <c r="D14" i="1"/>
  <c r="D360" i="1"/>
  <c r="D706" i="1" s="1"/>
  <c r="E382" i="1"/>
  <c r="E728" i="1" s="1"/>
  <c r="D382" i="1"/>
  <c r="D728" i="1" s="1"/>
  <c r="D36" i="1"/>
  <c r="E379" i="1"/>
  <c r="E725" i="1" s="1"/>
  <c r="D379" i="1"/>
  <c r="D725" i="1" s="1"/>
  <c r="D33" i="1"/>
  <c r="E386" i="1"/>
  <c r="D40" i="1"/>
  <c r="D386" i="1"/>
  <c r="E368" i="1"/>
  <c r="E714" i="1" s="1"/>
  <c r="D22" i="1"/>
  <c r="D368" i="1"/>
  <c r="D714" i="1" s="1"/>
  <c r="E372" i="1"/>
  <c r="E718" i="1" s="1"/>
  <c r="D372" i="1"/>
  <c r="D718" i="1" s="1"/>
  <c r="D26" i="1"/>
  <c r="E377" i="1"/>
  <c r="E723" i="1" s="1"/>
  <c r="D31" i="1"/>
  <c r="D377" i="1"/>
  <c r="D723" i="1" s="1"/>
  <c r="E397" i="1"/>
  <c r="E743" i="1" s="1"/>
  <c r="D51" i="1"/>
  <c r="D397" i="1"/>
  <c r="D743" i="1" s="1"/>
  <c r="E401" i="1"/>
  <c r="E747" i="1" s="1"/>
  <c r="D55" i="1"/>
  <c r="D401" i="1"/>
  <c r="D747" i="1" s="1"/>
  <c r="E369" i="1"/>
  <c r="E715" i="1" s="1"/>
  <c r="D23" i="1"/>
  <c r="D369" i="1"/>
  <c r="D715" i="1" s="1"/>
  <c r="E375" i="1"/>
  <c r="D375" i="1"/>
  <c r="D29" i="1"/>
  <c r="E391" i="1"/>
  <c r="E737" i="1" s="1"/>
  <c r="D45" i="1"/>
  <c r="D391" i="1"/>
  <c r="D737" i="1" s="1"/>
  <c r="E388" i="1"/>
  <c r="E734" i="1" s="1"/>
  <c r="D388" i="1"/>
  <c r="D734" i="1" s="1"/>
  <c r="D42" i="1"/>
  <c r="E390" i="1"/>
  <c r="E736" i="1" s="1"/>
  <c r="D390" i="1"/>
  <c r="D736" i="1" s="1"/>
  <c r="D44" i="1"/>
  <c r="D4" i="1"/>
  <c r="V4" i="1" s="1"/>
  <c r="D352" i="1"/>
  <c r="D6" i="1"/>
  <c r="E350" i="1"/>
  <c r="E352" i="1"/>
  <c r="D350" i="1"/>
  <c r="E361" i="1"/>
  <c r="E707" i="1" s="1"/>
  <c r="D15" i="1"/>
  <c r="D361" i="1"/>
  <c r="D707" i="1" s="1"/>
  <c r="E366" i="1"/>
  <c r="E712" i="1" s="1"/>
  <c r="D20" i="1"/>
  <c r="D366" i="1"/>
  <c r="D712" i="1" s="1"/>
  <c r="E378" i="1"/>
  <c r="E724" i="1" s="1"/>
  <c r="D32" i="1"/>
  <c r="D378" i="1"/>
  <c r="D724" i="1" s="1"/>
  <c r="E383" i="1"/>
  <c r="E729" i="1" s="1"/>
  <c r="D383" i="1"/>
  <c r="D729" i="1" s="1"/>
  <c r="D37" i="1"/>
  <c r="E403" i="1"/>
  <c r="E749" i="1" s="1"/>
  <c r="D57" i="1"/>
  <c r="D403" i="1"/>
  <c r="D749" i="1" s="1"/>
  <c r="E396" i="1"/>
  <c r="E742" i="1" s="1"/>
  <c r="D396" i="1"/>
  <c r="D742" i="1" s="1"/>
  <c r="D50" i="1"/>
  <c r="E394" i="1"/>
  <c r="E740" i="1" s="1"/>
  <c r="D48" i="1"/>
  <c r="D394" i="1"/>
  <c r="D740" i="1" s="1"/>
  <c r="E384" i="1"/>
  <c r="E730" i="1" s="1"/>
  <c r="D38" i="1"/>
  <c r="D384" i="1"/>
  <c r="D730" i="1" s="1"/>
  <c r="E365" i="1"/>
  <c r="E711" i="1" s="1"/>
  <c r="D365" i="1"/>
  <c r="D711" i="1" s="1"/>
  <c r="D19" i="1"/>
  <c r="E358" i="1"/>
  <c r="D358" i="1"/>
  <c r="D12" i="1"/>
  <c r="E387" i="1"/>
  <c r="E733" i="1" s="1"/>
  <c r="D387" i="1"/>
  <c r="D733" i="1" s="1"/>
  <c r="D41" i="1"/>
  <c r="E392" i="1"/>
  <c r="E738" i="1" s="1"/>
  <c r="D46" i="1"/>
  <c r="D392" i="1"/>
  <c r="D738" i="1" s="1"/>
  <c r="E404" i="1"/>
  <c r="E750" i="1" s="1"/>
  <c r="D404" i="1"/>
  <c r="D750" i="1" s="1"/>
  <c r="D58" i="1"/>
  <c r="E398" i="1"/>
  <c r="E744" i="1" s="1"/>
  <c r="D52" i="1"/>
  <c r="D398" i="1"/>
  <c r="D744" i="1" s="1"/>
  <c r="E380" i="1"/>
  <c r="E726" i="1" s="1"/>
  <c r="D34" i="1"/>
  <c r="D380" i="1"/>
  <c r="D726" i="1" s="1"/>
  <c r="E362" i="1"/>
  <c r="E708" i="1" s="1"/>
  <c r="D16" i="1"/>
  <c r="D362" i="1"/>
  <c r="D708" i="1" s="1"/>
  <c r="E395" i="1"/>
  <c r="E741" i="1" s="1"/>
  <c r="D395" i="1"/>
  <c r="D741" i="1" s="1"/>
  <c r="D49" i="1"/>
  <c r="E400" i="1"/>
  <c r="E746" i="1" s="1"/>
  <c r="D54" i="1"/>
  <c r="D400" i="1"/>
  <c r="D746" i="1" s="1"/>
  <c r="E402" i="1"/>
  <c r="E748" i="1" s="1"/>
  <c r="D56" i="1"/>
  <c r="D402" i="1"/>
  <c r="D748" i="1" s="1"/>
  <c r="E367" i="1"/>
  <c r="E713" i="1" s="1"/>
  <c r="D21" i="1"/>
  <c r="D367" i="1"/>
  <c r="D713" i="1" s="1"/>
  <c r="E353" i="1"/>
  <c r="E699" i="1" s="1"/>
  <c r="D7" i="1"/>
  <c r="D353" i="1"/>
  <c r="D699" i="1" s="1"/>
  <c r="E354" i="1"/>
  <c r="E700" i="1" s="1"/>
  <c r="D8" i="1"/>
  <c r="D354" i="1"/>
  <c r="D700" i="1" s="1"/>
  <c r="E389" i="1"/>
  <c r="E735" i="1" s="1"/>
  <c r="D43" i="1"/>
  <c r="D389" i="1"/>
  <c r="D735" i="1" s="1"/>
  <c r="E371" i="1"/>
  <c r="E717" i="1" s="1"/>
  <c r="D25" i="1"/>
  <c r="D371" i="1"/>
  <c r="D717" i="1" s="1"/>
  <c r="E405" i="1"/>
  <c r="E751" i="1" s="1"/>
  <c r="D405" i="1"/>
  <c r="D751" i="1" s="1"/>
  <c r="D59" i="1"/>
  <c r="E359" i="1"/>
  <c r="E705" i="1" s="1"/>
  <c r="D13" i="1"/>
  <c r="D359" i="1"/>
  <c r="D705" i="1" s="1"/>
  <c r="V11" i="1" l="1"/>
  <c r="V385" i="1"/>
  <c r="D732" i="1"/>
  <c r="E698" i="1"/>
  <c r="W351" i="1"/>
  <c r="V39" i="1"/>
  <c r="W350" i="1"/>
  <c r="E696" i="1"/>
  <c r="E732" i="1"/>
  <c r="W385" i="1"/>
  <c r="D696" i="1"/>
  <c r="V350" i="1"/>
  <c r="V5" i="1"/>
  <c r="V28" i="1"/>
  <c r="V351" i="1"/>
  <c r="D698" i="1"/>
  <c r="D721" i="1"/>
  <c r="V374" i="1"/>
  <c r="W374" i="1"/>
  <c r="E721" i="1"/>
  <c r="D704" i="1"/>
  <c r="V357" i="1"/>
  <c r="W357" i="1"/>
  <c r="E704" i="1"/>
  <c r="V363" i="1"/>
  <c r="D710" i="1"/>
  <c r="V17" i="1"/>
  <c r="W363" i="1"/>
  <c r="E710" i="1"/>
  <c r="V691" i="1" l="1"/>
  <c r="V692" i="1"/>
  <c r="W691" i="1"/>
  <c r="W692" i="1"/>
  <c r="Q14" i="1" l="1"/>
  <c r="Q34" i="1"/>
  <c r="Q47" i="1"/>
  <c r="Q53" i="1"/>
  <c r="Q8" i="1"/>
  <c r="Q22" i="1"/>
  <c r="Q48" i="1"/>
  <c r="Q7" i="1"/>
  <c r="Q21" i="1"/>
  <c r="Q27" i="1"/>
  <c r="Q41" i="1"/>
  <c r="Q59" i="1"/>
  <c r="Q15" i="1"/>
  <c r="Q29" i="1"/>
  <c r="Q35" i="1"/>
  <c r="Q42" i="1"/>
  <c r="Q54" i="1"/>
  <c r="Q9" i="1"/>
  <c r="Q16" i="1"/>
  <c r="Q23" i="1"/>
  <c r="Q30" i="1"/>
  <c r="Q36" i="1"/>
  <c r="Q43" i="1"/>
  <c r="Q49" i="1"/>
  <c r="Q55" i="1"/>
  <c r="Q57" i="1"/>
  <c r="Q10" i="1"/>
  <c r="Q18" i="1"/>
  <c r="Q24" i="1"/>
  <c r="Q31" i="1"/>
  <c r="Q37" i="1"/>
  <c r="Q44" i="1"/>
  <c r="Q50" i="1"/>
  <c r="Q56" i="1"/>
  <c r="Q12" i="1"/>
  <c r="AI11" i="1" s="1"/>
  <c r="Q19" i="1"/>
  <c r="Q25" i="1"/>
  <c r="Q32" i="1"/>
  <c r="Q38" i="1"/>
  <c r="Q45" i="1"/>
  <c r="Q51" i="1"/>
  <c r="Q13" i="1"/>
  <c r="Q20" i="1"/>
  <c r="Q26" i="1"/>
  <c r="Q33" i="1"/>
  <c r="Q40" i="1"/>
  <c r="Q46" i="1"/>
  <c r="Q52" i="1"/>
  <c r="Q58" i="1"/>
  <c r="AI17" i="1" l="1"/>
  <c r="AI28" i="1"/>
  <c r="AI39" i="1"/>
  <c r="Q6" i="1"/>
  <c r="AI5" i="1" s="1"/>
  <c r="Q4" i="1"/>
  <c r="AI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<sst xmlns="http://schemas.openxmlformats.org/spreadsheetml/2006/main" count="1343" uniqueCount="144">
  <si>
    <t>BEL</t>
  </si>
  <si>
    <t>BEL Undiscounted</t>
  </si>
  <si>
    <t>0.5y-4.5y</t>
  </si>
  <si>
    <t>0.5y</t>
  </si>
  <si>
    <t>1.5y</t>
  </si>
  <si>
    <t>2.5y</t>
  </si>
  <si>
    <t>3.5y</t>
  </si>
  <si>
    <t>4.5y</t>
  </si>
  <si>
    <t>5.5y-9.5y</t>
  </si>
  <si>
    <t>5.5y</t>
  </si>
  <si>
    <t>6.5y</t>
  </si>
  <si>
    <t>7.5y</t>
  </si>
  <si>
    <t>8.5y</t>
  </si>
  <si>
    <t>9.5y</t>
  </si>
  <si>
    <t>10.5y-19.5y</t>
  </si>
  <si>
    <t>10.5y</t>
  </si>
  <si>
    <t>11.5y</t>
  </si>
  <si>
    <t>12.5y</t>
  </si>
  <si>
    <t>13.5y</t>
  </si>
  <si>
    <t>14.5y</t>
  </si>
  <si>
    <t>15.5y</t>
  </si>
  <si>
    <t>16.5y</t>
  </si>
  <si>
    <t>17.5y</t>
  </si>
  <si>
    <t>18.5y</t>
  </si>
  <si>
    <t>19.5y</t>
  </si>
  <si>
    <t>20.5y-29.5y</t>
  </si>
  <si>
    <t>20.5y</t>
  </si>
  <si>
    <t>21.5y</t>
  </si>
  <si>
    <t>22.5y</t>
  </si>
  <si>
    <t>23.5y</t>
  </si>
  <si>
    <t>24.5y</t>
  </si>
  <si>
    <t>25.5y</t>
  </si>
  <si>
    <t>26.5y</t>
  </si>
  <si>
    <t>27.5y</t>
  </si>
  <si>
    <t>28.5y</t>
  </si>
  <si>
    <t>29.5y</t>
  </si>
  <si>
    <t>30.5y-49.5y</t>
  </si>
  <si>
    <t>30.5y</t>
  </si>
  <si>
    <t>31.5y</t>
  </si>
  <si>
    <t>32.5y</t>
  </si>
  <si>
    <t>33.5y</t>
  </si>
  <si>
    <t>34.5y</t>
  </si>
  <si>
    <t>35.5y</t>
  </si>
  <si>
    <t>36.5y</t>
  </si>
  <si>
    <t>37.5y</t>
  </si>
  <si>
    <t>38.5y</t>
  </si>
  <si>
    <t>39.5y</t>
  </si>
  <si>
    <t>40.5y</t>
  </si>
  <si>
    <t>41.5y</t>
  </si>
  <si>
    <t>42.5y</t>
  </si>
  <si>
    <t>43.5y</t>
  </si>
  <si>
    <t>44.5y</t>
  </si>
  <si>
    <t>45.5y</t>
  </si>
  <si>
    <t>46.5y</t>
  </si>
  <si>
    <t>47.5y</t>
  </si>
  <si>
    <t>48.5y</t>
  </si>
  <si>
    <t>49.5y</t>
  </si>
  <si>
    <t>BEL Discounted</t>
  </si>
  <si>
    <t>BEL IR DOWN</t>
  </si>
  <si>
    <t>Stress Down</t>
  </si>
  <si>
    <t>BEL IR UP</t>
  </si>
  <si>
    <t>Stress Up</t>
  </si>
  <si>
    <t>DV01 (1bps)</t>
  </si>
  <si>
    <t>Duration</t>
  </si>
  <si>
    <t>Monetary Trend BEL</t>
  </si>
  <si>
    <t>% Trend BEL</t>
  </si>
  <si>
    <t>Duration Asset</t>
  </si>
  <si>
    <t>Asset</t>
  </si>
  <si>
    <t>Liabilities</t>
  </si>
  <si>
    <t>Net Assets</t>
  </si>
  <si>
    <t>% Asset</t>
  </si>
  <si>
    <t>Duration Mismatch</t>
  </si>
  <si>
    <t>% Surplus Asset</t>
  </si>
  <si>
    <t>Mismatch ALM</t>
  </si>
  <si>
    <t>28/11/2025</t>
  </si>
  <si>
    <t>30/10/2025</t>
  </si>
  <si>
    <t>30/09/2025</t>
  </si>
  <si>
    <t>29/08/2025</t>
  </si>
  <si>
    <t>31/07/2025</t>
  </si>
  <si>
    <t>30/06/2025</t>
  </si>
  <si>
    <t>30/05/2025</t>
  </si>
  <si>
    <t>30/04/2025</t>
  </si>
  <si>
    <t>31/03/2025</t>
  </si>
  <si>
    <t>28/02/2025</t>
  </si>
  <si>
    <t>31/01/2025</t>
  </si>
  <si>
    <t>Data</t>
  </si>
  <si>
    <t>Duration Liabilities</t>
  </si>
  <si>
    <t>Surplus Asset %</t>
  </si>
  <si>
    <r>
      <rPr>
        <b/>
        <sz val="10"/>
        <color theme="1"/>
        <rFont val="Aptos Narrow"/>
        <family val="2"/>
      </rPr>
      <t>Δ</t>
    </r>
    <r>
      <rPr>
        <b/>
        <i/>
        <sz val="10"/>
        <color theme="1"/>
        <rFont val="Century Gothic"/>
        <family val="2"/>
      </rPr>
      <t xml:space="preserve"> BEL Undiscounted</t>
    </r>
  </si>
  <si>
    <t>Δ BEL Discounted</t>
  </si>
  <si>
    <t>Δ BEL IR DOWN</t>
  </si>
  <si>
    <t>Δ Stress Down</t>
  </si>
  <si>
    <t>Δ BEL IR UP</t>
  </si>
  <si>
    <t>Δ Stress Up</t>
  </si>
  <si>
    <t>Δ DV01 (1bps)</t>
  </si>
  <si>
    <t>Δ Duration</t>
  </si>
  <si>
    <t>Δ BEL Undiscounted</t>
  </si>
  <si>
    <t>Jan '25 vs Dec '24</t>
  </si>
  <si>
    <t>Jan '25</t>
  </si>
  <si>
    <t>Feb '25</t>
  </si>
  <si>
    <t>Mar '25</t>
  </si>
  <si>
    <t>Apr '25</t>
  </si>
  <si>
    <t>May '25</t>
  </si>
  <si>
    <t>Jun '25</t>
  </si>
  <si>
    <t>Jul '25</t>
  </si>
  <si>
    <t>Sep '25</t>
  </si>
  <si>
    <t>Oct '25</t>
  </si>
  <si>
    <t>Nov '25</t>
  </si>
  <si>
    <t>Dec '25</t>
  </si>
  <si>
    <t>Feb '25 vs Jan '25</t>
  </si>
  <si>
    <t>Mar '25 vs Feb '25</t>
  </si>
  <si>
    <t>Apr '25 vs Mar '25</t>
  </si>
  <si>
    <t>May '25 vs Apr '25</t>
  </si>
  <si>
    <t>Jun '25 vs May '25</t>
  </si>
  <si>
    <t>Jul '25 vs Jun '25</t>
  </si>
  <si>
    <t>Aug '25 vs Jul '25</t>
  </si>
  <si>
    <t>Sep '25 vs Aug '25</t>
  </si>
  <si>
    <t>Oct '25 vs Sep '25</t>
  </si>
  <si>
    <t>Nov '25 vs Oct '25</t>
  </si>
  <si>
    <t>Dec '25 vs Nov '25</t>
  </si>
  <si>
    <t>Aug '25</t>
  </si>
  <si>
    <t>30/12/2025</t>
  </si>
  <si>
    <t>Jan '26 vs Dec '25</t>
  </si>
  <si>
    <t>31/01/2026</t>
  </si>
  <si>
    <t>Jan '26</t>
  </si>
  <si>
    <t>Jan'26</t>
  </si>
  <si>
    <t>Feb '26</t>
  </si>
  <si>
    <t>Feb '26 vs Jan '26</t>
  </si>
  <si>
    <t>Feb'26</t>
  </si>
  <si>
    <t>Mar '26</t>
  </si>
  <si>
    <t>Mar '26 vs Feb '26</t>
  </si>
  <si>
    <t>27/02/2026</t>
  </si>
  <si>
    <t>31/03/2026</t>
  </si>
  <si>
    <t>Mar'26</t>
  </si>
  <si>
    <t>Apr '26</t>
  </si>
  <si>
    <t>Apr '26 vs Mar '26</t>
  </si>
  <si>
    <t>30/04/2026</t>
  </si>
  <si>
    <t>Mag '26</t>
  </si>
  <si>
    <t>Mag '26 vs Apr '26</t>
  </si>
  <si>
    <t>29/05/2026</t>
  </si>
  <si>
    <t>Giu' 26</t>
  </si>
  <si>
    <t>Giu '26 vs Mag '26</t>
  </si>
  <si>
    <t>30/06/2026</t>
  </si>
  <si>
    <t>Giu 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</si>
</sst>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0.0%"/>
    <numFmt numFmtId="166" formatCode="_(* #,##0.0000_);_(* \(#,##0.0000\);_(* &quot;-&quot;??_);_(@_)"/>
    <numFmt numFmtId="167" formatCode="0.000%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rgb="FF002060"/>
      <name val="Century Gothic"/>
      <family val="2"/>
    </font>
    <font>
      <b/>
      <sz val="10"/>
      <color rgb="FF002060"/>
      <name val="Century Gothic"/>
      <family val="2"/>
    </font>
    <font>
      <b/>
      <i/>
      <sz val="10"/>
      <color theme="1"/>
      <name val="Century Gothic"/>
      <family val="2"/>
    </font>
    <font>
      <b/>
      <i/>
      <sz val="9"/>
      <color theme="1"/>
      <name val="Century Gothic"/>
      <family val="2"/>
    </font>
    <font>
      <b/>
      <i/>
      <sz val="8"/>
      <color theme="1"/>
      <name val="Century Gothic"/>
      <family val="2"/>
    </font>
    <font>
      <b/>
      <i/>
      <sz val="16"/>
      <color theme="1"/>
      <name val="Century Gothic"/>
      <family val="2"/>
    </font>
    <font>
      <sz val="11"/>
      <color theme="1"/>
      <name val="Century Gothic"/>
      <family val="2"/>
    </font>
    <font>
      <b/>
      <i/>
      <sz val="14"/>
      <color theme="1"/>
      <name val="Century Gothic"/>
      <family val="2"/>
    </font>
    <font>
      <b/>
      <sz val="11"/>
      <color theme="0" tint="-0.499984740745262"/>
      <name val="Century Gothic"/>
      <family val="2"/>
    </font>
    <font>
      <b/>
      <sz val="11"/>
      <color theme="0"/>
      <name val="Century Gothic"/>
      <family val="2"/>
    </font>
    <font>
      <b/>
      <sz val="11"/>
      <color theme="1"/>
      <name val="Century Gothic"/>
      <family val="2"/>
    </font>
    <font>
      <b/>
      <sz val="10"/>
      <color theme="1"/>
      <name val="Aptos Narrow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12" xfId="0" applyFont="1" applyBorder="1"/>
    <xf numFmtId="43" fontId="10" fillId="0" borderId="12" xfId="1" applyFont="1" applyFill="1" applyBorder="1"/>
    <xf numFmtId="0" fontId="13" fillId="2" borderId="12" xfId="0" applyFont="1" applyFill="1" applyBorder="1" applyAlignment="1">
      <alignment horizontal="center"/>
    </xf>
    <xf numFmtId="0" fontId="14" fillId="0" borderId="12" xfId="0" applyFont="1" applyBorder="1"/>
    <xf numFmtId="43" fontId="14" fillId="0" borderId="12" xfId="0" applyNumberFormat="1" applyFont="1" applyBorder="1"/>
    <xf numFmtId="165" fontId="10" fillId="0" borderId="12" xfId="2" applyNumberFormat="1" applyFont="1" applyBorder="1"/>
    <xf numFmtId="164" fontId="14" fillId="0" borderId="12" xfId="0" applyNumberFormat="1" applyFont="1" applyBorder="1"/>
    <xf numFmtId="0" fontId="2" fillId="0" borderId="0" xfId="0" applyFont="1" applyProtection="1">
      <protection locked="0"/>
    </xf>
    <xf numFmtId="0" fontId="6" fillId="0" borderId="7" xfId="0" applyFont="1" applyBorder="1" applyProtection="1">
      <protection locked="0"/>
    </xf>
    <xf numFmtId="3" fontId="2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0" fontId="7" fillId="0" borderId="7" xfId="0" applyFont="1" applyBorder="1" applyAlignment="1" applyProtection="1">
      <alignment horizontal="center"/>
      <protection locked="0"/>
    </xf>
    <xf numFmtId="0" fontId="8" fillId="0" borderId="7" xfId="0" applyFont="1" applyBorder="1" applyAlignment="1" applyProtection="1">
      <alignment horizontal="right"/>
      <protection locked="0"/>
    </xf>
    <xf numFmtId="0" fontId="6" fillId="0" borderId="9" xfId="0" applyFont="1" applyBorder="1" applyProtection="1">
      <protection locked="0"/>
    </xf>
    <xf numFmtId="4" fontId="2" fillId="0" borderId="10" xfId="0" applyNumberFormat="1" applyFont="1" applyBorder="1" applyProtection="1">
      <protection locked="0"/>
    </xf>
    <xf numFmtId="0" fontId="4" fillId="0" borderId="5" xfId="0" applyFont="1" applyBorder="1" applyProtection="1">
      <protection locked="0"/>
    </xf>
    <xf numFmtId="0" fontId="5" fillId="0" borderId="5" xfId="0" applyFont="1" applyBorder="1" applyProtection="1">
      <protection locked="0"/>
    </xf>
    <xf numFmtId="0" fontId="2" fillId="0" borderId="5" xfId="0" applyFont="1" applyBorder="1" applyProtection="1">
      <protection locked="0"/>
    </xf>
    <xf numFmtId="43" fontId="2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4" fontId="2" fillId="0" borderId="0" xfId="0" applyNumberFormat="1" applyFont="1" applyProtection="1">
      <protection locked="0"/>
    </xf>
    <xf numFmtId="10" fontId="2" fillId="0" borderId="0" xfId="2" applyNumberFormat="1" applyFont="1" applyBorder="1" applyProtection="1">
      <protection locked="0"/>
    </xf>
    <xf numFmtId="10" fontId="2" fillId="0" borderId="0" xfId="2" applyNumberFormat="1" applyFont="1" applyFill="1" applyBorder="1" applyProtection="1">
      <protection locked="0"/>
    </xf>
    <xf numFmtId="9" fontId="2" fillId="0" borderId="0" xfId="2" applyFont="1" applyProtection="1">
      <protection locked="0"/>
    </xf>
    <xf numFmtId="10" fontId="2" fillId="0" borderId="10" xfId="2" applyNumberFormat="1" applyFont="1" applyBorder="1" applyProtection="1">
      <protection locked="0"/>
    </xf>
    <xf numFmtId="10" fontId="2" fillId="0" borderId="0" xfId="2" quotePrefix="1" applyNumberFormat="1" applyFont="1" applyBorder="1" applyProtection="1">
      <protection locked="0"/>
    </xf>
    <xf numFmtId="10" fontId="3" fillId="0" borderId="10" xfId="2" applyNumberFormat="1" applyFont="1" applyBorder="1" applyProtection="1">
      <protection locked="0"/>
    </xf>
    <xf numFmtId="4" fontId="3" fillId="0" borderId="10" xfId="0" applyNumberFormat="1" applyFont="1" applyBorder="1" applyProtection="1">
      <protection locked="0"/>
    </xf>
    <xf numFmtId="3" fontId="3" fillId="0" borderId="0" xfId="0" applyNumberFormat="1" applyFont="1" applyProtection="1">
      <protection locked="0"/>
    </xf>
    <xf numFmtId="10" fontId="3" fillId="0" borderId="0" xfId="2" applyNumberFormat="1" applyFont="1" applyBorder="1" applyProtection="1">
      <protection locked="0"/>
    </xf>
    <xf numFmtId="10" fontId="2" fillId="0" borderId="8" xfId="2" applyNumberFormat="1" applyFont="1" applyBorder="1" applyProtection="1">
      <protection locked="0"/>
    </xf>
    <xf numFmtId="10" fontId="3" fillId="0" borderId="0" xfId="2" applyNumberFormat="1" applyFont="1" applyFill="1" applyBorder="1" applyProtection="1">
      <protection locked="0"/>
    </xf>
    <xf numFmtId="43" fontId="10" fillId="0" borderId="12" xfId="0" applyNumberFormat="1" applyFont="1" applyBorder="1"/>
    <xf numFmtId="0" fontId="14" fillId="0" borderId="0" xfId="0" applyFont="1"/>
    <xf numFmtId="43" fontId="14" fillId="0" borderId="0" xfId="0" applyNumberFormat="1" applyFont="1"/>
    <xf numFmtId="43" fontId="10" fillId="0" borderId="0" xfId="0" applyNumberFormat="1" applyFont="1"/>
    <xf numFmtId="165" fontId="10" fillId="0" borderId="0" xfId="2" applyNumberFormat="1" applyFont="1" applyBorder="1"/>
    <xf numFmtId="164" fontId="14" fillId="0" borderId="0" xfId="0" applyNumberFormat="1" applyFont="1"/>
    <xf numFmtId="164" fontId="10" fillId="0" borderId="0" xfId="0" applyNumberFormat="1" applyFont="1"/>
    <xf numFmtId="167" fontId="10" fillId="0" borderId="0" xfId="2" applyNumberFormat="1" applyFont="1"/>
    <xf numFmtId="166" fontId="10" fillId="0" borderId="0" xfId="0" applyNumberFormat="1" applyFont="1"/>
    <xf numFmtId="14" fontId="10" fillId="0" borderId="0" xfId="0" applyNumberFormat="1" applyFont="1"/>
    <xf numFmtId="165" fontId="10" fillId="0" borderId="12" xfId="2" applyNumberFormat="1" applyFont="1" applyFill="1" applyBorder="1"/>
    <xf numFmtId="9" fontId="10" fillId="0" borderId="12" xfId="2" applyFont="1" applyFill="1" applyBorder="1"/>
    <xf numFmtId="14" fontId="10" fillId="0" borderId="0" xfId="0" quotePrefix="1" applyNumberFormat="1" applyFont="1"/>
    <xf numFmtId="0" fontId="3" fillId="0" borderId="4" xfId="0" applyFont="1" applyBorder="1" applyProtection="1">
      <protection locked="0"/>
    </xf>
    <xf numFmtId="4" fontId="3" fillId="0" borderId="0" xfId="0" applyNumberFormat="1" applyFont="1" applyProtection="1">
      <protection locked="0"/>
    </xf>
    <xf numFmtId="0" fontId="3" fillId="0" borderId="7" xfId="0" applyFont="1" applyBorder="1" applyProtection="1">
      <protection locked="0"/>
    </xf>
    <xf numFmtId="165" fontId="10" fillId="0" borderId="0" xfId="2" applyNumberFormat="1" applyFont="1" applyFill="1" applyBorder="1"/>
    <xf numFmtId="43" fontId="10" fillId="0" borderId="15" xfId="1" applyFont="1" applyFill="1" applyBorder="1"/>
    <xf numFmtId="43" fontId="10" fillId="0" borderId="16" xfId="1" applyFont="1" applyFill="1" applyBorder="1"/>
    <xf numFmtId="9" fontId="10" fillId="0" borderId="16" xfId="2" applyFont="1" applyFill="1" applyBorder="1"/>
    <xf numFmtId="43" fontId="10" fillId="0" borderId="17" xfId="1" applyFont="1" applyFill="1" applyBorder="1"/>
    <xf numFmtId="43" fontId="10" fillId="0" borderId="18" xfId="1" applyFont="1" applyFill="1" applyBorder="1"/>
    <xf numFmtId="43" fontId="10" fillId="0" borderId="19" xfId="1" applyFont="1" applyFill="1" applyBorder="1"/>
    <xf numFmtId="43" fontId="10" fillId="0" borderId="20" xfId="1" applyFont="1" applyFill="1" applyBorder="1"/>
    <xf numFmtId="43" fontId="10" fillId="0" borderId="21" xfId="1" applyFont="1" applyFill="1" applyBorder="1"/>
    <xf numFmtId="9" fontId="10" fillId="0" borderId="21" xfId="2" applyFont="1" applyFill="1" applyBorder="1"/>
    <xf numFmtId="43" fontId="10" fillId="0" borderId="22" xfId="1" applyFont="1" applyFill="1" applyBorder="1"/>
    <xf numFmtId="10" fontId="2" fillId="0" borderId="8" xfId="2" quotePrefix="1" applyNumberFormat="1" applyFont="1" applyBorder="1" applyProtection="1">
      <protection locked="0"/>
    </xf>
    <xf numFmtId="10" fontId="2" fillId="0" borderId="11" xfId="2" applyNumberFormat="1" applyFont="1" applyBorder="1" applyProtection="1">
      <protection locked="0"/>
    </xf>
    <xf numFmtId="10" fontId="3" fillId="0" borderId="0" xfId="2" quotePrefix="1" applyNumberFormat="1" applyFont="1" applyBorder="1" applyProtection="1">
      <protection locked="0"/>
    </xf>
    <xf numFmtId="14" fontId="14" fillId="0" borderId="0" xfId="0" quotePrefix="1" applyNumberFormat="1" applyFont="1"/>
    <xf numFmtId="43" fontId="3" fillId="0" borderId="0" xfId="0" applyNumberFormat="1" applyFont="1" applyProtection="1">
      <protection locked="0"/>
    </xf>
    <xf numFmtId="4" fontId="2" fillId="0" borderId="11" xfId="0" applyNumberFormat="1" applyFont="1" applyBorder="1" applyProtection="1">
      <protection locked="0"/>
    </xf>
    <xf numFmtId="3" fontId="10" fillId="0" borderId="8" xfId="0" quotePrefix="1" applyNumberFormat="1" applyFont="1" applyBorder="1"/>
    <xf numFmtId="3" fontId="2" fillId="0" borderId="8" xfId="0" applyNumberFormat="1" applyFont="1" applyBorder="1" applyProtection="1">
      <protection locked="0"/>
    </xf>
    <xf numFmtId="3" fontId="4" fillId="0" borderId="6" xfId="0" applyNumberFormat="1" applyFont="1" applyBorder="1" applyProtection="1">
      <protection locked="0"/>
    </xf>
    <xf numFmtId="3" fontId="2" fillId="0" borderId="11" xfId="0" applyNumberFormat="1" applyFont="1" applyBorder="1" applyProtection="1">
      <protection locked="0"/>
    </xf>
    <xf numFmtId="1" fontId="2" fillId="0" borderId="0" xfId="0" applyNumberFormat="1" applyFont="1" applyProtection="1">
      <protection locked="0"/>
    </xf>
    <xf numFmtId="43" fontId="10" fillId="0" borderId="23" xfId="1" applyFont="1" applyFill="1" applyBorder="1"/>
    <xf numFmtId="43" fontId="10" fillId="0" borderId="24" xfId="1" applyFont="1" applyFill="1" applyBorder="1"/>
    <xf numFmtId="9" fontId="10" fillId="0" borderId="24" xfId="2" applyFont="1" applyFill="1" applyBorder="1"/>
    <xf numFmtId="0" fontId="3" fillId="0" borderId="0" xfId="0" applyFont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13" fillId="2" borderId="13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heetMetadata" Target="metadata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it-IT" sz="1800"/>
              <a:t>Relative</a:t>
            </a:r>
            <a:r>
              <a:rPr lang="it-IT" sz="1800" baseline="0"/>
              <a:t> BEL </a:t>
            </a:r>
            <a:r>
              <a:rPr lang="it-IT" sz="1800"/>
              <a:t>Variation 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tx1"/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'Analisi BEL Aggregate'!$A$752</c:f>
              <c:strCache>
                <c:ptCount val="1"/>
                <c:pt idx="0">
                  <c:v>Δ BEL Discounted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'Analisi BEL Aggregate'!$B$695:$O$695</c:f>
              <c:strCache>
                <c:ptCount val="14"/>
                <c:pt idx="0">
                  <c:v>Jan '25 vs Dec '24</c:v>
                </c:pt>
                <c:pt idx="1">
                  <c:v>Feb '25 vs Jan '25</c:v>
                </c:pt>
                <c:pt idx="2">
                  <c:v>Mar '25 vs Feb '25</c:v>
                </c:pt>
                <c:pt idx="3">
                  <c:v>Apr '25 vs Mar '25</c:v>
                </c:pt>
                <c:pt idx="4">
                  <c:v>May '25 vs Apr '25</c:v>
                </c:pt>
                <c:pt idx="5">
                  <c:v>Jun '25 vs May '25</c:v>
                </c:pt>
                <c:pt idx="6">
                  <c:v>Jul '25 vs Jun '25</c:v>
                </c:pt>
                <c:pt idx="7">
                  <c:v>Aug '25 vs Jul '25</c:v>
                </c:pt>
                <c:pt idx="8">
                  <c:v>Sep '25 vs Aug '25</c:v>
                </c:pt>
                <c:pt idx="9">
                  <c:v>Oct '25 vs Sep '25</c:v>
                </c:pt>
                <c:pt idx="10">
                  <c:v>Nov '25 vs Oct '25</c:v>
                </c:pt>
                <c:pt idx="11">
                  <c:v>Dec '25 vs Nov '25</c:v>
                </c:pt>
                <c:pt idx="12">
                  <c:v>Jan '26 vs Dec '25</c:v>
                </c:pt>
                <c:pt idx="13">
                  <c:v>Feb '26 vs Jan '26</c:v>
                </c:pt>
              </c:strCache>
            </c:strRef>
          </c:cat>
          <c:val>
            <c:numRef>
              <c:f>'Analisi BEL Aggregate'!$B$752:$M$752</c:f>
              <c:numCache>
                <c:formatCode>0.00%</c:formatCode>
                <c:ptCount val="12"/>
                <c:pt idx="0">
                  <c:v>-1.7037449717359271E-3</c:v>
                </c:pt>
                <c:pt idx="1">
                  <c:v>3.0960225479119917E-3</c:v>
                </c:pt>
                <c:pt idx="2">
                  <c:v>3.0792335625073025E-2</c:v>
                </c:pt>
                <c:pt idx="3">
                  <c:v>6.7673391665541418E-3</c:v>
                </c:pt>
                <c:pt idx="4">
                  <c:v>-1.8693115450489439E-3</c:v>
                </c:pt>
                <c:pt idx="5">
                  <c:v>-3.2445821879546442E-2</c:v>
                </c:pt>
                <c:pt idx="6">
                  <c:v>-2.2605803156345769E-3</c:v>
                </c:pt>
                <c:pt idx="7">
                  <c:v>4.3233246650152399E-4</c:v>
                </c:pt>
                <c:pt idx="8">
                  <c:v>1.8470120272003395E-3</c:v>
                </c:pt>
                <c:pt idx="9">
                  <c:v>8.2761779564611681E-4</c:v>
                </c:pt>
                <c:pt idx="10">
                  <c:v>-2.2838945722638161E-3</c:v>
                </c:pt>
                <c:pt idx="11">
                  <c:v>-0.10251860746570127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BC-4CBF-94A2-B45F8E7BB880}"/>
            </c:ext>
          </c:extLst>
        </c:ser>
        <c:ser>
          <c:idx val="1"/>
          <c:order val="1"/>
          <c:tx>
            <c:strRef>
              <c:f>'Analisi BEL Aggregate'!$A$808</c:f>
              <c:strCache>
                <c:ptCount val="1"/>
                <c:pt idx="0">
                  <c:v>Δ BEL IR DOWN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'Analisi BEL Aggregate'!$B$695:$O$695</c:f>
              <c:strCache>
                <c:ptCount val="14"/>
                <c:pt idx="0">
                  <c:v>Jan '25 vs Dec '24</c:v>
                </c:pt>
                <c:pt idx="1">
                  <c:v>Feb '25 vs Jan '25</c:v>
                </c:pt>
                <c:pt idx="2">
                  <c:v>Mar '25 vs Feb '25</c:v>
                </c:pt>
                <c:pt idx="3">
                  <c:v>Apr '25 vs Mar '25</c:v>
                </c:pt>
                <c:pt idx="4">
                  <c:v>May '25 vs Apr '25</c:v>
                </c:pt>
                <c:pt idx="5">
                  <c:v>Jun '25 vs May '25</c:v>
                </c:pt>
                <c:pt idx="6">
                  <c:v>Jul '25 vs Jun '25</c:v>
                </c:pt>
                <c:pt idx="7">
                  <c:v>Aug '25 vs Jul '25</c:v>
                </c:pt>
                <c:pt idx="8">
                  <c:v>Sep '25 vs Aug '25</c:v>
                </c:pt>
                <c:pt idx="9">
                  <c:v>Oct '25 vs Sep '25</c:v>
                </c:pt>
                <c:pt idx="10">
                  <c:v>Nov '25 vs Oct '25</c:v>
                </c:pt>
                <c:pt idx="11">
                  <c:v>Dec '25 vs Nov '25</c:v>
                </c:pt>
                <c:pt idx="12">
                  <c:v>Jan '26 vs Dec '25</c:v>
                </c:pt>
                <c:pt idx="13">
                  <c:v>Feb '26 vs Jan '26</c:v>
                </c:pt>
              </c:strCache>
            </c:strRef>
          </c:cat>
          <c:val>
            <c:numRef>
              <c:f>'Analisi BEL Aggregate'!$B$808:$O$808</c:f>
              <c:numCache>
                <c:formatCode>0.00%</c:formatCode>
                <c:ptCount val="14"/>
                <c:pt idx="0">
                  <c:v>-9.8025246857751862E-4</c:v>
                </c:pt>
                <c:pt idx="1">
                  <c:v>1.6626735472960138E-3</c:v>
                </c:pt>
                <c:pt idx="2">
                  <c:v>3.2163105096854681E-2</c:v>
                </c:pt>
                <c:pt idx="3">
                  <c:v>3.6382205435640975E-3</c:v>
                </c:pt>
                <c:pt idx="4">
                  <c:v>-1.1931529162745732E-3</c:v>
                </c:pt>
                <c:pt idx="5">
                  <c:v>-3.0983530734237971E-2</c:v>
                </c:pt>
                <c:pt idx="6">
                  <c:v>-1.2597399004345131E-3</c:v>
                </c:pt>
                <c:pt idx="7">
                  <c:v>1.2713522986045403E-4</c:v>
                </c:pt>
                <c:pt idx="8">
                  <c:v>3.0923122279830095E-3</c:v>
                </c:pt>
                <c:pt idx="9">
                  <c:v>4.8541536817344448E-4</c:v>
                </c:pt>
                <c:pt idx="10">
                  <c:v>-1.530259069476525E-3</c:v>
                </c:pt>
                <c:pt idx="11">
                  <c:v>-0.10283742954504446</c:v>
                </c:pt>
                <c:pt idx="12">
                  <c:v>7.4572416586017696E-4</c:v>
                </c:pt>
                <c:pt idx="13">
                  <c:v>2.1967218135308404E-3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BC-4CBF-94A2-B45F8E7BB880}"/>
            </c:ext>
          </c:extLst>
        </c:ser>
        <c:ser>
          <c:idx val="2"/>
          <c:order val="2"/>
          <c:tx>
            <c:strRef>
              <c:f>'Analisi BEL Aggregate'!$A$920</c:f>
              <c:strCache>
                <c:ptCount val="1"/>
                <c:pt idx="0">
                  <c:v>Δ BEL IR UP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'Analisi BEL Aggregate'!$B$695:$O$695</c:f>
              <c:strCache>
                <c:ptCount val="14"/>
                <c:pt idx="0">
                  <c:v>Jan '25 vs Dec '24</c:v>
                </c:pt>
                <c:pt idx="1">
                  <c:v>Feb '25 vs Jan '25</c:v>
                </c:pt>
                <c:pt idx="2">
                  <c:v>Mar '25 vs Feb '25</c:v>
                </c:pt>
                <c:pt idx="3">
                  <c:v>Apr '25 vs Mar '25</c:v>
                </c:pt>
                <c:pt idx="4">
                  <c:v>May '25 vs Apr '25</c:v>
                </c:pt>
                <c:pt idx="5">
                  <c:v>Jun '25 vs May '25</c:v>
                </c:pt>
                <c:pt idx="6">
                  <c:v>Jul '25 vs Jun '25</c:v>
                </c:pt>
                <c:pt idx="7">
                  <c:v>Aug '25 vs Jul '25</c:v>
                </c:pt>
                <c:pt idx="8">
                  <c:v>Sep '25 vs Aug '25</c:v>
                </c:pt>
                <c:pt idx="9">
                  <c:v>Oct '25 vs Sep '25</c:v>
                </c:pt>
                <c:pt idx="10">
                  <c:v>Nov '25 vs Oct '25</c:v>
                </c:pt>
                <c:pt idx="11">
                  <c:v>Dec '25 vs Nov '25</c:v>
                </c:pt>
                <c:pt idx="12">
                  <c:v>Jan '26 vs Dec '25</c:v>
                </c:pt>
                <c:pt idx="13">
                  <c:v>Feb '26 vs Jan '26</c:v>
                </c:pt>
              </c:strCache>
            </c:strRef>
          </c:cat>
          <c:val>
            <c:numRef>
              <c:f>'Analisi BEL Aggregate'!$B$920:$O$920</c:f>
              <c:numCache>
                <c:formatCode>0.00%</c:formatCode>
                <c:ptCount val="14"/>
                <c:pt idx="0">
                  <c:v>-2.2398655479553098E-3</c:v>
                </c:pt>
                <c:pt idx="1">
                  <c:v>4.3041299421305232E-3</c:v>
                </c:pt>
                <c:pt idx="2">
                  <c:v>3.0595823112856982E-2</c:v>
                </c:pt>
                <c:pt idx="3">
                  <c:v>9.6194203173825404E-3</c:v>
                </c:pt>
                <c:pt idx="4">
                  <c:v>-2.3218274944265091E-3</c:v>
                </c:pt>
                <c:pt idx="5">
                  <c:v>-3.3832624066766244E-2</c:v>
                </c:pt>
                <c:pt idx="6">
                  <c:v>-3.1694256159126568E-3</c:v>
                </c:pt>
                <c:pt idx="7">
                  <c:v>8.4974319877440018E-4</c:v>
                </c:pt>
                <c:pt idx="8">
                  <c:v>4.5067593606233712E-4</c:v>
                </c:pt>
                <c:pt idx="9">
                  <c:v>1.166935982591992E-3</c:v>
                </c:pt>
                <c:pt idx="10">
                  <c:v>-2.8178216499150023E-3</c:v>
                </c:pt>
                <c:pt idx="11">
                  <c:v>-0.10180705715195376</c:v>
                </c:pt>
                <c:pt idx="12">
                  <c:v>1.6312594980542241E-3</c:v>
                </c:pt>
                <c:pt idx="13">
                  <c:v>4.5913594531770095E-3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BC-4CBF-94A2-B45F8E7BB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755264"/>
        <c:axId val="1939764624"/>
      </c:lineChart>
      <c:catAx>
        <c:axId val="193975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it-IT"/>
          </a:p>
        </c:txPr>
        <c:crossAx val="1939764624"/>
        <c:crosses val="autoZero"/>
        <c:auto val="1"/>
        <c:lblAlgn val="ctr"/>
        <c:lblOffset val="100"/>
        <c:noMultiLvlLbl val="0"/>
      </c:catAx>
      <c:valAx>
        <c:axId val="19397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it-IT"/>
          </a:p>
        </c:txPr>
        <c:crossAx val="193975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/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 i="0" u="none" strike="noStrike" kern="1200" baseline="0">
          <a:solidFill>
            <a:schemeClr val="tx1"/>
          </a:solidFill>
          <a:latin typeface="Century Gothic" panose="020B0502020202020204" pitchFamily="34" charset="0"/>
          <a:ea typeface="+mn-ea"/>
          <a:cs typeface="+mn-cs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it-IT"/>
              <a:t>Trend Bel on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'Analisi BEL Aggregate'!$A$60</c:f>
              <c:strCache>
                <c:ptCount val="1"/>
                <c:pt idx="0">
                  <c:v>BEL Discounted</c:v>
                </c:pt>
              </c:strCache>
            </c:strRef>
          </c:tx>
          <c:dLbls>
            <c:dLbl>
              <c:idx val="0"/>
              <c:layout>
                <c:manualLayout>
                  <c:x val="-4.1257457122944041E-3"/>
                  <c:y val="-3.368729057808039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-978M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E87F-4C13-9D2C-A51B2BDBBDD8}"/>
                </c:ext>
              </c:extLst>
            </c:dLbl>
            <c:dLbl>
              <c:idx val="1"/>
              <c:layout>
                <c:manualLayout>
                  <c:x val="-8.251491424588808E-4"/>
                  <c:y val="-1.871516143226695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-981M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E87F-4C13-9D2C-A51B2BDBBDD8}"/>
                </c:ext>
              </c:extLst>
            </c:dLbl>
            <c:dLbl>
              <c:idx val="2"/>
              <c:layout>
                <c:manualLayout>
                  <c:x val="-1.5677833706718734E-2"/>
                  <c:y val="-5.614548429680064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-1.011B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E87F-4C13-9D2C-A51B2BDBBDD8}"/>
                </c:ext>
              </c:extLst>
            </c:dLbl>
            <c:dLbl>
              <c:idx val="3"/>
              <c:layout>
                <c:manualLayout>
                  <c:x val="-3.5481413125731873E-2"/>
                  <c:y val="-5.988851658325402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-1.018B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E87F-4C13-9D2C-A51B2BDBBDD8}"/>
                </c:ext>
              </c:extLst>
            </c:dLbl>
            <c:dLbl>
              <c:idx val="4"/>
              <c:layout>
                <c:manualLayout>
                  <c:x val="-4.3732904550320681E-2"/>
                  <c:y val="-4.865941972389389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-1.016B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E87F-4C13-9D2C-A51B2BDBBDD8}"/>
                </c:ext>
              </c:extLst>
            </c:dLbl>
            <c:dLbl>
              <c:idx val="5"/>
              <c:layout>
                <c:manualLayout>
                  <c:x val="-2.062872856147208E-2"/>
                  <c:y val="-4.491638743744058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-983M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E87F-4C13-9D2C-A51B2BDBBDD8}"/>
                </c:ext>
              </c:extLst>
            </c:dLbl>
            <c:dLbl>
              <c:idx val="6"/>
              <c:layout>
                <c:manualLayout>
                  <c:x val="-3.0530518270978649E-2"/>
                  <c:y val="-4.865941972389396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-981M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E87F-4C13-9D2C-A51B2BDBBDD8}"/>
                </c:ext>
              </c:extLst>
            </c:dLbl>
            <c:dLbl>
              <c:idx val="7"/>
              <c:layout>
                <c:manualLayout>
                  <c:x val="-3.2180816555896469E-2"/>
                  <c:y val="-4.117335515098721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- 981M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E87F-4C13-9D2C-A51B2BDBBDD8}"/>
                </c:ext>
              </c:extLst>
            </c:dLbl>
            <c:dLbl>
              <c:idx val="8"/>
              <c:layout>
                <c:manualLayout>
                  <c:x val="-2.8880219986060825E-2"/>
                  <c:y val="-4.117335515098714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-983M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E87F-4C13-9D2C-A51B2BDBBDD8}"/>
                </c:ext>
              </c:extLst>
            </c:dLbl>
            <c:dLbl>
              <c:idx val="9"/>
              <c:layout>
                <c:manualLayout>
                  <c:x val="-3.1355667413437593E-2"/>
                  <c:y val="-4.491638743744058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-984M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E87F-4C13-9D2C-A51B2BDBBDD8}"/>
                </c:ext>
              </c:extLst>
            </c:dLbl>
            <c:dLbl>
              <c:idx val="10"/>
              <c:layout>
                <c:manualLayout>
                  <c:x val="-2.2153847585146623E-2"/>
                  <c:y val="-5.799688795701471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-982M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E4B-457F-9071-0E5C91E886B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'Analisi BEL Aggregate'!$B$3:$O$3</c:f>
              <c:strCache>
                <c:ptCount val="14"/>
                <c:pt idx="0">
                  <c:v>Jan '25</c:v>
                </c:pt>
                <c:pt idx="1">
                  <c:v>Feb '25</c:v>
                </c:pt>
                <c:pt idx="2">
                  <c:v>Mar '25</c:v>
                </c:pt>
                <c:pt idx="3">
                  <c:v>Apr '25</c:v>
                </c:pt>
                <c:pt idx="4">
                  <c:v>May '25</c:v>
                </c:pt>
                <c:pt idx="5">
                  <c:v>Jun '25</c:v>
                </c:pt>
                <c:pt idx="6">
                  <c:v>Jul '25</c:v>
                </c:pt>
                <c:pt idx="7">
                  <c:v>Aug '25</c:v>
                </c:pt>
                <c:pt idx="8">
                  <c:v>Sep '25</c:v>
                </c:pt>
                <c:pt idx="9">
                  <c:v>Oct '25</c:v>
                </c:pt>
                <c:pt idx="10">
                  <c:v>Nov '25</c:v>
                </c:pt>
                <c:pt idx="11">
                  <c:v>Dec '25</c:v>
                </c:pt>
                <c:pt idx="12">
                  <c:v>Jan '26</c:v>
                </c:pt>
                <c:pt idx="13">
                  <c:v>Feb '26</c:v>
                </c:pt>
              </c:strCache>
            </c:strRef>
          </c:cat>
          <c:val>
            <c:numRef>
              <c:f>'Analisi BEL Aggregate'!$B$60:$M$60</c:f>
              <c:numCache>
                <c:formatCode>#,##0</c:formatCode>
                <c:ptCount val="12"/>
                <c:pt idx="0">
                  <c:v>-978171986.96353614</c:v>
                </c:pt>
                <c:pt idx="1">
                  <c:v>-981200429.49091113</c:v>
                </c:pt>
                <c:pt idx="2">
                  <c:v>-1011413882.4312611</c:v>
                </c:pt>
                <c:pt idx="3">
                  <c:v>-1018258463.2114347</c:v>
                </c:pt>
                <c:pt idx="4">
                  <c:v>-1016355020.9103098</c:v>
                </c:pt>
                <c:pt idx="5">
                  <c:v>-983378546.93547118</c:v>
                </c:pt>
                <c:pt idx="6">
                  <c:v>-981155540.74945152</c:v>
                </c:pt>
                <c:pt idx="7">
                  <c:v>-981579726.14440536</c:v>
                </c:pt>
                <c:pt idx="8">
                  <c:v>-983392715.7042501</c:v>
                </c:pt>
                <c:pt idx="9">
                  <c:v>-984206589.0158757</c:v>
                </c:pt>
                <c:pt idx="10">
                  <c:v>-981958764.92923605</c:v>
                </c:pt>
                <c:pt idx="11">
                  <c:v>-881289719.75995088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45-466E-87A6-CBC439C3C3E8}"/>
            </c:ext>
          </c:extLst>
        </c:ser>
        <c:ser>
          <c:idx val="1"/>
          <c:order val="1"/>
          <c:tx>
            <c:strRef>
              <c:f>'Analisi BEL Aggregate'!$A$116</c:f>
              <c:strCache>
                <c:ptCount val="1"/>
                <c:pt idx="0">
                  <c:v>BEL IR DOWN</c:v>
                </c:pt>
              </c:strCache>
            </c:strRef>
          </c:tx>
          <c:dLbls>
            <c:dLbl>
              <c:idx val="0"/>
              <c:layout>
                <c:manualLayout>
                  <c:x val="-1.650298284917763E-2"/>
                  <c:y val="-4.865941972389396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-1.005B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E87F-4C13-9D2C-A51B2BDBBD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-1.007B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E87F-4C13-9D2C-A51B2BDBBDD8}"/>
                </c:ext>
              </c:extLst>
            </c:dLbl>
            <c:dLbl>
              <c:idx val="2"/>
              <c:layout>
                <c:manualLayout>
                  <c:x val="-2.8055070843601947E-2"/>
                  <c:y val="-4.491638743744052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-1.040B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E87F-4C13-9D2C-A51B2BDBBDD8}"/>
                </c:ext>
              </c:extLst>
            </c:dLbl>
            <c:dLbl>
              <c:idx val="3"/>
              <c:layout>
                <c:manualLayout>
                  <c:x val="-3.8782009695567395E-2"/>
                  <c:y val="-4.865941972389403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-1.043B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E87F-4C13-9D2C-A51B2BDBBDD8}"/>
                </c:ext>
              </c:extLst>
            </c:dLbl>
            <c:dLbl>
              <c:idx val="4"/>
              <c:layout>
                <c:manualLayout>
                  <c:x val="-4.2082606265402916E-2"/>
                  <c:y val="-4.117335515098714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-1.042B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E87F-4C13-9D2C-A51B2BDBBDD8}"/>
                </c:ext>
              </c:extLst>
            </c:dLbl>
            <c:dLbl>
              <c:idx val="5"/>
              <c:layout>
                <c:manualLayout>
                  <c:x val="-3.0530518270978649E-2"/>
                  <c:y val="-4.865941972389396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-1.010B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E87F-4C13-9D2C-A51B2BDBBDD8}"/>
                </c:ext>
              </c:extLst>
            </c:dLbl>
            <c:dLbl>
              <c:idx val="6"/>
              <c:layout>
                <c:manualLayout>
                  <c:x val="-3.3831114840814171E-2"/>
                  <c:y val="-5.240245201034734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-1.009B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E87F-4C13-9D2C-A51B2BDBBDD8}"/>
                </c:ext>
              </c:extLst>
            </c:dLbl>
            <c:dLbl>
              <c:idx val="7"/>
              <c:layout>
                <c:manualLayout>
                  <c:x val="-3.2180816555896469E-2"/>
                  <c:y val="-4.865941972389396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-1.009B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E87F-4C13-9D2C-A51B2BDBBDD8}"/>
                </c:ext>
              </c:extLst>
            </c:dLbl>
            <c:dLbl>
              <c:idx val="8"/>
              <c:layout>
                <c:manualLayout>
                  <c:x val="-5.0131553963903168E-2"/>
                  <c:y val="-0.10466420947888301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-1.012B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E87F-4C13-9D2C-A51B2BDBBDD8}"/>
                </c:ext>
              </c:extLst>
            </c:dLbl>
            <c:dLbl>
              <c:idx val="9"/>
              <c:layout>
                <c:manualLayout>
                  <c:x val="-3.7131711410649755E-2"/>
                  <c:y val="-5.61454842968005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-1.012B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E87F-4C13-9D2C-A51B2BDBBDD8}"/>
                </c:ext>
              </c:extLst>
            </c:dLbl>
            <c:dLbl>
              <c:idx val="10"/>
              <c:layout>
                <c:manualLayout>
                  <c:x val="-2.3794873332194641E-2"/>
                  <c:y val="-5.799688795701471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-1.011B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E4B-457F-9071-0E5C91E886B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'Analisi BEL Aggregate'!$B$3:$O$3</c:f>
              <c:strCache>
                <c:ptCount val="14"/>
                <c:pt idx="0">
                  <c:v>Jan '25</c:v>
                </c:pt>
                <c:pt idx="1">
                  <c:v>Feb '25</c:v>
                </c:pt>
                <c:pt idx="2">
                  <c:v>Mar '25</c:v>
                </c:pt>
                <c:pt idx="3">
                  <c:v>Apr '25</c:v>
                </c:pt>
                <c:pt idx="4">
                  <c:v>May '25</c:v>
                </c:pt>
                <c:pt idx="5">
                  <c:v>Jun '25</c:v>
                </c:pt>
                <c:pt idx="6">
                  <c:v>Jul '25</c:v>
                </c:pt>
                <c:pt idx="7">
                  <c:v>Aug '25</c:v>
                </c:pt>
                <c:pt idx="8">
                  <c:v>Sep '25</c:v>
                </c:pt>
                <c:pt idx="9">
                  <c:v>Oct '25</c:v>
                </c:pt>
                <c:pt idx="10">
                  <c:v>Nov '25</c:v>
                </c:pt>
                <c:pt idx="11">
                  <c:v>Dec '25</c:v>
                </c:pt>
                <c:pt idx="12">
                  <c:v>Jan '26</c:v>
                </c:pt>
                <c:pt idx="13">
                  <c:v>Feb '26</c:v>
                </c:pt>
              </c:strCache>
            </c:strRef>
          </c:cat>
          <c:val>
            <c:numRef>
              <c:f>'Analisi BEL Aggregate'!$B$116:$O$116</c:f>
              <c:numCache>
                <c:formatCode>#,##0</c:formatCode>
                <c:ptCount val="14"/>
                <c:pt idx="0">
                  <c:v>-1005995626.2494037</c:v>
                </c:pt>
                <c:pt idx="1">
                  <c:v>-1007668268.5658641</c:v>
                </c:pt>
                <c:pt idx="2">
                  <c:v>-1040078008.9905136</c:v>
                </c:pt>
                <c:pt idx="3">
                  <c:v>-1043862042.1697321</c:v>
                </c:pt>
                <c:pt idx="4">
                  <c:v>-1042616555.1299289</c:v>
                </c:pt>
                <c:pt idx="5">
                  <c:v>-1010312613.0500355</c:v>
                </c:pt>
                <c:pt idx="6">
                  <c:v>-1009039881.9394641</c:v>
                </c:pt>
                <c:pt idx="7">
                  <c:v>-1009168166.4567928</c:v>
                </c:pt>
                <c:pt idx="8">
                  <c:v>-1012288829.5180184</c:v>
                </c:pt>
                <c:pt idx="9">
                  <c:v>-1012780210.0728967</c:v>
                </c:pt>
                <c:pt idx="10">
                  <c:v>-1011230393.9710463</c:v>
                </c:pt>
                <c:pt idx="11">
                  <c:v>-907238059.5772413</c:v>
                </c:pt>
                <c:pt idx="12">
                  <c:v>-907914608.92245615</c:v>
                </c:pt>
                <c:pt idx="13">
                  <c:v>-909909044.74869943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45-466E-87A6-CBC439C3C3E8}"/>
            </c:ext>
          </c:extLst>
        </c:ser>
        <c:ser>
          <c:idx val="2"/>
          <c:order val="2"/>
          <c:tx>
            <c:strRef>
              <c:f>'Analisi BEL Aggregate'!$A$228</c:f>
              <c:strCache>
                <c:ptCount val="1"/>
                <c:pt idx="0">
                  <c:v>BEL IR UP</c:v>
                </c:pt>
              </c:strCache>
            </c:strRef>
          </c:tx>
          <c:dLbls>
            <c:dLbl>
              <c:idx val="0"/>
              <c:layout>
                <c:manualLayout>
                  <c:x val="-1.5127559523554314E-17"/>
                  <c:y val="-2.620122600517363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-947M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E87F-4C13-9D2C-A51B2BDBBDD8}"/>
                </c:ext>
              </c:extLst>
            </c:dLbl>
            <c:dLbl>
              <c:idx val="1"/>
              <c:layout>
                <c:manualLayout>
                  <c:x val="0"/>
                  <c:y val="-1.871516143226688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</a:t>
                    </a:r>
                    <a:r>
                      <a:rPr lang="en-US" baseline="0"/>
                      <a:t> 951M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E87F-4C13-9D2C-A51B2BDBBDD8}"/>
                </c:ext>
              </c:extLst>
            </c:dLbl>
            <c:dLbl>
              <c:idx val="2"/>
              <c:layout>
                <c:manualLayout>
                  <c:x val="5.7760439972121651E-3"/>
                  <c:y val="-2.99442582916270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- 980</a:t>
                    </a:r>
                    <a:r>
                      <a:rPr lang="en-US" baseline="0"/>
                      <a:t>M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E87F-4C13-9D2C-A51B2BDBBDD8}"/>
                </c:ext>
              </c:extLst>
            </c:dLbl>
            <c:dLbl>
              <c:idx val="3"/>
              <c:layout>
                <c:manualLayout>
                  <c:x val="0"/>
                  <c:y val="-3.36872905780804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</a:t>
                    </a:r>
                    <a:r>
                      <a:rPr lang="en-US" baseline="0"/>
                      <a:t> 989M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E87F-4C13-9D2C-A51B2BDBBDD8}"/>
                </c:ext>
              </c:extLst>
            </c:dLbl>
            <c:dLbl>
              <c:idx val="4"/>
              <c:layout>
                <c:manualLayout>
                  <c:x val="-2.7229921701143064E-2"/>
                  <c:y val="-4.865941972389396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- 987M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E87F-4C13-9D2C-A51B2BDBBDD8}"/>
                </c:ext>
              </c:extLst>
            </c:dLbl>
            <c:dLbl>
              <c:idx val="5"/>
              <c:layout>
                <c:manualLayout>
                  <c:x val="-2.7229921701143127E-2"/>
                  <c:y val="-3.743032286453376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- 954M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E87F-4C13-9D2C-A51B2BDBBDD8}"/>
                </c:ext>
              </c:extLst>
            </c:dLbl>
            <c:dLbl>
              <c:idx val="6"/>
              <c:layout>
                <c:manualLayout>
                  <c:x val="-3.2180816555896351E-2"/>
                  <c:y val="-3.368729057808039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- 951M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E87F-4C13-9D2C-A51B2BDBBDD8}"/>
                </c:ext>
              </c:extLst>
            </c:dLbl>
            <c:dLbl>
              <c:idx val="7"/>
              <c:layout>
                <c:manualLayout>
                  <c:x val="-2.8880219986060947E-2"/>
                  <c:y val="-4.117335515098714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- 952M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E87F-4C13-9D2C-A51B2BDBBDD8}"/>
                </c:ext>
              </c:extLst>
            </c:dLbl>
            <c:dLbl>
              <c:idx val="8"/>
              <c:layout>
                <c:manualLayout>
                  <c:x val="-2.240057017262715E-2"/>
                  <c:y val="-7.47632982897056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- 952M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E87F-4C13-9D2C-A51B2BDBBDD8}"/>
                </c:ext>
              </c:extLst>
            </c:dLbl>
            <c:dLbl>
              <c:idx val="9"/>
              <c:layout>
                <c:manualLayout>
                  <c:x val="-3.0530518270978711E-2"/>
                  <c:y val="-4.865941972389389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-953M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E87F-4C13-9D2C-A51B2BDBBDD8}"/>
                </c:ext>
              </c:extLst>
            </c:dLbl>
            <c:dLbl>
              <c:idx val="10"/>
              <c:layout>
                <c:manualLayout>
                  <c:x val="-2.0512821838098844E-2"/>
                  <c:y val="-5.799688795701471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-950M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FE4B-457F-9071-0E5C91E886B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'Analisi BEL Aggregate'!$B$3:$O$3</c:f>
              <c:strCache>
                <c:ptCount val="14"/>
                <c:pt idx="0">
                  <c:v>Jan '25</c:v>
                </c:pt>
                <c:pt idx="1">
                  <c:v>Feb '25</c:v>
                </c:pt>
                <c:pt idx="2">
                  <c:v>Mar '25</c:v>
                </c:pt>
                <c:pt idx="3">
                  <c:v>Apr '25</c:v>
                </c:pt>
                <c:pt idx="4">
                  <c:v>May '25</c:v>
                </c:pt>
                <c:pt idx="5">
                  <c:v>Jun '25</c:v>
                </c:pt>
                <c:pt idx="6">
                  <c:v>Jul '25</c:v>
                </c:pt>
                <c:pt idx="7">
                  <c:v>Aug '25</c:v>
                </c:pt>
                <c:pt idx="8">
                  <c:v>Sep '25</c:v>
                </c:pt>
                <c:pt idx="9">
                  <c:v>Oct '25</c:v>
                </c:pt>
                <c:pt idx="10">
                  <c:v>Nov '25</c:v>
                </c:pt>
                <c:pt idx="11">
                  <c:v>Dec '25</c:v>
                </c:pt>
                <c:pt idx="12">
                  <c:v>Jan '26</c:v>
                </c:pt>
                <c:pt idx="13">
                  <c:v>Feb '26</c:v>
                </c:pt>
              </c:strCache>
            </c:strRef>
          </c:cat>
          <c:val>
            <c:numRef>
              <c:f>'Analisi BEL Aggregate'!$B$228:$O$228</c:f>
              <c:numCache>
                <c:formatCode>#,##0</c:formatCode>
                <c:ptCount val="14"/>
                <c:pt idx="0">
                  <c:v>-947374510.83843291</c:v>
                </c:pt>
                <c:pt idx="1">
                  <c:v>-951452133.83694386</c:v>
                </c:pt>
                <c:pt idx="2">
                  <c:v>-980562595.02416933</c:v>
                </c:pt>
                <c:pt idx="3">
                  <c:v>-989995038.77321017</c:v>
                </c:pt>
                <c:pt idx="4">
                  <c:v>-987696441.07284069</c:v>
                </c:pt>
                <c:pt idx="5">
                  <c:v>-954280078.68994033</c:v>
                </c:pt>
                <c:pt idx="6">
                  <c:v>-951255558.96378529</c:v>
                </c:pt>
                <c:pt idx="7">
                  <c:v>-952063881.90531111</c:v>
                </c:pt>
                <c:pt idx="8">
                  <c:v>-952492954.18647993</c:v>
                </c:pt>
                <c:pt idx="9">
                  <c:v>-953604452.48788548</c:v>
                </c:pt>
                <c:pt idx="10">
                  <c:v>-950917365.21620977</c:v>
                </c:pt>
                <c:pt idx="11">
                  <c:v>-854107266.66885781</c:v>
                </c:pt>
                <c:pt idx="12">
                  <c:v>-855500537.25996852</c:v>
                </c:pt>
                <c:pt idx="13">
                  <c:v>-859428447.73891509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E45-466E-87A6-CBC439C3C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9755264"/>
        <c:axId val="1939764624"/>
      </c:lineChart>
      <c:catAx>
        <c:axId val="193975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it-IT"/>
          </a:p>
        </c:txPr>
        <c:crossAx val="1939764624"/>
        <c:crosses val="autoZero"/>
        <c:auto val="1"/>
        <c:lblAlgn val="ctr"/>
        <c:lblOffset val="100"/>
        <c:noMultiLvlLbl val="0"/>
      </c:catAx>
      <c:valAx>
        <c:axId val="19397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it-IT"/>
          </a:p>
        </c:txPr>
        <c:crossAx val="1939755264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it-IT"/>
        </a:p>
      </c:txPr>
    </c:legend>
    <c:plotVisOnly val="1"/>
    <c:dispBlanksAs val="gap"/>
    <c:showDLblsOverMax val="0"/>
    <c:extLst/>
  </c:chart>
  <c:txPr>
    <a:bodyPr/>
    <a:lstStyle/>
    <a:p>
      <a:pPr>
        <a:defRPr b="1">
          <a:latin typeface="Century Gothic" panose="020B050202020202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it-IT" sz="1800"/>
              <a:t>BEL Variation 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tx1"/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'Analisi BEL Aggregate'!$A$406</c:f>
              <c:strCache>
                <c:ptCount val="1"/>
                <c:pt idx="0">
                  <c:v>Δ BEL Discounted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'Analisi BEL Aggregate'!$B$349:$O$349</c:f>
              <c:strCache>
                <c:ptCount val="14"/>
                <c:pt idx="0">
                  <c:v>Jan '25 vs Dec '24</c:v>
                </c:pt>
                <c:pt idx="1">
                  <c:v>Feb '25 vs Jan '25</c:v>
                </c:pt>
                <c:pt idx="2">
                  <c:v>Mar '25 vs Feb '25</c:v>
                </c:pt>
                <c:pt idx="3">
                  <c:v>Apr '25 vs Mar '25</c:v>
                </c:pt>
                <c:pt idx="4">
                  <c:v>May '25 vs Apr '25</c:v>
                </c:pt>
                <c:pt idx="5">
                  <c:v>Jun '25 vs May '25</c:v>
                </c:pt>
                <c:pt idx="6">
                  <c:v>Jul '25 vs Jun '25</c:v>
                </c:pt>
                <c:pt idx="7">
                  <c:v>Aug '25 vs Jul '25</c:v>
                </c:pt>
                <c:pt idx="8">
                  <c:v>Sep '25 vs Aug '25</c:v>
                </c:pt>
                <c:pt idx="9">
                  <c:v>Oct '25 vs Sep '25</c:v>
                </c:pt>
                <c:pt idx="10">
                  <c:v>Nov '25 vs Oct '25</c:v>
                </c:pt>
                <c:pt idx="11">
                  <c:v>Dec '25 vs Nov '25</c:v>
                </c:pt>
                <c:pt idx="12">
                  <c:v>Jan '26 vs Dec '25</c:v>
                </c:pt>
                <c:pt idx="13">
                  <c:v>Feb '26 vs Jan '26</c:v>
                </c:pt>
              </c:strCache>
            </c:strRef>
          </c:cat>
          <c:val>
            <c:numRef>
              <c:f>'Analisi BEL Aggregate'!$B$406:$M$406</c:f>
              <c:numCache>
                <c:formatCode>#,##0</c:formatCode>
                <c:ptCount val="12"/>
                <c:pt idx="0">
                  <c:v>1669399.8358582258</c:v>
                </c:pt>
                <c:pt idx="1">
                  <c:v>-3028442.5273749828</c:v>
                </c:pt>
                <c:pt idx="2">
                  <c:v>-30213452.940349936</c:v>
                </c:pt>
                <c:pt idx="3">
                  <c:v>-6844580.7801736593</c:v>
                </c:pt>
                <c:pt idx="4">
                  <c:v>1903442.3011249304</c:v>
                </c:pt>
                <c:pt idx="5">
                  <c:v>32976473.974838614</c:v>
                </c:pt>
                <c:pt idx="6">
                  <c:v>2223006.186019659</c:v>
                </c:pt>
                <c:pt idx="7">
                  <c:v>-424185.39495384693</c:v>
                </c:pt>
                <c:pt idx="8">
                  <c:v>-1812989.5598447323</c:v>
                </c:pt>
                <c:pt idx="9">
                  <c:v>-813873.31162559986</c:v>
                </c:pt>
                <c:pt idx="10">
                  <c:v>2247824.0866396427</c:v>
                </c:pt>
                <c:pt idx="11">
                  <c:v>100669045.16928518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1A-431B-AB08-121785EC6F84}"/>
            </c:ext>
          </c:extLst>
        </c:ser>
        <c:ser>
          <c:idx val="1"/>
          <c:order val="1"/>
          <c:tx>
            <c:strRef>
              <c:f>'Analisi BEL Aggregate'!$A$462</c:f>
              <c:strCache>
                <c:ptCount val="1"/>
                <c:pt idx="0">
                  <c:v>Δ BEL IR DOWN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'Analisi BEL Aggregate'!$B$349:$O$349</c:f>
              <c:strCache>
                <c:ptCount val="14"/>
                <c:pt idx="0">
                  <c:v>Jan '25 vs Dec '24</c:v>
                </c:pt>
                <c:pt idx="1">
                  <c:v>Feb '25 vs Jan '25</c:v>
                </c:pt>
                <c:pt idx="2">
                  <c:v>Mar '25 vs Feb '25</c:v>
                </c:pt>
                <c:pt idx="3">
                  <c:v>Apr '25 vs Mar '25</c:v>
                </c:pt>
                <c:pt idx="4">
                  <c:v>May '25 vs Apr '25</c:v>
                </c:pt>
                <c:pt idx="5">
                  <c:v>Jun '25 vs May '25</c:v>
                </c:pt>
                <c:pt idx="6">
                  <c:v>Jul '25 vs Jun '25</c:v>
                </c:pt>
                <c:pt idx="7">
                  <c:v>Aug '25 vs Jul '25</c:v>
                </c:pt>
                <c:pt idx="8">
                  <c:v>Sep '25 vs Aug '25</c:v>
                </c:pt>
                <c:pt idx="9">
                  <c:v>Oct '25 vs Sep '25</c:v>
                </c:pt>
                <c:pt idx="10">
                  <c:v>Nov '25 vs Oct '25</c:v>
                </c:pt>
                <c:pt idx="11">
                  <c:v>Dec '25 vs Nov '25</c:v>
                </c:pt>
                <c:pt idx="12">
                  <c:v>Jan '26 vs Dec '25</c:v>
                </c:pt>
                <c:pt idx="13">
                  <c:v>Feb '26 vs Jan '26</c:v>
                </c:pt>
              </c:strCache>
            </c:strRef>
          </c:cat>
          <c:val>
            <c:numRef>
              <c:f>'Analisi BEL Aggregate'!$B$462:$O$462</c:f>
              <c:numCache>
                <c:formatCode>#,##0</c:formatCode>
                <c:ptCount val="14"/>
                <c:pt idx="0">
                  <c:v>987097.30057477951</c:v>
                </c:pt>
                <c:pt idx="1">
                  <c:v>-1672642.316460371</c:v>
                </c:pt>
                <c:pt idx="2">
                  <c:v>-32409740.424649477</c:v>
                </c:pt>
                <c:pt idx="3">
                  <c:v>-3784033.1792185307</c:v>
                </c:pt>
                <c:pt idx="4">
                  <c:v>1245487.0398031473</c:v>
                </c:pt>
                <c:pt idx="5">
                  <c:v>32303942.07989347</c:v>
                </c:pt>
                <c:pt idx="6">
                  <c:v>1272731.1105713844</c:v>
                </c:pt>
                <c:pt idx="7">
                  <c:v>-128284.51732873917</c:v>
                </c:pt>
                <c:pt idx="8">
                  <c:v>-3120663.0612255335</c:v>
                </c:pt>
                <c:pt idx="9">
                  <c:v>-491380.55487835407</c:v>
                </c:pt>
                <c:pt idx="10">
                  <c:v>1549816.1018503904</c:v>
                </c:pt>
                <c:pt idx="11">
                  <c:v>103992334.39380503</c:v>
                </c:pt>
                <c:pt idx="12">
                  <c:v>-676549.34521484375</c:v>
                </c:pt>
                <c:pt idx="13">
                  <c:v>-1994435.8262432814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1A-431B-AB08-121785EC6F84}"/>
            </c:ext>
          </c:extLst>
        </c:ser>
        <c:ser>
          <c:idx val="2"/>
          <c:order val="2"/>
          <c:tx>
            <c:strRef>
              <c:f>'Analisi BEL Aggregate'!$A$574</c:f>
              <c:strCache>
                <c:ptCount val="1"/>
                <c:pt idx="0">
                  <c:v>Δ BEL IR UP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'Analisi BEL Aggregate'!$B$349:$O$349</c:f>
              <c:strCache>
                <c:ptCount val="14"/>
                <c:pt idx="0">
                  <c:v>Jan '25 vs Dec '24</c:v>
                </c:pt>
                <c:pt idx="1">
                  <c:v>Feb '25 vs Jan '25</c:v>
                </c:pt>
                <c:pt idx="2">
                  <c:v>Mar '25 vs Feb '25</c:v>
                </c:pt>
                <c:pt idx="3">
                  <c:v>Apr '25 vs Mar '25</c:v>
                </c:pt>
                <c:pt idx="4">
                  <c:v>May '25 vs Apr '25</c:v>
                </c:pt>
                <c:pt idx="5">
                  <c:v>Jun '25 vs May '25</c:v>
                </c:pt>
                <c:pt idx="6">
                  <c:v>Jul '25 vs Jun '25</c:v>
                </c:pt>
                <c:pt idx="7">
                  <c:v>Aug '25 vs Jul '25</c:v>
                </c:pt>
                <c:pt idx="8">
                  <c:v>Sep '25 vs Aug '25</c:v>
                </c:pt>
                <c:pt idx="9">
                  <c:v>Oct '25 vs Sep '25</c:v>
                </c:pt>
                <c:pt idx="10">
                  <c:v>Nov '25 vs Oct '25</c:v>
                </c:pt>
                <c:pt idx="11">
                  <c:v>Dec '25 vs Nov '25</c:v>
                </c:pt>
                <c:pt idx="12">
                  <c:v>Jan '26 vs Dec '25</c:v>
                </c:pt>
                <c:pt idx="13">
                  <c:v>Feb '26 vs Jan '26</c:v>
                </c:pt>
              </c:strCache>
            </c:strRef>
          </c:cat>
          <c:val>
            <c:numRef>
              <c:f>'Analisi BEL Aggregate'!$B$574:$O$574</c:f>
              <c:numCache>
                <c:formatCode>#,##0</c:formatCode>
                <c:ptCount val="14"/>
                <c:pt idx="0">
                  <c:v>2126755.1734800339</c:v>
                </c:pt>
                <c:pt idx="1">
                  <c:v>-4077622.9985109568</c:v>
                </c:pt>
                <c:pt idx="2">
                  <c:v>-29110461.187225461</c:v>
                </c:pt>
                <c:pt idx="3">
                  <c:v>-9432443.7490408421</c:v>
                </c:pt>
                <c:pt idx="4">
                  <c:v>2298597.7003694773</c:v>
                </c:pt>
                <c:pt idx="5">
                  <c:v>33416362.382900357</c:v>
                </c:pt>
                <c:pt idx="6">
                  <c:v>3024519.7261550426</c:v>
                </c:pt>
                <c:pt idx="7">
                  <c:v>-808322.94152581692</c:v>
                </c:pt>
                <c:pt idx="8">
                  <c:v>-429072.28116881847</c:v>
                </c:pt>
                <c:pt idx="9">
                  <c:v>-1111498.301405549</c:v>
                </c:pt>
                <c:pt idx="10">
                  <c:v>2687087.2716757059</c:v>
                </c:pt>
                <c:pt idx="11">
                  <c:v>96810098.547351956</c:v>
                </c:pt>
                <c:pt idx="12">
                  <c:v>-1393270.5911107063</c:v>
                </c:pt>
                <c:pt idx="13">
                  <c:v>-3927910.4789465666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1A-431B-AB08-121785EC6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755264"/>
        <c:axId val="1939764624"/>
      </c:lineChart>
      <c:catAx>
        <c:axId val="193975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it-IT"/>
          </a:p>
        </c:txPr>
        <c:crossAx val="1939764624"/>
        <c:crosses val="autoZero"/>
        <c:auto val="1"/>
        <c:lblAlgn val="ctr"/>
        <c:lblOffset val="100"/>
        <c:noMultiLvlLbl val="0"/>
      </c:catAx>
      <c:valAx>
        <c:axId val="19397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it-IT"/>
          </a:p>
        </c:txPr>
        <c:crossAx val="193975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/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 i="0" u="none" strike="noStrike" kern="1200" baseline="0">
          <a:solidFill>
            <a:schemeClr val="tx1"/>
          </a:solidFill>
          <a:latin typeface="Century Gothic" panose="020B0502020202020204" pitchFamily="34" charset="0"/>
          <a:ea typeface="+mn-ea"/>
          <a:cs typeface="+mn-cs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Century Gothic" panose="020B0502020202020204" pitchFamily="34" charset="0"/>
              </a:rPr>
              <a:t>Duration Mismatch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3.140343852806729E-2"/>
          <c:y val="0.12928443705085915"/>
          <c:w val="0.9652472908994546"/>
          <c:h val="0.82029651621989397"/>
        </c:manualLayout>
      </c:layout>
      <c:lineChart>
        <c:grouping val="standard"/>
        <c:varyColors val="0"/>
        <c:ser>
          <c:idx val="0"/>
          <c:order val="0"/>
          <c:tx>
            <c:strRef>
              <c:f>'Analisi ALM'!$E$1</c:f>
              <c:strCache>
                <c:ptCount val="1"/>
                <c:pt idx="0">
                  <c:v>Duration Mismatch</c:v>
                </c:pt>
              </c:strCache>
            </c:strRef>
          </c:tx>
          <c:spPr>
            <a:ln w="317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solidFill>
                  <a:srgbClr val="0070C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'Analisi ALM'!$A$2:$A$18</c:f>
              <c:strCache>
                <c:ptCount val="17"/>
                <c:pt idx="0">
                  <c:v>Jan '25</c:v>
                </c:pt>
                <c:pt idx="1">
                  <c:v>Feb '25</c:v>
                </c:pt>
                <c:pt idx="2">
                  <c:v>Mar '25</c:v>
                </c:pt>
                <c:pt idx="3">
                  <c:v>Apr '25</c:v>
                </c:pt>
                <c:pt idx="4">
                  <c:v>May '25</c:v>
                </c:pt>
                <c:pt idx="5">
                  <c:v>Jun '25</c:v>
                </c:pt>
                <c:pt idx="6">
                  <c:v>Jul '25</c:v>
                </c:pt>
                <c:pt idx="7">
                  <c:v>Aug '25</c:v>
                </c:pt>
                <c:pt idx="8">
                  <c:v>Sep '25</c:v>
                </c:pt>
                <c:pt idx="9">
                  <c:v>Oct '25</c:v>
                </c:pt>
                <c:pt idx="10">
                  <c:v>Nov '25</c:v>
                </c:pt>
                <c:pt idx="11">
                  <c:v>Dec '25</c:v>
                </c:pt>
                <c:pt idx="12">
                  <c:v>Jan'26</c:v>
                </c:pt>
                <c:pt idx="13">
                  <c:v>Feb'26</c:v>
                </c:pt>
                <c:pt idx="14">
                  <c:v>Mar'26</c:v>
                </c:pt>
                <c:pt idx="15">
                  <c:v>Apr '26</c:v>
                </c:pt>
                <c:pt idx="16">
                  <c:v>Mag '26</c:v>
                </c:pt>
              </c:strCache>
            </c:strRef>
          </c:cat>
          <c:val>
            <c:numRef>
              <c:f>'Analisi ALM'!$E$2:$E$18</c:f>
              <c:numCache>
                <c:formatCode>_(* #,##0.00_);_(* \(#,##0.00\);_(* "-"??_);_(@_)</c:formatCode>
                <c:ptCount val="17"/>
                <c:pt idx="0">
                  <c:v>1.3913934300693593</c:v>
                </c:pt>
                <c:pt idx="1">
                  <c:v>0.41676726583797885</c:v>
                </c:pt>
                <c:pt idx="2">
                  <c:v>0.58543950080051421</c:v>
                </c:pt>
                <c:pt idx="3">
                  <c:v>1.0661773411702236</c:v>
                </c:pt>
                <c:pt idx="4">
                  <c:v>1.2301734167369494</c:v>
                </c:pt>
                <c:pt idx="5">
                  <c:v>1.1654836436536582</c:v>
                </c:pt>
                <c:pt idx="6">
                  <c:v>1.1074928802058053</c:v>
                </c:pt>
                <c:pt idx="7">
                  <c:v>0.96766221928524065</c:v>
                </c:pt>
                <c:pt idx="8">
                  <c:v>0.95937080720593571</c:v>
                </c:pt>
                <c:pt idx="9">
                  <c:v>0.90231744737131803</c:v>
                </c:pt>
                <c:pt idx="10">
                  <c:v>0.92351844891772594</c:v>
                </c:pt>
                <c:pt idx="11">
                  <c:v>1.2134578122426745</c:v>
                </c:pt>
                <c:pt idx="12">
                  <c:v>1.1647425965476232</c:v>
                </c:pt>
                <c:pt idx="13">
                  <c:v>1.3544980562135911</c:v>
                </c:pt>
                <c:pt idx="14">
                  <c:v>1.4860056353052444</c:v>
                </c:pt>
                <c:pt idx="15">
                  <c:v>1.43657779726222</c:v>
                </c:pt>
                <c:pt idx="16">
                  <c:v>1.3980641522695554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A4-4998-8953-5EC2EBF8806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1180504"/>
        <c:axId val="1311181584"/>
      </c:lineChart>
      <c:catAx>
        <c:axId val="1311180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it-IT"/>
          </a:p>
        </c:txPr>
        <c:crossAx val="1311181584"/>
        <c:crosses val="autoZero"/>
        <c:auto val="1"/>
        <c:lblAlgn val="ctr"/>
        <c:lblOffset val="100"/>
        <c:noMultiLvlLbl val="0"/>
      </c:catAx>
      <c:valAx>
        <c:axId val="13111815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11180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it-IT" sz="1800"/>
              <a:t>Duration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'Analisi ALM'!$B$1</c:f>
              <c:strCache>
                <c:ptCount val="1"/>
                <c:pt idx="0">
                  <c:v>Duration Asset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'Analisi ALM'!$A$2:$A$18</c:f>
              <c:strCache>
                <c:ptCount val="17"/>
                <c:pt idx="0">
                  <c:v>Jan '25</c:v>
                </c:pt>
                <c:pt idx="1">
                  <c:v>Feb '25</c:v>
                </c:pt>
                <c:pt idx="2">
                  <c:v>Mar '25</c:v>
                </c:pt>
                <c:pt idx="3">
                  <c:v>Apr '25</c:v>
                </c:pt>
                <c:pt idx="4">
                  <c:v>May '25</c:v>
                </c:pt>
                <c:pt idx="5">
                  <c:v>Jun '25</c:v>
                </c:pt>
                <c:pt idx="6">
                  <c:v>Jul '25</c:v>
                </c:pt>
                <c:pt idx="7">
                  <c:v>Aug '25</c:v>
                </c:pt>
                <c:pt idx="8">
                  <c:v>Sep '25</c:v>
                </c:pt>
                <c:pt idx="9">
                  <c:v>Oct '25</c:v>
                </c:pt>
                <c:pt idx="10">
                  <c:v>Nov '25</c:v>
                </c:pt>
                <c:pt idx="11">
                  <c:v>Dec '25</c:v>
                </c:pt>
                <c:pt idx="12">
                  <c:v>Jan'26</c:v>
                </c:pt>
                <c:pt idx="13">
                  <c:v>Feb'26</c:v>
                </c:pt>
                <c:pt idx="14">
                  <c:v>Mar'26</c:v>
                </c:pt>
                <c:pt idx="15">
                  <c:v>Apr '26</c:v>
                </c:pt>
                <c:pt idx="16">
                  <c:v>Mag '26</c:v>
                </c:pt>
              </c:strCache>
            </c:strRef>
          </c:cat>
          <c:val>
            <c:numRef>
              <c:f>'Analisi ALM'!$B$2:$B$18</c:f>
              <c:numCache>
                <c:formatCode>_(* #,##0.00_);_(* \(#,##0.00\);_(* "-"??_);_(@_)</c:formatCode>
                <c:ptCount val="17"/>
                <c:pt idx="0">
                  <c:v>2.69</c:v>
                </c:pt>
                <c:pt idx="1">
                  <c:v>1.72</c:v>
                </c:pt>
                <c:pt idx="2">
                  <c:v>1.99</c:v>
                </c:pt>
                <c:pt idx="3">
                  <c:v>2.48</c:v>
                </c:pt>
                <c:pt idx="4">
                  <c:v>2.63</c:v>
                </c:pt>
                <c:pt idx="5">
                  <c:v>2.48</c:v>
                </c:pt>
                <c:pt idx="6">
                  <c:v>2.41</c:v>
                </c:pt>
                <c:pt idx="7">
                  <c:v>2.15</c:v>
                </c:pt>
                <c:pt idx="8">
                  <c:v>2.2200000000000002</c:v>
                </c:pt>
                <c:pt idx="9">
                  <c:v>2.16</c:v>
                </c:pt>
                <c:pt idx="10">
                  <c:v>2.23</c:v>
                </c:pt>
                <c:pt idx="11">
                  <c:v>2.41</c:v>
                </c:pt>
                <c:pt idx="12">
                  <c:v>2.36</c:v>
                </c:pt>
                <c:pt idx="13">
                  <c:v>2.57</c:v>
                </c:pt>
                <c:pt idx="14">
                  <c:v>2.68</c:v>
                </c:pt>
                <c:pt idx="15">
                  <c:v>2.62</c:v>
                </c:pt>
                <c:pt idx="16">
                  <c:v>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F40-A006-B7DBE169F5DE}"/>
            </c:ext>
          </c:extLst>
        </c:ser>
        <c:ser>
          <c:idx val="1"/>
          <c:order val="1"/>
          <c:tx>
            <c:strRef>
              <c:f>'Analisi ALM'!#REF!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'Analisi ALM'!$A$2:$A$18</c:f>
              <c:strCache>
                <c:ptCount val="17"/>
                <c:pt idx="0">
                  <c:v>Jan '25</c:v>
                </c:pt>
                <c:pt idx="1">
                  <c:v>Feb '25</c:v>
                </c:pt>
                <c:pt idx="2">
                  <c:v>Mar '25</c:v>
                </c:pt>
                <c:pt idx="3">
                  <c:v>Apr '25</c:v>
                </c:pt>
                <c:pt idx="4">
                  <c:v>May '25</c:v>
                </c:pt>
                <c:pt idx="5">
                  <c:v>Jun '25</c:v>
                </c:pt>
                <c:pt idx="6">
                  <c:v>Jul '25</c:v>
                </c:pt>
                <c:pt idx="7">
                  <c:v>Aug '25</c:v>
                </c:pt>
                <c:pt idx="8">
                  <c:v>Sep '25</c:v>
                </c:pt>
                <c:pt idx="9">
                  <c:v>Oct '25</c:v>
                </c:pt>
                <c:pt idx="10">
                  <c:v>Nov '25</c:v>
                </c:pt>
                <c:pt idx="11">
                  <c:v>Dec '25</c:v>
                </c:pt>
                <c:pt idx="12">
                  <c:v>Jan'26</c:v>
                </c:pt>
                <c:pt idx="13">
                  <c:v>Feb'26</c:v>
                </c:pt>
                <c:pt idx="14">
                  <c:v>Mar'26</c:v>
                </c:pt>
                <c:pt idx="15">
                  <c:v>Apr '26</c:v>
                </c:pt>
                <c:pt idx="16">
                  <c:v>Mag '26</c:v>
                </c:pt>
              </c:strCache>
            </c:strRef>
          </c:cat>
          <c:val>
            <c:numRef>
              <c:f>'Analisi ALM'!#REF!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995-4F40-A006-B7DBE169F5DE}"/>
            </c:ext>
          </c:extLst>
        </c:ser>
        <c:ser>
          <c:idx val="2"/>
          <c:order val="2"/>
          <c:tx>
            <c:strRef>
              <c:f>'Analisi ALM'!$C$1</c:f>
              <c:strCache>
                <c:ptCount val="1"/>
                <c:pt idx="0">
                  <c:v>Duration Liabilities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'Analisi ALM'!$A$2:$A$18</c:f>
              <c:strCache>
                <c:ptCount val="17"/>
                <c:pt idx="0">
                  <c:v>Jan '25</c:v>
                </c:pt>
                <c:pt idx="1">
                  <c:v>Feb '25</c:v>
                </c:pt>
                <c:pt idx="2">
                  <c:v>Mar '25</c:v>
                </c:pt>
                <c:pt idx="3">
                  <c:v>Apr '25</c:v>
                </c:pt>
                <c:pt idx="4">
                  <c:v>May '25</c:v>
                </c:pt>
                <c:pt idx="5">
                  <c:v>Jun '25</c:v>
                </c:pt>
                <c:pt idx="6">
                  <c:v>Jul '25</c:v>
                </c:pt>
                <c:pt idx="7">
                  <c:v>Aug '25</c:v>
                </c:pt>
                <c:pt idx="8">
                  <c:v>Sep '25</c:v>
                </c:pt>
                <c:pt idx="9">
                  <c:v>Oct '25</c:v>
                </c:pt>
                <c:pt idx="10">
                  <c:v>Nov '25</c:v>
                </c:pt>
                <c:pt idx="11">
                  <c:v>Dec '25</c:v>
                </c:pt>
                <c:pt idx="12">
                  <c:v>Jan'26</c:v>
                </c:pt>
                <c:pt idx="13">
                  <c:v>Feb'26</c:v>
                </c:pt>
                <c:pt idx="14">
                  <c:v>Mar'26</c:v>
                </c:pt>
                <c:pt idx="15">
                  <c:v>Apr '26</c:v>
                </c:pt>
                <c:pt idx="16">
                  <c:v>Mag '26</c:v>
                </c:pt>
              </c:strCache>
            </c:strRef>
          </c:cat>
          <c:val>
            <c:numRef>
              <c:f>'Analisi ALM'!$C$2:$C$18</c:f>
              <c:numCache>
                <c:formatCode>_(* #,##0.00_);_(* \(#,##0.00\);_(* "-"??_);_(@_)</c:formatCode>
                <c:ptCount val="17"/>
                <c:pt idx="0">
                  <c:v>2.7631233276737537</c:v>
                </c:pt>
                <c:pt idx="1">
                  <c:v>2.7753077540930295</c:v>
                </c:pt>
                <c:pt idx="2">
                  <c:v>2.6214552953640671</c:v>
                </c:pt>
                <c:pt idx="3">
                  <c:v>2.6473572386580559</c:v>
                </c:pt>
                <c:pt idx="4">
                  <c:v>2.6332351865040566</c:v>
                </c:pt>
                <c:pt idx="5">
                  <c:v>2.694947099391463</c:v>
                </c:pt>
                <c:pt idx="6">
                  <c:v>2.6849560816031026</c:v>
                </c:pt>
                <c:pt idx="7">
                  <c:v>2.6814297491280494</c:v>
                </c:pt>
                <c:pt idx="8">
                  <c:v>2.7314885683699024</c:v>
                </c:pt>
                <c:pt idx="9">
                  <c:v>2.7347200632056343</c:v>
                </c:pt>
                <c:pt idx="10">
                  <c:v>2.7163299489247752</c:v>
                </c:pt>
                <c:pt idx="11">
                  <c:v>2.5013372763392465</c:v>
                </c:pt>
                <c:pt idx="12">
                  <c:v>2.5084281410794032</c:v>
                </c:pt>
                <c:pt idx="13">
                  <c:v>2.5307302572328965</c:v>
                </c:pt>
                <c:pt idx="14">
                  <c:v>2.4086365353934549</c:v>
                </c:pt>
                <c:pt idx="15">
                  <c:v>2.40685479791685</c:v>
                </c:pt>
                <c:pt idx="16">
                  <c:v>2.4127878714670352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95-4F40-A006-B7DBE169F5DE}"/>
            </c:ext>
          </c:extLst>
        </c:ser>
        <c:ser>
          <c:idx val="3"/>
          <c:order val="3"/>
          <c:tx>
            <c:strRef>
              <c:f>'Analisi ALM'!#REF!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'Analisi ALM'!$A$2:$A$18</c:f>
              <c:strCache>
                <c:ptCount val="17"/>
                <c:pt idx="0">
                  <c:v>Jan '25</c:v>
                </c:pt>
                <c:pt idx="1">
                  <c:v>Feb '25</c:v>
                </c:pt>
                <c:pt idx="2">
                  <c:v>Mar '25</c:v>
                </c:pt>
                <c:pt idx="3">
                  <c:v>Apr '25</c:v>
                </c:pt>
                <c:pt idx="4">
                  <c:v>May '25</c:v>
                </c:pt>
                <c:pt idx="5">
                  <c:v>Jun '25</c:v>
                </c:pt>
                <c:pt idx="6">
                  <c:v>Jul '25</c:v>
                </c:pt>
                <c:pt idx="7">
                  <c:v>Aug '25</c:v>
                </c:pt>
                <c:pt idx="8">
                  <c:v>Sep '25</c:v>
                </c:pt>
                <c:pt idx="9">
                  <c:v>Oct '25</c:v>
                </c:pt>
                <c:pt idx="10">
                  <c:v>Nov '25</c:v>
                </c:pt>
                <c:pt idx="11">
                  <c:v>Dec '25</c:v>
                </c:pt>
                <c:pt idx="12">
                  <c:v>Jan'26</c:v>
                </c:pt>
                <c:pt idx="13">
                  <c:v>Feb'26</c:v>
                </c:pt>
                <c:pt idx="14">
                  <c:v>Mar'26</c:v>
                </c:pt>
                <c:pt idx="15">
                  <c:v>Apr '26</c:v>
                </c:pt>
                <c:pt idx="16">
                  <c:v>Mag '26</c:v>
                </c:pt>
              </c:strCache>
            </c:strRef>
          </c:cat>
          <c:val>
            <c:numRef>
              <c:f>'Analisi ALM'!#REF!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995-4F40-A006-B7DBE169F5DE}"/>
            </c:ext>
          </c:extLst>
        </c:ser>
        <c:ser>
          <c:idx val="4"/>
          <c:order val="4"/>
          <c:tx>
            <c:strRef>
              <c:f>'Analisi ALM'!$D$1</c:f>
              <c:strCache>
                <c:ptCount val="1"/>
                <c:pt idx="0">
                  <c:v>Surplus Asset %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2.6054365985937838E-2"/>
                  <c:y val="2.32335765715165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A7-44EE-ACEE-8114243FB3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'Analisi ALM'!$A$2:$A$18</c:f>
              <c:strCache>
                <c:ptCount val="17"/>
                <c:pt idx="0">
                  <c:v>Jan '25</c:v>
                </c:pt>
                <c:pt idx="1">
                  <c:v>Feb '25</c:v>
                </c:pt>
                <c:pt idx="2">
                  <c:v>Mar '25</c:v>
                </c:pt>
                <c:pt idx="3">
                  <c:v>Apr '25</c:v>
                </c:pt>
                <c:pt idx="4">
                  <c:v>May '25</c:v>
                </c:pt>
                <c:pt idx="5">
                  <c:v>Jun '25</c:v>
                </c:pt>
                <c:pt idx="6">
                  <c:v>Jul '25</c:v>
                </c:pt>
                <c:pt idx="7">
                  <c:v>Aug '25</c:v>
                </c:pt>
                <c:pt idx="8">
                  <c:v>Sep '25</c:v>
                </c:pt>
                <c:pt idx="9">
                  <c:v>Oct '25</c:v>
                </c:pt>
                <c:pt idx="10">
                  <c:v>Nov '25</c:v>
                </c:pt>
                <c:pt idx="11">
                  <c:v>Dec '25</c:v>
                </c:pt>
                <c:pt idx="12">
                  <c:v>Jan'26</c:v>
                </c:pt>
                <c:pt idx="13">
                  <c:v>Feb'26</c:v>
                </c:pt>
                <c:pt idx="14">
                  <c:v>Mar'26</c:v>
                </c:pt>
                <c:pt idx="15">
                  <c:v>Apr '26</c:v>
                </c:pt>
                <c:pt idx="16">
                  <c:v>Mag '26</c:v>
                </c:pt>
              </c:strCache>
            </c:strRef>
          </c:cat>
          <c:val>
            <c:numRef>
              <c:f>'Analisi ALM'!$D$2:$D$18</c:f>
              <c:numCache>
                <c:formatCode>0%</c:formatCode>
                <c:ptCount val="17"/>
                <c:pt idx="0">
                  <c:v>0.53002221908642611</c:v>
                </c:pt>
                <c:pt idx="1">
                  <c:v>0.5304186599702283</c:v>
                </c:pt>
                <c:pt idx="2">
                  <c:v>0.46420581663803628</c:v>
                </c:pt>
                <c:pt idx="3">
                  <c:v>0.46594942375572912</c:v>
                </c:pt>
                <c:pt idx="4">
                  <c:v>0.46840047161852927</c:v>
                </c:pt>
                <c:pt idx="5">
                  <c:v>0.5122292542799195</c:v>
                </c:pt>
                <c:pt idx="6">
                  <c:v>0.51488699248424619</c:v>
                </c:pt>
                <c:pt idx="7">
                  <c:v>0.55906442035289827</c:v>
                </c:pt>
                <c:pt idx="8">
                  <c:v>0.53848271327513453</c:v>
                </c:pt>
                <c:pt idx="9">
                  <c:v>0.5401055597791502</c:v>
                </c:pt>
                <c:pt idx="10">
                  <c:v>0.51902693131980215</c:v>
                </c:pt>
                <c:pt idx="11">
                  <c:v>0.52163900523303786</c:v>
                </c:pt>
                <c:pt idx="12">
                  <c:v>0.52350343074286965</c:v>
                </c:pt>
                <c:pt idx="13">
                  <c:v>0.51970308162536449</c:v>
                </c:pt>
                <c:pt idx="14">
                  <c:v>0.50428620211072461</c:v>
                </c:pt>
                <c:pt idx="15">
                  <c:v>0.50831175866444434</c:v>
                </c:pt>
                <c:pt idx="16">
                  <c:v>0.5101368579858625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95-4F40-A006-B7DBE169F5DE}"/>
            </c:ext>
          </c:extLst>
        </c:ser>
        <c:ser>
          <c:idx val="5"/>
          <c:order val="5"/>
          <c:tx>
            <c:strRef>
              <c:f>'Analisi ALM'!$E$1</c:f>
              <c:strCache>
                <c:ptCount val="1"/>
                <c:pt idx="0">
                  <c:v>Duration Mismatch</c:v>
                </c:pt>
              </c:strCache>
            </c:strRef>
          </c:tx>
          <c:spPr>
            <a:ln w="571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2.6979018413537142E-2"/>
                  <c:y val="1.55357481853133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A7-44EE-ACEE-8114243FB3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'Analisi ALM'!$A$2:$A$18</c:f>
              <c:strCache>
                <c:ptCount val="17"/>
                <c:pt idx="0">
                  <c:v>Jan '25</c:v>
                </c:pt>
                <c:pt idx="1">
                  <c:v>Feb '25</c:v>
                </c:pt>
                <c:pt idx="2">
                  <c:v>Mar '25</c:v>
                </c:pt>
                <c:pt idx="3">
                  <c:v>Apr '25</c:v>
                </c:pt>
                <c:pt idx="4">
                  <c:v>May '25</c:v>
                </c:pt>
                <c:pt idx="5">
                  <c:v>Jun '25</c:v>
                </c:pt>
                <c:pt idx="6">
                  <c:v>Jul '25</c:v>
                </c:pt>
                <c:pt idx="7">
                  <c:v>Aug '25</c:v>
                </c:pt>
                <c:pt idx="8">
                  <c:v>Sep '25</c:v>
                </c:pt>
                <c:pt idx="9">
                  <c:v>Oct '25</c:v>
                </c:pt>
                <c:pt idx="10">
                  <c:v>Nov '25</c:v>
                </c:pt>
                <c:pt idx="11">
                  <c:v>Dec '25</c:v>
                </c:pt>
                <c:pt idx="12">
                  <c:v>Jan'26</c:v>
                </c:pt>
                <c:pt idx="13">
                  <c:v>Feb'26</c:v>
                </c:pt>
                <c:pt idx="14">
                  <c:v>Mar'26</c:v>
                </c:pt>
                <c:pt idx="15">
                  <c:v>Apr '26</c:v>
                </c:pt>
                <c:pt idx="16">
                  <c:v>Mag '26</c:v>
                </c:pt>
              </c:strCache>
            </c:strRef>
          </c:cat>
          <c:val>
            <c:numRef>
              <c:f>'Analisi ALM'!$E$2:$E$18</c:f>
              <c:numCache>
                <c:formatCode>_(* #,##0.00_);_(* \(#,##0.00\);_(* "-"??_);_(@_)</c:formatCode>
                <c:ptCount val="17"/>
                <c:pt idx="0">
                  <c:v>1.3913934300693593</c:v>
                </c:pt>
                <c:pt idx="1">
                  <c:v>0.41676726583797885</c:v>
                </c:pt>
                <c:pt idx="2">
                  <c:v>0.58543950080051421</c:v>
                </c:pt>
                <c:pt idx="3">
                  <c:v>1.0661773411702236</c:v>
                </c:pt>
                <c:pt idx="4">
                  <c:v>1.2301734167369494</c:v>
                </c:pt>
                <c:pt idx="5">
                  <c:v>1.1654836436536582</c:v>
                </c:pt>
                <c:pt idx="6">
                  <c:v>1.1074928802058053</c:v>
                </c:pt>
                <c:pt idx="7">
                  <c:v>0.96766221928524065</c:v>
                </c:pt>
                <c:pt idx="8">
                  <c:v>0.95937080720593571</c:v>
                </c:pt>
                <c:pt idx="9">
                  <c:v>0.90231744737131803</c:v>
                </c:pt>
                <c:pt idx="10">
                  <c:v>0.92351844891772594</c:v>
                </c:pt>
                <c:pt idx="11">
                  <c:v>1.2134578122426745</c:v>
                </c:pt>
                <c:pt idx="12">
                  <c:v>1.1647425965476232</c:v>
                </c:pt>
                <c:pt idx="13">
                  <c:v>1.3544980562135911</c:v>
                </c:pt>
                <c:pt idx="14">
                  <c:v>1.4860056353052444</c:v>
                </c:pt>
                <c:pt idx="15">
                  <c:v>1.43657779726222</c:v>
                </c:pt>
                <c:pt idx="16">
                  <c:v>1.3980641522695554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A7-44EE-ACEE-8114243FB31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03399184"/>
        <c:axId val="1203408904"/>
        <c:extLst/>
      </c:lineChart>
      <c:catAx>
        <c:axId val="120339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it-IT"/>
          </a:p>
        </c:txPr>
        <c:crossAx val="1203408904"/>
        <c:crosses val="autoZero"/>
        <c:auto val="1"/>
        <c:lblAlgn val="ctr"/>
        <c:lblOffset val="100"/>
        <c:noMultiLvlLbl val="0"/>
      </c:catAx>
      <c:valAx>
        <c:axId val="1203408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it-IT"/>
          </a:p>
        </c:txPr>
        <c:crossAx val="1203399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Century Gothic" panose="020B050202020202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252411</xdr:colOff>
      <xdr:row>1045</xdr:row>
      <xdr:rowOff>21434</xdr:rowOff>
    </xdr:from>
    <xdr:to>
      <xdr:col>57</xdr:col>
      <xdr:colOff>47624</xdr:colOff>
      <xdr:row>1064</xdr:row>
      <xdr:rowOff>95251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E6B7F2-6CE6-1918-9AAE-CE2853FD5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88956</xdr:colOff>
      <xdr:row>0</xdr:row>
      <xdr:rowOff>109898</xdr:rowOff>
    </xdr:from>
    <xdr:to>
      <xdr:col>62</xdr:col>
      <xdr:colOff>388887</xdr:colOff>
      <xdr:row>629</xdr:row>
      <xdr:rowOff>130891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9D9393-56B0-432E-A3BB-CD67883EB3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55981</xdr:colOff>
      <xdr:row>691</xdr:row>
      <xdr:rowOff>74077</xdr:rowOff>
    </xdr:from>
    <xdr:to>
      <xdr:col>62</xdr:col>
      <xdr:colOff>410684</xdr:colOff>
      <xdr:row>1045</xdr:row>
      <xdr:rowOff>106115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5D5F2F-1995-47EB-95DE-DA68705FC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476814</xdr:colOff>
      <xdr:row>7</xdr:row>
      <xdr:rowOff>27173</xdr:rowOff>
    </xdr:from>
    <xdr:to>
      <xdr:col>43</xdr:col>
      <xdr:colOff>100852</xdr:colOff>
      <xdr:row>28</xdr:row>
      <xdr:rowOff>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69471A-52ED-47EA-D775-C7CA7BAAA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252140</xdr:colOff>
      <xdr:row>7</xdr:row>
      <xdr:rowOff>12326</xdr:rowOff>
    </xdr:from>
    <xdr:to>
      <xdr:col>28</xdr:col>
      <xdr:colOff>459447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785D1B-17DB-9BBA-CCF1-F838CD828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31Gennaio25.xlsm" TargetMode="External"/><Relationship Id="rId1" Type="http://schemas.openxmlformats.org/officeDocument/2006/relationships/externalLinkPath" Target="ISPP_BEL_Summary_31Gennaio2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b0481b01\documenti\Excel\01-Direzione\MALAGOLI\CDG\piano\Ultima%20versione\Trend_azioni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rategicrisks.sharepoint.com/sites/IT.Enel.Reinsurance.Re.Co.SpA/Shared%20Documents/General/Accounting/Actuary/2025/Q2/SCR/ENEL_WP_Q2_2025%20-%20Quarterly%20Solvency%20Calculation%20-%20v1.xlsx" TargetMode="External"/><Relationship Id="rId1" Type="http://schemas.openxmlformats.org/officeDocument/2006/relationships/externalLinkPath" Target="https://strategicrisks.sharepoint.com/sites/IT.Enel.Reinsurance.Re.Co.SpA/Shared%20Documents/General/Accounting/Actuary/2025/Q2/SCR/ENEL_WP_Q2_2025%20-%20Quarterly%20Solvency%20Calculation%20-%20v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LM\02.ISA\1.1.BEL\2019\20190331\Q1_2019_Stress%20CURVA%20ISA_inviato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Febbraio25.xlsm" TargetMode="External"/><Relationship Id="rId1" Type="http://schemas.openxmlformats.org/officeDocument/2006/relationships/externalLinkPath" Target="ISPP_BEL_Summary_Febbraio25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Marzo25.xlsm" TargetMode="External"/><Relationship Id="rId1" Type="http://schemas.openxmlformats.org/officeDocument/2006/relationships/externalLinkPath" Target="ISPP_BEL_Summary_Marzo25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Aprile25.xlsm" TargetMode="External"/><Relationship Id="rId1" Type="http://schemas.openxmlformats.org/officeDocument/2006/relationships/externalLinkPath" Target="ISPP_BEL_Summary_Aprile25.xlsm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Maggio25.xlsm" TargetMode="External"/><Relationship Id="rId1" Type="http://schemas.openxmlformats.org/officeDocument/2006/relationships/externalLinkPath" Target="ISPP_BEL_Summary_Maggio25.xlsm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Giugno25.xlsm" TargetMode="External"/><Relationship Id="rId1" Type="http://schemas.openxmlformats.org/officeDocument/2006/relationships/externalLinkPath" Target="ISPP_BEL_Summary_Giugno25.xlsm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Luglio25.xlsm" TargetMode="External"/><Relationship Id="rId1" Type="http://schemas.openxmlformats.org/officeDocument/2006/relationships/externalLinkPath" Target="ISPP_BEL_Summary_Luglio25.xlsm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Agosto25.xlsm" TargetMode="External"/><Relationship Id="rId1" Type="http://schemas.openxmlformats.org/officeDocument/2006/relationships/externalLinkPath" Target="ISPP_BEL_Summary_Agosto25.xlsm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Settembre25.xlsm" TargetMode="External"/><Relationship Id="rId1" Type="http://schemas.openxmlformats.org/officeDocument/2006/relationships/externalLinkPath" Target="ISPP_BEL_Summary_Settembre25.xlsm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Ottobre25.xlsm" TargetMode="External"/><Relationship Id="rId1" Type="http://schemas.openxmlformats.org/officeDocument/2006/relationships/externalLinkPath" Target="ISPP_BEL_Summary_Ottobre25.xlsm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Novembre25.xlsm" TargetMode="External"/><Relationship Id="rId1" Type="http://schemas.openxmlformats.org/officeDocument/2006/relationships/externalLinkPath" Target="ISPP_BEL_Summary_Novembre25.xlsm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Dicembre25.xlsm" TargetMode="External"/><Relationship Id="rId1" Type="http://schemas.openxmlformats.org/officeDocument/2006/relationships/externalLinkPath" Target="ISPP_BEL_Summary_Dicembre25.xlsm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Gennaio26.xlsm" TargetMode="External"/><Relationship Id="rId1" Type="http://schemas.openxmlformats.org/officeDocument/2006/relationships/externalLinkPath" Target="ISPP_BEL_Summary_Gennaio26.xlsm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Febbraio26.xlsm" TargetMode="External"/><Relationship Id="rId1" Type="http://schemas.openxmlformats.org/officeDocument/2006/relationships/externalLinkPath" Target="ISPP_BEL_Summary_Febbraio26.xlsm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Marzo26.xlsm" TargetMode="External"/><Relationship Id="rId1" Type="http://schemas.openxmlformats.org/officeDocument/2006/relationships/externalLinkPath" Target="ISPP_BEL_Summary_Marzo26.xlsm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Aprile26.xlsm" TargetMode="External"/><Relationship Id="rId1" Type="http://schemas.openxmlformats.org/officeDocument/2006/relationships/externalLinkPath" Target="ISPP_BEL_Summary_Aprile26.xlsm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Maggio26.xlsm" TargetMode="External"/><Relationship Id="rId1" Type="http://schemas.openxmlformats.org/officeDocument/2006/relationships/externalLinkPath" Target="ISPP_BEL_Summary_Maggio26.xlsm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M_Insurance\Aladdin%20-%20SCR\Dismissione%20MSCI\ReportEC\Analisi%20BEL%20ISPP\ISPP_BEL_Summary_31Dicembre24.xlsm" TargetMode="External"/><Relationship Id="rId1" Type="http://schemas.openxmlformats.org/officeDocument/2006/relationships/externalLinkPath" Target="ISPP_BEL_Summary_31Dicembre24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ISPP_BEL_Summary_Giugno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31Gennaio25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-410761441.88604856</v>
          </cell>
        </row>
        <row r="6">
          <cell r="L6">
            <v>-221463796.43262094</v>
          </cell>
        </row>
        <row r="7">
          <cell r="L7">
            <v>-110286279.41700368</v>
          </cell>
        </row>
        <row r="8">
          <cell r="L8">
            <v>-61569787.045042247</v>
          </cell>
        </row>
        <row r="9">
          <cell r="L9">
            <v>-44622320.258215055</v>
          </cell>
        </row>
        <row r="10">
          <cell r="L10">
            <v>-35347016.025933817</v>
          </cell>
        </row>
        <row r="11">
          <cell r="L11">
            <v>-27851121.843706787</v>
          </cell>
        </row>
        <row r="12">
          <cell r="L12">
            <v>-22169217.191406183</v>
          </cell>
        </row>
        <row r="13">
          <cell r="L13">
            <v>-17687370.371356182</v>
          </cell>
        </row>
        <row r="14">
          <cell r="L14">
            <v>-15306876.983461281</v>
          </cell>
        </row>
        <row r="15">
          <cell r="L15">
            <v>-12390596.071672451</v>
          </cell>
        </row>
        <row r="16">
          <cell r="L16">
            <v>-9328454.3494528625</v>
          </cell>
        </row>
        <row r="17">
          <cell r="L17">
            <v>-8056794.6031108005</v>
          </cell>
        </row>
        <row r="18">
          <cell r="L18">
            <v>-7081022.4628984118</v>
          </cell>
        </row>
        <row r="19">
          <cell r="L19">
            <v>-6421670.6972385729</v>
          </cell>
        </row>
        <row r="20">
          <cell r="L20">
            <v>-5495414.7957005659</v>
          </cell>
        </row>
        <row r="21">
          <cell r="L21">
            <v>-4694345.207257309</v>
          </cell>
        </row>
        <row r="22">
          <cell r="L22">
            <v>-3957281.2232167013</v>
          </cell>
        </row>
        <row r="23">
          <cell r="L23">
            <v>-3349298.4023447423</v>
          </cell>
        </row>
        <row r="24">
          <cell r="L24">
            <v>-3000174.4738639593</v>
          </cell>
        </row>
        <row r="25">
          <cell r="L25">
            <v>-2592655.3461945285</v>
          </cell>
        </row>
        <row r="26">
          <cell r="L26">
            <v>-2225910.9597484022</v>
          </cell>
        </row>
        <row r="27">
          <cell r="L27">
            <v>-1890458.9746624578</v>
          </cell>
        </row>
        <row r="28">
          <cell r="L28">
            <v>-1610602.1758844741</v>
          </cell>
        </row>
        <row r="29">
          <cell r="L29">
            <v>-1416250.05750589</v>
          </cell>
        </row>
        <row r="30">
          <cell r="L30">
            <v>-1128927.2459539161</v>
          </cell>
        </row>
        <row r="31">
          <cell r="L31">
            <v>-870297.4756838769</v>
          </cell>
        </row>
        <row r="32">
          <cell r="L32">
            <v>-638297.0482077268</v>
          </cell>
        </row>
        <row r="33">
          <cell r="L33">
            <v>-471378.34718957852</v>
          </cell>
        </row>
        <row r="34">
          <cell r="L34">
            <v>-494216.78725635784</v>
          </cell>
        </row>
        <row r="35">
          <cell r="L35">
            <v>-281307.04179014836</v>
          </cell>
        </row>
        <row r="36">
          <cell r="L36">
            <v>-171416.89690077261</v>
          </cell>
        </row>
        <row r="37">
          <cell r="L37">
            <v>-122010.59837319028</v>
          </cell>
        </row>
        <row r="38">
          <cell r="L38">
            <v>-102040.15119655791</v>
          </cell>
        </row>
        <row r="39">
          <cell r="L39">
            <v>-83850.062950062362</v>
          </cell>
        </row>
        <row r="40">
          <cell r="L40">
            <v>-58208.782723055891</v>
          </cell>
        </row>
        <row r="41">
          <cell r="L41">
            <v>-42850.997455033634</v>
          </cell>
        </row>
        <row r="42">
          <cell r="L42">
            <v>-33508.139041651033</v>
          </cell>
        </row>
        <row r="43">
          <cell r="L43">
            <v>-30631.270322038941</v>
          </cell>
        </row>
        <row r="44">
          <cell r="L44">
            <v>-25107.345636600981</v>
          </cell>
        </row>
        <row r="45">
          <cell r="L45">
            <v>-10330.270501460576</v>
          </cell>
        </row>
        <row r="46">
          <cell r="L46">
            <v>-4345.7647109164582</v>
          </cell>
        </row>
        <row r="47">
          <cell r="L47">
            <v>-2247.7539742395365</v>
          </cell>
        </row>
        <row r="48">
          <cell r="L48">
            <v>-1370.7656215021145</v>
          </cell>
        </row>
        <row r="49">
          <cell r="L49">
            <v>-783.02277338053375</v>
          </cell>
        </row>
        <row r="50">
          <cell r="L50">
            <v>-439.49065664601306</v>
          </cell>
        </row>
        <row r="51">
          <cell r="L51">
            <v>-234.21458037811101</v>
          </cell>
        </row>
        <row r="52">
          <cell r="L52">
            <v>-108.71119017222405</v>
          </cell>
        </row>
        <row r="53">
          <cell r="L53">
            <v>-41.184322737764781</v>
          </cell>
        </row>
        <row r="54">
          <cell r="L54">
            <v>-11.016512418472226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2.7631233276737537</v>
          </cell>
          <cell r="P4">
            <v>-265032.76380415505</v>
          </cell>
        </row>
        <row r="5">
          <cell r="C5">
            <v>-406157627.42051959</v>
          </cell>
          <cell r="D5">
            <v>-20080.270625502035</v>
          </cell>
          <cell r="G5">
            <v>-403056057.27579707</v>
          </cell>
          <cell r="H5">
            <v>3101570.1447225213</v>
          </cell>
          <cell r="J5">
            <v>0.5</v>
          </cell>
          <cell r="K5">
            <v>-409591315.18106455</v>
          </cell>
          <cell r="L5">
            <v>-3433687.7605449557</v>
          </cell>
        </row>
        <row r="6">
          <cell r="C6">
            <v>-214342424.02024883</v>
          </cell>
          <cell r="D6">
            <v>-31630.21148007084</v>
          </cell>
          <cell r="G6">
            <v>-209594270.37742123</v>
          </cell>
          <cell r="H6">
            <v>4748153.6428276002</v>
          </cell>
          <cell r="J6">
            <v>1.5</v>
          </cell>
          <cell r="K6">
            <v>-219175282.754287</v>
          </cell>
          <cell r="L6">
            <v>-4832858.7340381742</v>
          </cell>
        </row>
        <row r="7">
          <cell r="C7">
            <v>-104531979.96334508</v>
          </cell>
          <cell r="D7">
            <v>-25670.347561898376</v>
          </cell>
          <cell r="G7">
            <v>-100944899.13350913</v>
          </cell>
          <cell r="H7">
            <v>3587080.8298359513</v>
          </cell>
          <cell r="J7">
            <v>2.5</v>
          </cell>
          <cell r="K7">
            <v>-107909055.56440555</v>
          </cell>
          <cell r="L7">
            <v>-3377075.601060465</v>
          </cell>
        </row>
        <row r="8">
          <cell r="C8">
            <v>-57099478.882479854</v>
          </cell>
          <cell r="G8">
            <v>-54572109.988178596</v>
          </cell>
          <cell r="H8">
            <v>2527368.894301258</v>
          </cell>
          <cell r="K8">
            <v>-59394731.426200487</v>
          </cell>
          <cell r="L8">
            <v>-2295252.5437206328</v>
          </cell>
        </row>
        <row r="9">
          <cell r="C9">
            <v>-40473793.06181626</v>
          </cell>
          <cell r="G9">
            <v>-38329244.183324322</v>
          </cell>
          <cell r="H9">
            <v>2144548.8784919381</v>
          </cell>
          <cell r="K9">
            <v>-42393436.00580956</v>
          </cell>
          <cell r="L9">
            <v>-1919642.9439933002</v>
          </cell>
        </row>
        <row r="10">
          <cell r="C10">
            <v>-31334600.843931548</v>
          </cell>
          <cell r="G10">
            <v>-29415272.825471755</v>
          </cell>
          <cell r="H10">
            <v>1919328.0184597932</v>
          </cell>
          <cell r="K10">
            <v>-33022617.83627509</v>
          </cell>
          <cell r="L10">
            <v>-1688016.9923435412</v>
          </cell>
        </row>
        <row r="11">
          <cell r="C11">
            <v>-24121279.795468491</v>
          </cell>
          <cell r="G11">
            <v>-22462245.195723351</v>
          </cell>
          <cell r="H11">
            <v>1659034.5997451395</v>
          </cell>
          <cell r="K11">
            <v>-25553607.733288974</v>
          </cell>
          <cell r="L11">
            <v>-1432327.937820483</v>
          </cell>
        </row>
        <row r="12">
          <cell r="C12">
            <v>-18751822.072159898</v>
          </cell>
          <cell r="G12">
            <v>-17329003.379238192</v>
          </cell>
          <cell r="H12">
            <v>1422818.6929217055</v>
          </cell>
          <cell r="K12">
            <v>-19954769.816460222</v>
          </cell>
          <cell r="L12">
            <v>-1202947.7443003245</v>
          </cell>
        </row>
        <row r="13">
          <cell r="C13">
            <v>-14602667.511427339</v>
          </cell>
          <cell r="G13">
            <v>-13405101.796129992</v>
          </cell>
          <cell r="H13">
            <v>1197565.7152973469</v>
          </cell>
          <cell r="K13">
            <v>-15590374.304888655</v>
          </cell>
          <cell r="L13">
            <v>-987706.79346131533</v>
          </cell>
        </row>
        <row r="14">
          <cell r="C14">
            <v>-12318537.643116049</v>
          </cell>
          <cell r="G14">
            <v>-11228170.234981539</v>
          </cell>
          <cell r="H14">
            <v>1090367.4081345107</v>
          </cell>
          <cell r="K14">
            <v>-13195980.354368376</v>
          </cell>
          <cell r="L14">
            <v>-877442.71125232615</v>
          </cell>
        </row>
        <row r="15">
          <cell r="C15">
            <v>-9725456.9393869638</v>
          </cell>
          <cell r="G15">
            <v>-8782035.3615212645</v>
          </cell>
          <cell r="H15">
            <v>943421.57786569931</v>
          </cell>
          <cell r="K15">
            <v>-10463832.466175595</v>
          </cell>
          <cell r="L15">
            <v>-738375.52678863145</v>
          </cell>
        </row>
        <row r="16">
          <cell r="C16">
            <v>-7146733.9806441134</v>
          </cell>
          <cell r="G16">
            <v>-6391110.544610979</v>
          </cell>
          <cell r="H16">
            <v>755623.43603313435</v>
          </cell>
          <cell r="K16">
            <v>-7725236.0389682846</v>
          </cell>
          <cell r="L16">
            <v>-578502.05832417123</v>
          </cell>
        </row>
        <row r="17">
          <cell r="C17">
            <v>-6018642.6173464991</v>
          </cell>
          <cell r="G17">
            <v>-5330318.879025884</v>
          </cell>
          <cell r="H17">
            <v>688323.73832061514</v>
          </cell>
          <cell r="K17">
            <v>-6535081.8952837754</v>
          </cell>
          <cell r="L17">
            <v>-516439.27793727629</v>
          </cell>
        </row>
        <row r="18">
          <cell r="C18">
            <v>-5155083.2411313411</v>
          </cell>
          <cell r="G18">
            <v>-4521467.8500098847</v>
          </cell>
          <cell r="H18">
            <v>633615.3911214564</v>
          </cell>
          <cell r="K18">
            <v>-5629741.4494565362</v>
          </cell>
          <cell r="L18">
            <v>-474658.20832519513</v>
          </cell>
        </row>
        <row r="19">
          <cell r="C19">
            <v>-4555823.572141951</v>
          </cell>
          <cell r="G19">
            <v>-3957291.4796161042</v>
          </cell>
          <cell r="H19">
            <v>598532.09252584679</v>
          </cell>
          <cell r="K19">
            <v>-5002594.1524562472</v>
          </cell>
          <cell r="L19">
            <v>-446770.5803142963</v>
          </cell>
        </row>
        <row r="20">
          <cell r="C20">
            <v>-3806436.2754099858</v>
          </cell>
          <cell r="G20">
            <v>-3274364.9281027936</v>
          </cell>
          <cell r="H20">
            <v>532071.34730719216</v>
          </cell>
          <cell r="K20">
            <v>-4207438.6789795216</v>
          </cell>
          <cell r="L20">
            <v>-401002.40356953582</v>
          </cell>
        </row>
        <row r="21">
          <cell r="C21">
            <v>-3182390.6996845701</v>
          </cell>
          <cell r="G21">
            <v>-2711003.4229098768</v>
          </cell>
          <cell r="H21">
            <v>471387.27677469328</v>
          </cell>
          <cell r="K21">
            <v>-3544935.549320844</v>
          </cell>
          <cell r="L21">
            <v>-362544.84963627392</v>
          </cell>
        </row>
        <row r="22">
          <cell r="C22">
            <v>-2628988.5409700279</v>
          </cell>
          <cell r="G22">
            <v>-2217836.1990585751</v>
          </cell>
          <cell r="H22">
            <v>411152.34191145282</v>
          </cell>
          <cell r="K22">
            <v>-2944980.2766460376</v>
          </cell>
          <cell r="L22">
            <v>-315991.73567600967</v>
          </cell>
        </row>
        <row r="23">
          <cell r="C23">
            <v>-2180337.6575034442</v>
          </cell>
          <cell r="G23">
            <v>-1821505.1568740206</v>
          </cell>
          <cell r="H23">
            <v>358832.50062942365</v>
          </cell>
          <cell r="K23">
            <v>-2461601.6677279645</v>
          </cell>
          <cell r="L23">
            <v>-281264.01022452023</v>
          </cell>
        </row>
        <row r="24">
          <cell r="C24">
            <v>-1911318.8303408145</v>
          </cell>
          <cell r="G24">
            <v>-1581292.8251429524</v>
          </cell>
          <cell r="H24">
            <v>330026.00519786216</v>
          </cell>
          <cell r="K24">
            <v>-2175967.1928644544</v>
          </cell>
          <cell r="L24">
            <v>-264648.36252363981</v>
          </cell>
        </row>
        <row r="25">
          <cell r="C25">
            <v>-1613930.0365054344</v>
          </cell>
          <cell r="G25">
            <v>-1322336.7254615512</v>
          </cell>
          <cell r="H25">
            <v>291593.31104388321</v>
          </cell>
          <cell r="K25">
            <v>-1849098.1766750126</v>
          </cell>
          <cell r="L25">
            <v>-235168.14016957814</v>
          </cell>
        </row>
        <row r="26">
          <cell r="C26">
            <v>-1352384.8748423744</v>
          </cell>
          <cell r="G26">
            <v>-1097338.6015058474</v>
          </cell>
          <cell r="H26">
            <v>255046.27333652694</v>
          </cell>
          <cell r="K26">
            <v>-1559254.1160882623</v>
          </cell>
          <cell r="L26">
            <v>-206869.24124588794</v>
          </cell>
        </row>
        <row r="27">
          <cell r="C27">
            <v>-1120039.7189590174</v>
          </cell>
          <cell r="G27">
            <v>-900036.01234109153</v>
          </cell>
          <cell r="H27">
            <v>220003.7066179259</v>
          </cell>
          <cell r="K27">
            <v>-1299787.6758530624</v>
          </cell>
          <cell r="L27">
            <v>-179747.956894045</v>
          </cell>
        </row>
        <row r="28">
          <cell r="C28">
            <v>-929827.44648639485</v>
          </cell>
          <cell r="G28">
            <v>-739977.28912865813</v>
          </cell>
          <cell r="H28">
            <v>189850.15735773672</v>
          </cell>
          <cell r="K28">
            <v>-1086319.0222975302</v>
          </cell>
          <cell r="L28">
            <v>-156491.57581113535</v>
          </cell>
        </row>
        <row r="29">
          <cell r="C29">
            <v>-796059.15840951505</v>
          </cell>
          <cell r="G29">
            <v>-627414.02635137958</v>
          </cell>
          <cell r="H29">
            <v>168645.13205813547</v>
          </cell>
          <cell r="K29">
            <v>-936418.72210763302</v>
          </cell>
          <cell r="L29">
            <v>-140359.56369811797</v>
          </cell>
        </row>
        <row r="30">
          <cell r="C30">
            <v>-617422.42378739431</v>
          </cell>
          <cell r="G30">
            <v>-481932.96594163857</v>
          </cell>
          <cell r="H30">
            <v>135489.45784575574</v>
          </cell>
          <cell r="K30">
            <v>-731279.9354130039</v>
          </cell>
          <cell r="L30">
            <v>-113857.51162560959</v>
          </cell>
        </row>
        <row r="31">
          <cell r="C31">
            <v>-462862.20953628205</v>
          </cell>
          <cell r="G31">
            <v>-357811.00904583902</v>
          </cell>
          <cell r="H31">
            <v>105051.20049044304</v>
          </cell>
          <cell r="K31">
            <v>-552069.01802407636</v>
          </cell>
          <cell r="L31">
            <v>-89206.808487794304</v>
          </cell>
        </row>
        <row r="32">
          <cell r="C32">
            <v>-329971.76586000697</v>
          </cell>
          <cell r="G32">
            <v>-252626.05920998342</v>
          </cell>
          <cell r="H32">
            <v>77345.706650023552</v>
          </cell>
          <cell r="K32">
            <v>-396395.418166216</v>
          </cell>
          <cell r="L32">
            <v>-66423.652306209027</v>
          </cell>
        </row>
        <row r="33">
          <cell r="C33">
            <v>-236749.53145776485</v>
          </cell>
          <cell r="G33">
            <v>-179511.44939292129</v>
          </cell>
          <cell r="H33">
            <v>57238.082064843562</v>
          </cell>
          <cell r="K33">
            <v>-286461.70565674466</v>
          </cell>
          <cell r="L33">
            <v>-49712.174198979803</v>
          </cell>
        </row>
        <row r="34">
          <cell r="C34">
            <v>-241076.51289616292</v>
          </cell>
          <cell r="G34">
            <v>-181034.11801775708</v>
          </cell>
          <cell r="H34">
            <v>60042.394878405845</v>
          </cell>
          <cell r="K34">
            <v>-293772.46980014793</v>
          </cell>
          <cell r="L34">
            <v>-52695.956903985003</v>
          </cell>
        </row>
        <row r="35">
          <cell r="C35">
            <v>-133225.6003380669</v>
          </cell>
          <cell r="G35">
            <v>-99082.680434034715</v>
          </cell>
          <cell r="H35">
            <v>34142.919904032184</v>
          </cell>
          <cell r="K35">
            <v>-163506.35767880586</v>
          </cell>
          <cell r="L35">
            <v>-30280.757340738957</v>
          </cell>
        </row>
        <row r="36">
          <cell r="C36">
            <v>-78792.095034110927</v>
          </cell>
          <cell r="G36">
            <v>-58036.076732308517</v>
          </cell>
          <cell r="H36">
            <v>20756.018301802411</v>
          </cell>
          <cell r="K36">
            <v>-97393.937164757546</v>
          </cell>
          <cell r="L36">
            <v>-18601.842130646619</v>
          </cell>
        </row>
        <row r="37">
          <cell r="C37">
            <v>-54421.355842475517</v>
          </cell>
          <cell r="G37">
            <v>-39700.059476870338</v>
          </cell>
          <cell r="H37">
            <v>14721.29636560518</v>
          </cell>
          <cell r="K37">
            <v>-67753.776444225572</v>
          </cell>
          <cell r="L37">
            <v>-13332.420601750055</v>
          </cell>
        </row>
        <row r="38">
          <cell r="C38">
            <v>-44151.151817653088</v>
          </cell>
          <cell r="G38">
            <v>-31898.600057075979</v>
          </cell>
          <cell r="H38">
            <v>12252.551760577109</v>
          </cell>
          <cell r="K38">
            <v>-55364.616442192644</v>
          </cell>
          <cell r="L38">
            <v>-11213.464624539556</v>
          </cell>
        </row>
        <row r="39">
          <cell r="C39">
            <v>-35182.757918298477</v>
          </cell>
          <cell r="G39">
            <v>-25174.951015825351</v>
          </cell>
          <cell r="H39">
            <v>10007.806902473127</v>
          </cell>
          <cell r="K39">
            <v>-44430.860452541041</v>
          </cell>
          <cell r="L39">
            <v>-9248.1025342425637</v>
          </cell>
        </row>
        <row r="40">
          <cell r="C40">
            <v>-23681.107489436574</v>
          </cell>
          <cell r="G40">
            <v>-16782.251523406027</v>
          </cell>
          <cell r="H40">
            <v>6898.8559660305473</v>
          </cell>
          <cell r="K40">
            <v>-30123.508451261267</v>
          </cell>
          <cell r="L40">
            <v>-6442.4009618246928</v>
          </cell>
        </row>
        <row r="41">
          <cell r="C41">
            <v>-16900.495060827616</v>
          </cell>
          <cell r="G41">
            <v>-11862.003407427494</v>
          </cell>
          <cell r="H41">
            <v>5038.4916534001222</v>
          </cell>
          <cell r="K41">
            <v>-21651.375108193057</v>
          </cell>
          <cell r="L41">
            <v>-4750.880047365441</v>
          </cell>
        </row>
        <row r="42">
          <cell r="C42">
            <v>-12810.258105766356</v>
          </cell>
          <cell r="G42">
            <v>-8904.8590914584693</v>
          </cell>
          <cell r="H42">
            <v>3905.3990143078863</v>
          </cell>
          <cell r="K42">
            <v>-16525.527948962204</v>
          </cell>
          <cell r="L42">
            <v>-3715.2698431958488</v>
          </cell>
        </row>
        <row r="43">
          <cell r="C43">
            <v>-11349.910045817098</v>
          </cell>
          <cell r="G43">
            <v>-7813.9923224656677</v>
          </cell>
          <cell r="H43">
            <v>3535.9177233514301</v>
          </cell>
          <cell r="K43">
            <v>-14746.427453755485</v>
          </cell>
          <cell r="L43">
            <v>-3396.5174079383869</v>
          </cell>
        </row>
        <row r="44">
          <cell r="C44">
            <v>-9015.8098610350626</v>
          </cell>
          <cell r="G44">
            <v>-6147.4740549106627</v>
          </cell>
          <cell r="H44">
            <v>2868.3358061243998</v>
          </cell>
          <cell r="K44">
            <v>-11795.609776244748</v>
          </cell>
          <cell r="L44">
            <v>-2779.7999152096854</v>
          </cell>
        </row>
        <row r="45">
          <cell r="C45">
            <v>-3594.6423084808293</v>
          </cell>
          <cell r="G45">
            <v>-2427.5029955905816</v>
          </cell>
          <cell r="H45">
            <v>1167.1393128902478</v>
          </cell>
          <cell r="K45">
            <v>-4734.8923212031232</v>
          </cell>
          <cell r="L45">
            <v>-1140.2500127222938</v>
          </cell>
        </row>
        <row r="46">
          <cell r="C46">
            <v>-1464.9813747000192</v>
          </cell>
          <cell r="G46">
            <v>-979.82714128750945</v>
          </cell>
          <cell r="H46">
            <v>485.15423341250971</v>
          </cell>
          <cell r="K46">
            <v>-1943.1790861788966</v>
          </cell>
          <cell r="L46">
            <v>-478.19771147887741</v>
          </cell>
        </row>
        <row r="47">
          <cell r="C47">
            <v>-734.02009441733412</v>
          </cell>
          <cell r="G47">
            <v>-486.22627015476377</v>
          </cell>
          <cell r="H47">
            <v>247.79382426257035</v>
          </cell>
          <cell r="K47">
            <v>-980.43635597584523</v>
          </cell>
          <cell r="L47">
            <v>-246.41626155851111</v>
          </cell>
        </row>
        <row r="48">
          <cell r="C48">
            <v>-433.60480575988703</v>
          </cell>
          <cell r="G48">
            <v>-284.47118661161608</v>
          </cell>
          <cell r="H48">
            <v>149.13361914827095</v>
          </cell>
          <cell r="K48">
            <v>-583.10588489486179</v>
          </cell>
          <cell r="L48">
            <v>-149.50107913497476</v>
          </cell>
        </row>
        <row r="49">
          <cell r="C49">
            <v>-239.91696043602747</v>
          </cell>
          <cell r="G49">
            <v>-155.89011340230732</v>
          </cell>
          <cell r="H49">
            <v>84.026847033720145</v>
          </cell>
          <cell r="K49">
            <v>-324.75944909262262</v>
          </cell>
          <cell r="L49">
            <v>-84.842488656595151</v>
          </cell>
        </row>
        <row r="50">
          <cell r="C50">
            <v>-130.43166426832892</v>
          </cell>
          <cell r="G50">
            <v>-83.937223544738487</v>
          </cell>
          <cell r="H50">
            <v>46.494440723590429</v>
          </cell>
          <cell r="K50">
            <v>-177.71599327278076</v>
          </cell>
          <cell r="L50">
            <v>-47.284329004451848</v>
          </cell>
        </row>
        <row r="51">
          <cell r="C51">
            <v>-67.32722304544771</v>
          </cell>
          <cell r="G51">
            <v>-42.911704359627571</v>
          </cell>
          <cell r="H51">
            <v>24.415518685820139</v>
          </cell>
          <cell r="K51">
            <v>-92.336460148256975</v>
          </cell>
          <cell r="L51">
            <v>-25.009237102809266</v>
          </cell>
        </row>
        <row r="52">
          <cell r="C52">
            <v>-30.26901506262417</v>
          </cell>
          <cell r="G52">
            <v>-19.10720943208759</v>
          </cell>
          <cell r="H52">
            <v>11.16180563053658</v>
          </cell>
          <cell r="K52">
            <v>-41.774772349199452</v>
          </cell>
          <cell r="L52">
            <v>-11.505757286575282</v>
          </cell>
        </row>
        <row r="53">
          <cell r="C53">
            <v>-11.104792968254637</v>
          </cell>
          <cell r="G53">
            <v>-6.9426335865552913</v>
          </cell>
          <cell r="H53">
            <v>4.1621593816993459</v>
          </cell>
          <cell r="K53">
            <v>-15.426001829346049</v>
          </cell>
          <cell r="L53">
            <v>-4.3212088610914119</v>
          </cell>
        </row>
        <row r="54">
          <cell r="C54">
            <v>-2.8759704124216965</v>
          </cell>
          <cell r="G54">
            <v>-1.7807948399617073</v>
          </cell>
          <cell r="H54">
            <v>1.0951755724599892</v>
          </cell>
          <cell r="K54">
            <v>-4.0211485008046095</v>
          </cell>
          <cell r="L54">
            <v>-1.145178088382913</v>
          </cell>
        </row>
      </sheetData>
      <sheetData sheetId="2">
        <row r="3">
          <cell r="D3">
            <v>-848703625.03893054</v>
          </cell>
          <cell r="G3">
            <v>-822605303.34840965</v>
          </cell>
          <cell r="J3">
            <v>-806496580.95823038</v>
          </cell>
          <cell r="M3">
            <v>-838463820.93176723</v>
          </cell>
        </row>
        <row r="4">
          <cell r="D4">
            <v>-118361602.41586424</v>
          </cell>
          <cell r="G4">
            <v>-101128907.86610332</v>
          </cell>
          <cell r="J4">
            <v>-93839793.431544825</v>
          </cell>
          <cell r="M4">
            <v>-107317350.04528131</v>
          </cell>
        </row>
        <row r="5">
          <cell r="D5">
            <v>-63775052.286756374</v>
          </cell>
          <cell r="G5">
            <v>-46311212.354559712</v>
          </cell>
          <cell r="J5">
            <v>-40588226.646872342</v>
          </cell>
          <cell r="M5">
            <v>-50691409.367879264</v>
          </cell>
        </row>
        <row r="6">
          <cell r="D6">
            <v>-13338994.418287208</v>
          </cell>
          <cell r="G6">
            <v>-7700323.6787403487</v>
          </cell>
          <cell r="J6">
            <v>-6140018.256396668</v>
          </cell>
          <cell r="M6">
            <v>-8990856.2600816898</v>
          </cell>
        </row>
        <row r="7">
          <cell r="D7">
            <v>-970843.48123296374</v>
          </cell>
          <cell r="G7">
            <v>-426239.71572303877</v>
          </cell>
          <cell r="J7">
            <v>-309891.54538859299</v>
          </cell>
          <cell r="M7">
            <v>-532189.64439438516</v>
          </cell>
        </row>
      </sheetData>
      <sheetData sheetId="3">
        <row r="3">
          <cell r="D3">
            <v>16108722.390179269</v>
          </cell>
          <cell r="G3">
            <v>-15858517.583357528</v>
          </cell>
          <cell r="J3">
            <v>-114853.78374200441</v>
          </cell>
        </row>
        <row r="4">
          <cell r="D4">
            <v>7289114.4345584959</v>
          </cell>
          <cell r="G4">
            <v>-6188442.1791779902</v>
          </cell>
          <cell r="J4">
            <v>-69626.009493683057</v>
          </cell>
        </row>
        <row r="5">
          <cell r="D5">
            <v>5722985.7076873761</v>
          </cell>
          <cell r="G5">
            <v>-4380197.0133195501</v>
          </cell>
          <cell r="J5">
            <v>-61627.092688356184</v>
          </cell>
        </row>
        <row r="6">
          <cell r="D6">
            <v>1560305.4223436799</v>
          </cell>
          <cell r="G6">
            <v>-1290532.5813413421</v>
          </cell>
          <cell r="J6">
            <v>-17558.256878699991</v>
          </cell>
        </row>
        <row r="7">
          <cell r="D7">
            <v>116348.17033444581</v>
          </cell>
          <cell r="G7">
            <v>-105949.92867134635</v>
          </cell>
          <cell r="J7">
            <v>-1367.6210014114072</v>
          </cell>
        </row>
      </sheetData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1"/>
      <sheetName val="Foglio1 (2)"/>
      <sheetName val="Legenda"/>
      <sheetName val="Azioni italiane"/>
      <sheetName val="price to book"/>
      <sheetName val="NIM  CE-sintesi"/>
      <sheetName val="BAV INPUT"/>
      <sheetName val="budget 2002 iss"/>
      <sheetName val="SAP Rules"/>
      <sheetName val="Matrice_interessi"/>
      <sheetName val="Rettifiche"/>
      <sheetName val="Trend_azioni"/>
      <sheetName val="NOTA_OPERATIVA"/>
      <sheetName val="P10.Volume-Dec-outstanding"/>
      <sheetName val="Totale Network"/>
      <sheetName val="Riep x società - Affitti"/>
      <sheetName val="Bridge 02"/>
      <sheetName val="ottobre"/>
      <sheetName val="CAMPIONE BK EU"/>
      <sheetName val="verifica 01-02"/>
      <sheetName val="capital italiane"/>
      <sheetName val="Altro"/>
      <sheetName val="10) Bloomberg Data"/>
      <sheetName val="Bloomberg data PricesHistorical"/>
      <sheetName val="scarico_USD Benchmark"/>
      <sheetName val="AFFARI dati"/>
      <sheetName val="DATABASE"/>
      <sheetName val="Foglio1_(2)"/>
      <sheetName val="Azioni_italiane"/>
      <sheetName val="price_to_book"/>
      <sheetName val="BAV_INPUT"/>
      <sheetName val="NIM__CE-sintesi"/>
      <sheetName val="budget_2002_iss"/>
      <sheetName val="SAP_Rules"/>
      <sheetName val="P10_Volume-Dec-outstanding"/>
      <sheetName val="Totale_Network"/>
      <sheetName val="Riep_x_società_-_Affitti"/>
      <sheetName val="Bridge_02"/>
      <sheetName val="CAMPIONE_BK_EU"/>
      <sheetName val="verifica_01-02"/>
      <sheetName val="capital_italiane"/>
      <sheetName val="10)_Bloomberg_Data"/>
      <sheetName val="Bloomberg_data_PricesHistorical"/>
      <sheetName val="scarico_USD_Benchmark"/>
      <sheetName val="AFFARI_dati"/>
      <sheetName val="Bubble &amp; Graphs"/>
      <sheetName val="elenchi"/>
      <sheetName val="Nature"/>
      <sheetName val="Foglio1_(2)1"/>
      <sheetName val="Azioni_italiane1"/>
      <sheetName val="price_to_book1"/>
      <sheetName val="BAV_INPUT1"/>
      <sheetName val="NIM__CE-sintesi1"/>
      <sheetName val="budget_2002_iss1"/>
      <sheetName val="SAP_Rules1"/>
      <sheetName val="P10_Volume-Dec-outstanding1"/>
      <sheetName val="Totale_Network1"/>
      <sheetName val="Bridge_021"/>
      <sheetName val="scarico_USD_Benchmark1"/>
      <sheetName val="Riep_x_società_-_Affitti1"/>
      <sheetName val="CAMPIONE_BK_EU1"/>
      <sheetName val="verifica_01-021"/>
      <sheetName val="capital_italiane1"/>
      <sheetName val="10)_Bloomberg_Data1"/>
      <sheetName val="Bloomberg_data_PricesHistorica1"/>
      <sheetName val="AFFARI_dati1"/>
      <sheetName val="Bubble_&amp;_Graphs"/>
      <sheetName val="Elenco chiuso"/>
      <sheetName val="Elenchi chiusi"/>
      <sheetName val="Elechi chiusi"/>
      <sheetName val="Existing and New Debt"/>
      <sheetName val="Inputs residential"/>
      <sheetName val="Working Sheet example"/>
      <sheetName val="Foglio1_(2)2"/>
      <sheetName val="Azioni_italiane2"/>
      <sheetName val="price_to_book2"/>
      <sheetName val="BAV_INPUT2"/>
      <sheetName val="NIM__CE-sintesi2"/>
      <sheetName val="budget_2002_iss2"/>
      <sheetName val="SAP_Rules2"/>
      <sheetName val="P10_Volume-Dec-outstanding2"/>
      <sheetName val="Totale_Network2"/>
      <sheetName val="Riep_x_società_-_Affitti2"/>
      <sheetName val="Bridge_022"/>
      <sheetName val="scarico_USD_Benchmark2"/>
      <sheetName val="CAMPIONE_BK_EU2"/>
      <sheetName val="verifica_01-022"/>
      <sheetName val="capital_italiane2"/>
      <sheetName val="10)_Bloomberg_Data2"/>
      <sheetName val="Bloomberg_data_PricesHistorica2"/>
      <sheetName val="AFFARI_dati2"/>
      <sheetName val="Bubble_&amp;_Graphs1"/>
      <sheetName val="Elenco_chiuso"/>
      <sheetName val="Elenchi_chiusi"/>
      <sheetName val="Elechi_chiusi"/>
      <sheetName val="Existing_and_New_Debt"/>
      <sheetName val="Inputs_residential"/>
      <sheetName val="Working_Sheet_example"/>
      <sheetName val="Validation"/>
      <sheetName val="Foglio1_(2)3"/>
      <sheetName val="Azioni_italiane3"/>
      <sheetName val="price_to_book3"/>
      <sheetName val="NIM__CE-sintesi3"/>
      <sheetName val="BAV_INPUT3"/>
      <sheetName val="budget_2002_iss3"/>
      <sheetName val="SAP_Rules3"/>
      <sheetName val="P10_Volume-Dec-outstanding3"/>
      <sheetName val="Totale_Network3"/>
      <sheetName val="Bridge_023"/>
      <sheetName val="scarico_USD_Benchmark3"/>
      <sheetName val="Riep_x_società_-_Affitti3"/>
      <sheetName val="CAMPIONE_BK_EU3"/>
      <sheetName val="verifica_01-023"/>
      <sheetName val="capital_italiane3"/>
      <sheetName val="10)_Bloomberg_Data3"/>
      <sheetName val="Bloomberg_data_PricesHistorica3"/>
      <sheetName val="AFFARI_dati3"/>
      <sheetName val="Bubble_&amp;_Graphs2"/>
      <sheetName val="Existing_and_New_Debt1"/>
      <sheetName val="Inputs_residential1"/>
      <sheetName val="Working_Sheet_example1"/>
      <sheetName val="Elenco_chiuso1"/>
      <sheetName val="Elenchi_chiusi1"/>
      <sheetName val="Elechi_chiusi1"/>
      <sheetName val="Schedule 11 - SFP"/>
      <sheetName val="DB_CESSIONE wrk"/>
      <sheetName val="PP Summary"/>
      <sheetName val="DB_CESSIONE_FIRMA"/>
      <sheetName val="Margini"/>
      <sheetName val="Recap Firma UC e Reserves"/>
      <sheetName val="Foglio1_(2)4"/>
      <sheetName val="Azioni_italiane4"/>
      <sheetName val="price_to_book4"/>
      <sheetName val="NIM__CE-sintesi4"/>
      <sheetName val="BAV_INPUT4"/>
      <sheetName val="budget_2002_iss4"/>
      <sheetName val="SAP_Rules4"/>
      <sheetName val="P10_Volume-Dec-outstanding4"/>
      <sheetName val="Bridge_024"/>
      <sheetName val="Totale_Network4"/>
      <sheetName val="scarico_USD_Benchmark4"/>
      <sheetName val="Riep_x_società_-_Affitti4"/>
      <sheetName val="CAMPIONE_BK_EU4"/>
      <sheetName val="verifica_01-024"/>
      <sheetName val="capital_italiane4"/>
      <sheetName val="10)_Bloomberg_Data4"/>
      <sheetName val="Bloomberg_data_PricesHistorica4"/>
      <sheetName val="AFFARI_dati4"/>
      <sheetName val="Bubble_&amp;_Graphs3"/>
      <sheetName val="Existing_and_New_Debt2"/>
      <sheetName val="Inputs_residential2"/>
      <sheetName val="Working_Sheet_example2"/>
      <sheetName val="Elenco_chiuso2"/>
      <sheetName val="Elenchi_chiusi2"/>
      <sheetName val="Elechi_chiusi2"/>
      <sheetName val="Schedule_11_-_SFP"/>
      <sheetName val="DB_CESSIONE_wrk"/>
      <sheetName val="PP_Summary"/>
      <sheetName val="Recap_Firma_UC_e_Reserves"/>
      <sheetName val="Mensile risultati"/>
      <sheetName val="Mensile flussi"/>
      <sheetName val="Trimestrale risultati"/>
      <sheetName val="Trimestrale flussi"/>
      <sheetName val="MENSILE  2015"/>
      <sheetName val="MENSILE  2017"/>
      <sheetName val="MENSILE  2018"/>
      <sheetName val="MENSILE  2019"/>
      <sheetName val="MENSILE 2020"/>
      <sheetName val="dett commissioni setefi"/>
      <sheetName val="CE mensile_OLD"/>
      <sheetName val="CE ricl new"/>
      <sheetName val="Imposte Trib.Sistema Bancario"/>
      <sheetName val="Rico ASA Bilanbio Uff_Ricla"/>
      <sheetName val="Rico_On_Op_Bilanbio Uff_Ricla"/>
      <sheetName val="Imposte Oneri di Integrazione."/>
      <sheetName val="Saldat"/>
      <sheetName val="Gruppo Net_Forecast"/>
      <sheetName val="qx_tab"/>
      <sheetName val="Foglio1_(2)5"/>
      <sheetName val="Azioni_italiane5"/>
      <sheetName val="price_to_book5"/>
      <sheetName val="NIM__CE-sintesi5"/>
      <sheetName val="BAV_INPUT5"/>
      <sheetName val="budget_2002_iss5"/>
      <sheetName val="SAP_Rules5"/>
      <sheetName val="P10_Volume-Dec-outstanding5"/>
      <sheetName val="Totale_Network5"/>
      <sheetName val="Bridge_025"/>
      <sheetName val="scarico_USD_Benchmark5"/>
      <sheetName val="Riep_x_società_-_Affitti5"/>
      <sheetName val="CAMPIONE_BK_EU5"/>
      <sheetName val="verifica_01-025"/>
      <sheetName val="capital_italiane5"/>
      <sheetName val="10)_Bloomberg_Data5"/>
      <sheetName val="Bloomberg_data_PricesHistorica5"/>
      <sheetName val="AFFARI_dati5"/>
      <sheetName val="Bubble_&amp;_Graphs4"/>
      <sheetName val="Existing_and_New_Debt3"/>
      <sheetName val="Inputs_residential3"/>
      <sheetName val="Working_Sheet_example3"/>
      <sheetName val="Elenco_chiuso3"/>
      <sheetName val="Elenchi_chiusi3"/>
      <sheetName val="Elechi_chiusi3"/>
      <sheetName val="Schedule_11_-_SFP1"/>
      <sheetName val="DB_CESSIONE_wrk1"/>
      <sheetName val="PP_Summary1"/>
      <sheetName val="Recap_Firma_UC_e_Reserves1"/>
      <sheetName val="Foglio1_(2)6"/>
      <sheetName val="Azioni_italiane6"/>
      <sheetName val="price_to_book6"/>
      <sheetName val="NIM__CE-sintesi6"/>
      <sheetName val="BAV_INPUT6"/>
      <sheetName val="budget_2002_iss6"/>
      <sheetName val="SAP_Rules6"/>
      <sheetName val="P10_Volume-Dec-outstanding6"/>
      <sheetName val="Totale_Network6"/>
      <sheetName val="Bridge_026"/>
      <sheetName val="scarico_USD_Benchmark6"/>
      <sheetName val="Riep_x_società_-_Affitti6"/>
      <sheetName val="CAMPIONE_BK_EU6"/>
      <sheetName val="verifica_01-026"/>
      <sheetName val="capital_italiane6"/>
      <sheetName val="10)_Bloomberg_Data6"/>
      <sheetName val="Bloomberg_data_PricesHistorica6"/>
      <sheetName val="AFFARI_dati6"/>
      <sheetName val="Bubble_&amp;_Graphs5"/>
      <sheetName val="Existing_and_New_Debt4"/>
      <sheetName val="Inputs_residential4"/>
      <sheetName val="Working_Sheet_example4"/>
      <sheetName val="Elenco_chiuso4"/>
      <sheetName val="Elenchi_chiusi4"/>
      <sheetName val="Elechi_chiusi4"/>
      <sheetName val="Schedule_11_-_SFP2"/>
      <sheetName val="DB_CESSIONE_wrk2"/>
      <sheetName val="PP_Summary2"/>
      <sheetName val="Recap_Firma_UC_e_Reserves2"/>
      <sheetName val="Mensile_risultati"/>
      <sheetName val="Mensile_flussi"/>
      <sheetName val="Trimestrale_risultati"/>
      <sheetName val="Trimestrale_flussi"/>
      <sheetName val="MENSILE__2015"/>
      <sheetName val="MENSILE__2017"/>
      <sheetName val="MENSILE__2018"/>
      <sheetName val="MENSILE__2019"/>
      <sheetName val="MENSILE_2020"/>
      <sheetName val="dett_commissioni_setefi"/>
      <sheetName val="CE_mensile_OLD"/>
      <sheetName val="CE_ricl_new"/>
      <sheetName val="Imposte_Trib_Sistema_Bancario"/>
      <sheetName val="Rico_ASA_Bilanbio_Uff_Ricla"/>
      <sheetName val="Rico_On_Op_Bilanbio_Uff_Ricla"/>
      <sheetName val="Imposte_Oneri_di_Integrazione_"/>
      <sheetName val="Foglio1_(2)7"/>
      <sheetName val="Azioni_italiane7"/>
      <sheetName val="price_to_book7"/>
      <sheetName val="NIM__CE-sintesi7"/>
      <sheetName val="BAV_INPUT7"/>
      <sheetName val="budget_2002_iss7"/>
      <sheetName val="SAP_Rules7"/>
      <sheetName val="P10_Volume-Dec-outstanding7"/>
      <sheetName val="Totale_Network7"/>
      <sheetName val="Bridge_027"/>
      <sheetName val="scarico_USD_Benchmark7"/>
      <sheetName val="Riep_x_società_-_Affitti7"/>
      <sheetName val="CAMPIONE_BK_EU7"/>
      <sheetName val="verifica_01-027"/>
      <sheetName val="capital_italiane7"/>
      <sheetName val="10)_Bloomberg_Data7"/>
      <sheetName val="Bloomberg_data_PricesHistorica7"/>
      <sheetName val="AFFARI_dati7"/>
      <sheetName val="Bubble_&amp;_Graphs6"/>
      <sheetName val="Existing_and_New_Debt5"/>
      <sheetName val="Inputs_residential5"/>
      <sheetName val="Working_Sheet_example5"/>
      <sheetName val="Elenco_chiuso5"/>
      <sheetName val="Elenchi_chiusi5"/>
      <sheetName val="Elechi_chiusi5"/>
      <sheetName val="Schedule_11_-_SFP3"/>
      <sheetName val="DB_CESSIONE_wrk3"/>
      <sheetName val="PP_Summary3"/>
      <sheetName val="Recap_Firma_UC_e_Reserves3"/>
      <sheetName val="Mensile_risultati1"/>
      <sheetName val="Mensile_flussi1"/>
      <sheetName val="Trimestrale_risultati1"/>
      <sheetName val="Trimestrale_flussi1"/>
      <sheetName val="MENSILE__20151"/>
      <sheetName val="MENSILE__20171"/>
      <sheetName val="MENSILE__20181"/>
      <sheetName val="MENSILE__20191"/>
      <sheetName val="MENSILE_20201"/>
      <sheetName val="dett_commissioni_setefi1"/>
      <sheetName val="CE_mensile_OLD1"/>
      <sheetName val="CE_ricl_new1"/>
      <sheetName val="Imposte_Trib_Sistema_Bancario1"/>
      <sheetName val="Rico_ASA_Bilanbio_Uff_Ricla1"/>
      <sheetName val="Rico_On_Op_Bilanbio_Uff_Ricla1"/>
      <sheetName val="Imposte_Oneri_di_Integrazione_1"/>
      <sheetName val="US Debt Industry Totals"/>
      <sheetName val="Foglio1_(2)8"/>
      <sheetName val="Azioni_italiane8"/>
      <sheetName val="price_to_book8"/>
      <sheetName val="NIM__CE-sintesi8"/>
      <sheetName val="BAV_INPUT8"/>
      <sheetName val="budget_2002_iss8"/>
      <sheetName val="SAP_Rules8"/>
      <sheetName val="P10_Volume-Dec-outstanding8"/>
      <sheetName val="Bridge_028"/>
      <sheetName val="Totale_Network8"/>
      <sheetName val="scarico_USD_Benchmark8"/>
      <sheetName val="Riep_x_società_-_Affitti8"/>
      <sheetName val="CAMPIONE_BK_EU8"/>
      <sheetName val="verifica_01-028"/>
      <sheetName val="capital_italiane8"/>
      <sheetName val="10)_Bloomberg_Data8"/>
      <sheetName val="Bloomberg_data_PricesHistorica8"/>
      <sheetName val="AFFARI_dati8"/>
      <sheetName val="Bubble_&amp;_Graphs7"/>
      <sheetName val="Existing_and_New_Debt6"/>
      <sheetName val="Inputs_residential6"/>
      <sheetName val="Working_Sheet_example6"/>
      <sheetName val="Elenco_chiuso6"/>
      <sheetName val="Elenchi_chiusi6"/>
      <sheetName val="Elechi_chiusi6"/>
      <sheetName val="Schedule_11_-_SFP4"/>
      <sheetName val="DB_CESSIONE_wrk4"/>
      <sheetName val="PP_Summary4"/>
      <sheetName val="Recap_Firma_UC_e_Reserves4"/>
      <sheetName val="Mensile_risultati2"/>
      <sheetName val="Mensile_flussi2"/>
      <sheetName val="Trimestrale_risultati2"/>
      <sheetName val="Trimestrale_flussi2"/>
      <sheetName val="MENSILE__20152"/>
      <sheetName val="MENSILE__20172"/>
      <sheetName val="MENSILE__20182"/>
      <sheetName val="MENSILE__20192"/>
      <sheetName val="MENSILE_20202"/>
      <sheetName val="dett_commissioni_setefi2"/>
      <sheetName val="CE_mensile_OLD2"/>
      <sheetName val="CE_ricl_new2"/>
      <sheetName val="Imposte_Trib_Sistema_Bancario2"/>
      <sheetName val="Rico_ASA_Bilanbio_Uff_Ricla2"/>
      <sheetName val="Rico_On_Op_Bilanbio_Uff_Ricla2"/>
      <sheetName val="Imposte_Oneri_di_Integrazione_2"/>
      <sheetName val="Gruppo_Net_Forecast"/>
      <sheetName val="Foglio1_(2)9"/>
      <sheetName val="Azioni_italiane9"/>
      <sheetName val="price_to_book9"/>
      <sheetName val="BAV_INPUT9"/>
      <sheetName val="NIM__CE-sintesi9"/>
      <sheetName val="budget_2002_iss9"/>
      <sheetName val="SAP_Rules9"/>
      <sheetName val="P10_Volume-Dec-outstanding9"/>
      <sheetName val="Totale_Network9"/>
      <sheetName val="scarico_USD_Benchmark9"/>
      <sheetName val="Bridge_029"/>
      <sheetName val="Riep_x_società_-_Affitti9"/>
      <sheetName val="CAMPIONE_BK_EU9"/>
      <sheetName val="verifica_01-029"/>
      <sheetName val="capital_italiane9"/>
      <sheetName val="10)_Bloomberg_Data9"/>
      <sheetName val="Bloomberg_data_PricesHistorica9"/>
      <sheetName val="AFFARI_dati9"/>
      <sheetName val="Bubble_&amp;_Graphs8"/>
      <sheetName val="Existing_and_New_Debt7"/>
      <sheetName val="Inputs_residential7"/>
      <sheetName val="Working_Sheet_example7"/>
      <sheetName val="Elenco_chiuso7"/>
      <sheetName val="Elenchi_chiusi7"/>
      <sheetName val="Elechi_chiusi7"/>
      <sheetName val="Schedule_11_-_SFP5"/>
      <sheetName val="DB_CESSIONE_wrk5"/>
      <sheetName val="PP_Summary5"/>
      <sheetName val="Recap_Firma_UC_e_Reserves5"/>
      <sheetName val="Mensile_risultati3"/>
      <sheetName val="Mensile_flussi3"/>
      <sheetName val="Trimestrale_risultati3"/>
      <sheetName val="Trimestrale_flussi3"/>
      <sheetName val="MENSILE__20153"/>
      <sheetName val="MENSILE__20173"/>
      <sheetName val="MENSILE__20183"/>
      <sheetName val="MENSILE__20193"/>
      <sheetName val="MENSILE_20203"/>
      <sheetName val="dett_commissioni_setefi3"/>
      <sheetName val="CE_mensile_OLD3"/>
      <sheetName val="CE_ricl_new3"/>
      <sheetName val="Imposte_Trib_Sistema_Bancario3"/>
      <sheetName val="Rico_ASA_Bilanbio_Uff_Ricla3"/>
      <sheetName val="Rico_On_Op_Bilanbio_Uff_Ricla3"/>
      <sheetName val="Imposte_Oneri_di_Integrazione_3"/>
      <sheetName val="Gruppo_Net_Forecast1"/>
      <sheetName val="US_Debt_Industry_Totals"/>
      <sheetName val="Bil30092022PBZLeasingdoo"/>
      <sheetName val="Foglio1_(2)10"/>
      <sheetName val="Azioni_italiane10"/>
      <sheetName val="price_to_book10"/>
      <sheetName val="NIM__CE-sintesi10"/>
      <sheetName val="BAV_INPUT10"/>
      <sheetName val="budget_2002_iss10"/>
      <sheetName val="SAP_Rules10"/>
      <sheetName val="P10_Volume-Dec-outstanding10"/>
      <sheetName val="Bridge_0210"/>
      <sheetName val="Totale_Network10"/>
      <sheetName val="scarico_USD_Benchmark10"/>
      <sheetName val="Riep_x_società_-_Affitti10"/>
      <sheetName val="CAMPIONE_BK_EU10"/>
      <sheetName val="verifica_01-0210"/>
      <sheetName val="capital_italiane10"/>
      <sheetName val="10)_Bloomberg_Data10"/>
      <sheetName val="Bloomberg_data_PricesHistoric10"/>
      <sheetName val="AFFARI_dati10"/>
      <sheetName val="Bubble_&amp;_Graphs9"/>
      <sheetName val="Existing_and_New_Debt8"/>
      <sheetName val="Inputs_residential8"/>
      <sheetName val="Working_Sheet_example8"/>
      <sheetName val="Elenco_chiuso8"/>
      <sheetName val="Elenchi_chiusi8"/>
      <sheetName val="Elechi_chiusi8"/>
      <sheetName val="Schedule_11_-_SFP6"/>
      <sheetName val="DB_CESSIONE_wrk6"/>
      <sheetName val="PP_Summary6"/>
      <sheetName val="Recap_Firma_UC_e_Reserves6"/>
      <sheetName val="Mensile_risultati4"/>
      <sheetName val="Mensile_flussi4"/>
      <sheetName val="Trimestrale_risultati4"/>
      <sheetName val="Trimestrale_flussi4"/>
      <sheetName val="MENSILE__20154"/>
      <sheetName val="MENSILE__20174"/>
      <sheetName val="MENSILE__20184"/>
      <sheetName val="MENSILE__20194"/>
      <sheetName val="MENSILE_20204"/>
      <sheetName val="dett_commissioni_setefi4"/>
      <sheetName val="CE_mensile_OLD4"/>
      <sheetName val="CE_ricl_new4"/>
      <sheetName val="Imposte_Trib_Sistema_Bancario4"/>
      <sheetName val="Rico_ASA_Bilanbio_Uff_Ricla4"/>
      <sheetName val="Rico_On_Op_Bilanbio_Uff_Ricla4"/>
      <sheetName val="Imposte_Oneri_di_Integrazione_4"/>
      <sheetName val="Gruppo_Net_Forecast2"/>
      <sheetName val="Foglio1_(2)11"/>
      <sheetName val="Azioni_italiane11"/>
      <sheetName val="price_to_book11"/>
      <sheetName val="NIM__CE-sintesi11"/>
      <sheetName val="BAV_INPUT11"/>
      <sheetName val="budget_2002_iss11"/>
      <sheetName val="SAP_Rules11"/>
      <sheetName val="P10_Volume-Dec-outstanding11"/>
      <sheetName val="Bridge_0211"/>
      <sheetName val="Totale_Network11"/>
      <sheetName val="scarico_USD_Benchmark11"/>
      <sheetName val="Riep_x_società_-_Affitti11"/>
      <sheetName val="CAMPIONE_BK_EU11"/>
      <sheetName val="verifica_01-0211"/>
      <sheetName val="capital_italiane11"/>
      <sheetName val="10)_Bloomberg_Data11"/>
      <sheetName val="Bloomberg_data_PricesHistoric11"/>
      <sheetName val="AFFARI_dati11"/>
      <sheetName val="Bubble_&amp;_Graphs10"/>
      <sheetName val="Existing_and_New_Debt9"/>
      <sheetName val="Inputs_residential9"/>
      <sheetName val="Working_Sheet_example9"/>
      <sheetName val="Elenco_chiuso9"/>
      <sheetName val="Elenchi_chiusi9"/>
      <sheetName val="Elechi_chiusi9"/>
      <sheetName val="Schedule_11_-_SFP7"/>
      <sheetName val="DB_CESSIONE_wrk7"/>
      <sheetName val="PP_Summary7"/>
      <sheetName val="Recap_Firma_UC_e_Reserves7"/>
      <sheetName val="Mensile_risultati5"/>
      <sheetName val="Mensile_flussi5"/>
      <sheetName val="Trimestrale_risultati5"/>
      <sheetName val="Trimestrale_flussi5"/>
      <sheetName val="MENSILE__20155"/>
      <sheetName val="MENSILE__20175"/>
      <sheetName val="MENSILE__20185"/>
      <sheetName val="MENSILE__20195"/>
      <sheetName val="MENSILE_20205"/>
      <sheetName val="dett_commissioni_setefi5"/>
      <sheetName val="CE_mensile_OLD5"/>
      <sheetName val="CE_ricl_new5"/>
      <sheetName val="Imposte_Trib_Sistema_Bancario5"/>
      <sheetName val="Rico_ASA_Bilanbio_Uff_Ricla5"/>
      <sheetName val="Rico_On_Op_Bilanbio_Uff_Ricla5"/>
      <sheetName val="Imposte_Oneri_di_Integrazione_5"/>
      <sheetName val="Gruppo_Net_Forecast3"/>
      <sheetName val="Foglio1_(2)12"/>
      <sheetName val="Azioni_italiane12"/>
      <sheetName val="price_to_book12"/>
      <sheetName val="NIM__CE-sintesi12"/>
      <sheetName val="BAV_INPUT12"/>
      <sheetName val="budget_2002_iss12"/>
      <sheetName val="SAP_Rules12"/>
      <sheetName val="P10_Volume-Dec-outstanding12"/>
      <sheetName val="Bridge_0212"/>
      <sheetName val="Totale_Network12"/>
      <sheetName val="scarico_USD_Benchmark12"/>
      <sheetName val="Riep_x_società_-_Affitti12"/>
      <sheetName val="CAMPIONE_BK_EU12"/>
      <sheetName val="verifica_01-0212"/>
      <sheetName val="capital_italiane12"/>
      <sheetName val="10)_Bloomberg_Data12"/>
      <sheetName val="Bloomberg_data_PricesHistoric12"/>
      <sheetName val="AFFARI_dati12"/>
      <sheetName val="Bubble_&amp;_Graphs11"/>
      <sheetName val="Existing_and_New_Debt10"/>
      <sheetName val="Inputs_residential10"/>
      <sheetName val="Working_Sheet_example10"/>
      <sheetName val="Elenco_chiuso10"/>
      <sheetName val="Elenchi_chiusi10"/>
      <sheetName val="Elechi_chiusi10"/>
      <sheetName val="Schedule_11_-_SFP8"/>
      <sheetName val="DB_CESSIONE_wrk8"/>
      <sheetName val="PP_Summary8"/>
      <sheetName val="Recap_Firma_UC_e_Reserves8"/>
      <sheetName val="Mensile_risultati6"/>
      <sheetName val="Mensile_flussi6"/>
      <sheetName val="Trimestrale_risultati6"/>
      <sheetName val="Trimestrale_flussi6"/>
      <sheetName val="MENSILE__20156"/>
      <sheetName val="MENSILE__20176"/>
      <sheetName val="MENSILE__20186"/>
      <sheetName val="MENSILE__20196"/>
      <sheetName val="MENSILE_20206"/>
      <sheetName val="dett_commissioni_setefi6"/>
      <sheetName val="CE_mensile_OLD6"/>
      <sheetName val="CE_ricl_new6"/>
      <sheetName val="Imposte_Trib_Sistema_Bancario6"/>
      <sheetName val="Rico_ASA_Bilanbio_Uff_Ricla6"/>
      <sheetName val="Rico_On_Op_Bilanbio_Uff_Ricla6"/>
      <sheetName val="Imposte_Oneri_di_Integrazione_6"/>
      <sheetName val="Gruppo_Net_Forecast4"/>
      <sheetName val="Foglio1_(2)13"/>
      <sheetName val="Azioni_italiane13"/>
      <sheetName val="price_to_book13"/>
      <sheetName val="NIM__CE-sintesi13"/>
      <sheetName val="budget_2002_iss13"/>
      <sheetName val="BAV_INPUT13"/>
      <sheetName val="SAP_Rules13"/>
      <sheetName val="P10_Volume-Dec-outstanding13"/>
      <sheetName val="Totale_Network13"/>
      <sheetName val="scarico_USD_Benchmark13"/>
      <sheetName val="Bridge_0213"/>
      <sheetName val="Riep_x_società_-_Affitti13"/>
      <sheetName val="CAMPIONE_BK_EU13"/>
      <sheetName val="verifica_01-0213"/>
      <sheetName val="capital_italiane13"/>
      <sheetName val="10)_Bloomberg_Data13"/>
      <sheetName val="Bloomberg_data_PricesHistoric13"/>
      <sheetName val="AFFARI_dati13"/>
      <sheetName val="Bubble_&amp;_Graphs12"/>
      <sheetName val="Existing_and_New_Debt11"/>
      <sheetName val="Inputs_residential11"/>
      <sheetName val="Working_Sheet_example11"/>
      <sheetName val="Elenco_chiuso11"/>
      <sheetName val="Elenchi_chiusi11"/>
      <sheetName val="Elechi_chiusi11"/>
      <sheetName val="Schedule_11_-_SFP9"/>
      <sheetName val="DB_CESSIONE_wrk9"/>
      <sheetName val="PP_Summary9"/>
      <sheetName val="Recap_Firma_UC_e_Reserves9"/>
      <sheetName val="Mensile_risultati7"/>
      <sheetName val="Mensile_flussi7"/>
      <sheetName val="Trimestrale_risultati7"/>
      <sheetName val="Trimestrale_flussi7"/>
      <sheetName val="MENSILE__20157"/>
      <sheetName val="MENSILE__20177"/>
      <sheetName val="MENSILE__20187"/>
      <sheetName val="MENSILE__20197"/>
      <sheetName val="MENSILE_20207"/>
      <sheetName val="dett_commissioni_setefi7"/>
      <sheetName val="CE_mensile_OLD7"/>
      <sheetName val="CE_ricl_new7"/>
      <sheetName val="Imposte_Trib_Sistema_Bancario7"/>
      <sheetName val="Rico_ASA_Bilanbio_Uff_Ricla7"/>
      <sheetName val="Rico_On_Op_Bilanbio_Uff_Ricla7"/>
      <sheetName val="Imposte_Oneri_di_Integrazione_7"/>
      <sheetName val="Gruppo_Net_Forecast5"/>
      <sheetName val="US_Debt_Industry_Totals2"/>
      <sheetName val="US_Debt_Industry_Totals1"/>
      <sheetName val="US_Debt_Industry_Totals3"/>
      <sheetName val="US_Debt_Industry_Totals4"/>
      <sheetName val="Foglio1_(2)14"/>
      <sheetName val="Azioni_italiane14"/>
      <sheetName val="price_to_book14"/>
      <sheetName val="BAV_INPUT14"/>
      <sheetName val="NIM__CE-sintesi14"/>
      <sheetName val="budget_2002_iss14"/>
      <sheetName val="SAP_Rules14"/>
      <sheetName val="P10_Volume-Dec-outstanding14"/>
      <sheetName val="Totale_Network14"/>
      <sheetName val="scarico_USD_Benchmark14"/>
      <sheetName val="Bridge_0214"/>
      <sheetName val="Riep_x_società_-_Affitti14"/>
      <sheetName val="CAMPIONE_BK_EU14"/>
      <sheetName val="verifica_01-0214"/>
      <sheetName val="capital_italiane14"/>
      <sheetName val="10)_Bloomberg_Data14"/>
      <sheetName val="Bloomberg_data_PricesHistoric14"/>
      <sheetName val="AFFARI_dati14"/>
      <sheetName val="Bubble_&amp;_Graphs13"/>
      <sheetName val="Existing_and_New_Debt12"/>
      <sheetName val="Inputs_residential12"/>
      <sheetName val="Working_Sheet_example12"/>
      <sheetName val="Elenco_chiuso12"/>
      <sheetName val="Elenchi_chiusi12"/>
      <sheetName val="Elechi_chiusi12"/>
      <sheetName val="Schedule_11_-_SFP10"/>
      <sheetName val="DB_CESSIONE_wrk10"/>
      <sheetName val="PP_Summary10"/>
      <sheetName val="Recap_Firma_UC_e_Reserves10"/>
      <sheetName val="Mensile_risultati8"/>
      <sheetName val="Mensile_flussi8"/>
      <sheetName val="Trimestrale_risultati8"/>
      <sheetName val="Trimestrale_flussi8"/>
      <sheetName val="MENSILE__20158"/>
      <sheetName val="MENSILE__20178"/>
      <sheetName val="MENSILE__20188"/>
      <sheetName val="MENSILE__20198"/>
      <sheetName val="MENSILE_20208"/>
      <sheetName val="dett_commissioni_setefi8"/>
      <sheetName val="CE_mensile_OLD8"/>
      <sheetName val="CE_ricl_new8"/>
      <sheetName val="Imposte_Trib_Sistema_Bancario8"/>
      <sheetName val="Rico_ASA_Bilanbio_Uff_Ricla8"/>
      <sheetName val="Rico_On_Op_Bilanbio_Uff_Ricla8"/>
      <sheetName val="Imposte_Oneri_di_Integrazione_8"/>
      <sheetName val="Gruppo_Net_Forecast6"/>
      <sheetName val="US_Debt_Industry_Totals5"/>
      <sheetName val="85"/>
      <sheetName val="Foglio1_(2)15"/>
      <sheetName val="Azioni_italiane15"/>
      <sheetName val="price_to_book15"/>
      <sheetName val="NIM__CE-sintesi15"/>
      <sheetName val="BAV_INPUT15"/>
      <sheetName val="budget_2002_iss15"/>
      <sheetName val="SAP_Rules15"/>
      <sheetName val="P10_Volume-Dec-outstanding15"/>
      <sheetName val="Bridge_0215"/>
      <sheetName val="Totale_Network15"/>
      <sheetName val="scarico_USD_Benchmark15"/>
      <sheetName val="Riep_x_società_-_Affitti15"/>
      <sheetName val="CAMPIONE_BK_EU15"/>
      <sheetName val="verifica_01-0215"/>
      <sheetName val="capital_italiane15"/>
      <sheetName val="10)_Bloomberg_Data15"/>
      <sheetName val="Bloomberg_data_PricesHistoric15"/>
      <sheetName val="AFFARI_dati15"/>
      <sheetName val="Bubble_&amp;_Graphs14"/>
      <sheetName val="Existing_and_New_Debt13"/>
      <sheetName val="Inputs_residential13"/>
      <sheetName val="Working_Sheet_example13"/>
      <sheetName val="Elenco_chiuso13"/>
      <sheetName val="Elenchi_chiusi13"/>
      <sheetName val="Elechi_chiusi13"/>
      <sheetName val="Schedule_11_-_SFP11"/>
      <sheetName val="DB_CESSIONE_wrk11"/>
      <sheetName val="PP_Summary11"/>
      <sheetName val="Recap_Firma_UC_e_Reserves11"/>
      <sheetName val="Mensile_risultati9"/>
      <sheetName val="Mensile_flussi9"/>
      <sheetName val="Trimestrale_risultati9"/>
      <sheetName val="Trimestrale_flussi9"/>
      <sheetName val="MENSILE__20159"/>
      <sheetName val="MENSILE__20179"/>
      <sheetName val="MENSILE__20189"/>
      <sheetName val="MENSILE__20199"/>
      <sheetName val="MENSILE_20209"/>
      <sheetName val="dett_commissioni_setefi9"/>
      <sheetName val="CE_mensile_OLD9"/>
      <sheetName val="CE_ricl_new9"/>
      <sheetName val="Imposte_Trib_Sistema_Bancario9"/>
      <sheetName val="Rico_ASA_Bilanbio_Uff_Ricla9"/>
      <sheetName val="Rico_On_Op_Bilanbio_Uff_Ricla9"/>
      <sheetName val="Imposte_Oneri_di_Integrazione_9"/>
      <sheetName val="Gruppo_Net_Forecast7"/>
      <sheetName val="US_Debt_Industry_Totals6"/>
      <sheetName val="Foglio1_(2)16"/>
      <sheetName val="Azioni_italiane16"/>
      <sheetName val="price_to_book16"/>
      <sheetName val="NIM__CE-sintesi16"/>
      <sheetName val="BAV_INPUT16"/>
      <sheetName val="budget_2002_iss16"/>
      <sheetName val="SAP_Rules16"/>
      <sheetName val="P10_Volume-Dec-outstanding16"/>
      <sheetName val="Totale_Network16"/>
      <sheetName val="Bridge_0216"/>
      <sheetName val="scarico_USD_Benchmark16"/>
      <sheetName val="Riep_x_società_-_Affitti16"/>
      <sheetName val="CAMPIONE_BK_EU16"/>
      <sheetName val="verifica_01-0216"/>
      <sheetName val="capital_italiane16"/>
      <sheetName val="10)_Bloomberg_Data16"/>
      <sheetName val="Bloomberg_data_PricesHistoric16"/>
      <sheetName val="AFFARI_dati16"/>
      <sheetName val="Bubble_&amp;_Graphs15"/>
      <sheetName val="Existing_and_New_Debt14"/>
      <sheetName val="Inputs_residential14"/>
      <sheetName val="Working_Sheet_example14"/>
      <sheetName val="Elenco_chiuso14"/>
      <sheetName val="Elenchi_chiusi14"/>
      <sheetName val="Elechi_chiusi14"/>
      <sheetName val="Schedule_11_-_SFP12"/>
      <sheetName val="DB_CESSIONE_wrk12"/>
      <sheetName val="PP_Summary12"/>
      <sheetName val="Recap_Firma_UC_e_Reserves12"/>
      <sheetName val="Mensile_risultati10"/>
      <sheetName val="Mensile_flussi10"/>
      <sheetName val="Trimestrale_risultati10"/>
      <sheetName val="Trimestrale_flussi10"/>
      <sheetName val="MENSILE__201510"/>
      <sheetName val="MENSILE__201710"/>
      <sheetName val="MENSILE__201810"/>
      <sheetName val="MENSILE__201910"/>
      <sheetName val="MENSILE_202010"/>
      <sheetName val="dett_commissioni_setefi10"/>
      <sheetName val="CE_mensile_OLD10"/>
      <sheetName val="CE_ricl_new10"/>
      <sheetName val="Imposte_Trib_Sistema_Bancario10"/>
      <sheetName val="Rico_ASA_Bilanbio_Uff_Ricla10"/>
      <sheetName val="Rico_On_Op_Bilanbio_Uff_Ricla10"/>
      <sheetName val="Imposte_Oneri_di_Integrazione10"/>
      <sheetName val="Gruppo_Net_Forecast8"/>
      <sheetName val="US_Debt_Industry_Totals7"/>
      <sheetName val="Foglio1_(2)17"/>
      <sheetName val="Azioni_italiane17"/>
      <sheetName val="price_to_book17"/>
      <sheetName val="NIM__CE-sintesi17"/>
      <sheetName val="BAV_INPUT17"/>
      <sheetName val="budget_2002_iss17"/>
      <sheetName val="SAP_Rules17"/>
      <sheetName val="P10_Volume-Dec-outstanding17"/>
      <sheetName val="Totale_Network17"/>
      <sheetName val="Bridge_0217"/>
      <sheetName val="scarico_USD_Benchmark17"/>
      <sheetName val="Riep_x_società_-_Affitti17"/>
      <sheetName val="CAMPIONE_BK_EU17"/>
      <sheetName val="verifica_01-0217"/>
      <sheetName val="capital_italiane17"/>
      <sheetName val="10)_Bloomberg_Data17"/>
      <sheetName val="Bloomberg_data_PricesHistoric17"/>
      <sheetName val="AFFARI_dati17"/>
      <sheetName val="Bubble_&amp;_Graphs16"/>
      <sheetName val="Existing_and_New_Debt15"/>
      <sheetName val="Inputs_residential15"/>
      <sheetName val="Working_Sheet_example15"/>
      <sheetName val="Elenco_chiuso15"/>
      <sheetName val="Elenchi_chiusi15"/>
      <sheetName val="Elechi_chiusi15"/>
      <sheetName val="Schedule_11_-_SFP13"/>
      <sheetName val="DB_CESSIONE_wrk13"/>
      <sheetName val="PP_Summary13"/>
      <sheetName val="Recap_Firma_UC_e_Reserves13"/>
      <sheetName val="Mensile_risultati11"/>
      <sheetName val="Mensile_flussi11"/>
      <sheetName val="Trimestrale_risultati11"/>
      <sheetName val="Trimestrale_flussi11"/>
      <sheetName val="MENSILE__201511"/>
      <sheetName val="MENSILE__201711"/>
      <sheetName val="MENSILE__201811"/>
      <sheetName val="MENSILE__201911"/>
      <sheetName val="MENSILE_202011"/>
      <sheetName val="dett_commissioni_setefi11"/>
      <sheetName val="CE_mensile_OLD11"/>
      <sheetName val="CE_ricl_new11"/>
      <sheetName val="Imposte_Trib_Sistema_Bancario11"/>
      <sheetName val="Rico_ASA_Bilanbio_Uff_Ricla11"/>
      <sheetName val="Rico_On_Op_Bilanbio_Uff_Ricla11"/>
      <sheetName val="Imposte_Oneri_di_Integrazione11"/>
      <sheetName val="Gruppo_Net_Forecast9"/>
      <sheetName val="US_Debt_Industry_Totals8"/>
      <sheetName val="Foglio1_(2)18"/>
      <sheetName val="Azioni_italiane18"/>
      <sheetName val="price_to_book18"/>
      <sheetName val="NIM__CE-sintesi18"/>
      <sheetName val="BAV_INPUT18"/>
      <sheetName val="budget_2002_iss18"/>
      <sheetName val="SAP_Rules18"/>
      <sheetName val="P10_Volume-Dec-outstanding18"/>
      <sheetName val="Totale_Network18"/>
      <sheetName val="Bridge_0218"/>
      <sheetName val="scarico_USD_Benchmark18"/>
      <sheetName val="Riep_x_società_-_Affitti18"/>
      <sheetName val="CAMPIONE_BK_EU18"/>
      <sheetName val="verifica_01-0218"/>
      <sheetName val="capital_italiane18"/>
      <sheetName val="10)_Bloomberg_Data18"/>
      <sheetName val="Bloomberg_data_PricesHistoric18"/>
      <sheetName val="AFFARI_dati18"/>
      <sheetName val="Bubble_&amp;_Graphs17"/>
      <sheetName val="Existing_and_New_Debt16"/>
      <sheetName val="Inputs_residential16"/>
      <sheetName val="Working_Sheet_example16"/>
      <sheetName val="Elenco_chiuso16"/>
      <sheetName val="Elenchi_chiusi16"/>
      <sheetName val="Elechi_chiusi16"/>
      <sheetName val="Schedule_11_-_SFP14"/>
      <sheetName val="DB_CESSIONE_wrk14"/>
      <sheetName val="PP_Summary14"/>
      <sheetName val="Recap_Firma_UC_e_Reserves14"/>
      <sheetName val="Mensile_risultati12"/>
      <sheetName val="Mensile_flussi12"/>
      <sheetName val="Trimestrale_risultati12"/>
      <sheetName val="Trimestrale_flussi12"/>
      <sheetName val="MENSILE__201512"/>
      <sheetName val="MENSILE__201712"/>
      <sheetName val="MENSILE__201812"/>
      <sheetName val="MENSILE__201912"/>
      <sheetName val="MENSILE_202012"/>
      <sheetName val="dett_commissioni_setefi12"/>
      <sheetName val="CE_mensile_OLD12"/>
      <sheetName val="CE_ricl_new12"/>
      <sheetName val="Imposte_Trib_Sistema_Bancario12"/>
      <sheetName val="Rico_ASA_Bilanbio_Uff_Ricla12"/>
      <sheetName val="Rico_On_Op_Bilanbio_Uff_Ricla12"/>
      <sheetName val="Imposte_Oneri_di_Integrazione12"/>
      <sheetName val="Gruppo_Net_Forecast10"/>
      <sheetName val="US_Debt_Industry_Totals9"/>
      <sheetName val="Foglio1_(2)19"/>
      <sheetName val="Azioni_italiane19"/>
      <sheetName val="price_to_book19"/>
      <sheetName val="NIM__CE-sintesi19"/>
      <sheetName val="BAV_INPUT19"/>
      <sheetName val="budget_2002_iss19"/>
      <sheetName val="SAP_Rules19"/>
      <sheetName val="P10_Volume-Dec-outstanding19"/>
      <sheetName val="Totale_Network19"/>
      <sheetName val="Bridge_0219"/>
      <sheetName val="scarico_USD_Benchmark19"/>
      <sheetName val="Riep_x_società_-_Affitti19"/>
      <sheetName val="CAMPIONE_BK_EU19"/>
      <sheetName val="verifica_01-0219"/>
      <sheetName val="capital_italiane19"/>
      <sheetName val="10)_Bloomberg_Data19"/>
      <sheetName val="Bloomberg_data_PricesHistoric19"/>
      <sheetName val="AFFARI_dati19"/>
      <sheetName val="Bubble_&amp;_Graphs18"/>
      <sheetName val="Existing_and_New_Debt17"/>
      <sheetName val="Inputs_residential17"/>
      <sheetName val="Working_Sheet_example17"/>
      <sheetName val="Elenco_chiuso17"/>
      <sheetName val="Elenchi_chiusi17"/>
      <sheetName val="Elechi_chiusi17"/>
      <sheetName val="Schedule_11_-_SFP15"/>
      <sheetName val="DB_CESSIONE_wrk15"/>
      <sheetName val="PP_Summary15"/>
      <sheetName val="Recap_Firma_UC_e_Reserves15"/>
      <sheetName val="Mensile_risultati13"/>
      <sheetName val="Mensile_flussi13"/>
      <sheetName val="Trimestrale_risultati13"/>
      <sheetName val="Trimestrale_flussi13"/>
      <sheetName val="MENSILE__201513"/>
      <sheetName val="MENSILE__201713"/>
      <sheetName val="MENSILE__201813"/>
      <sheetName val="MENSILE__201913"/>
      <sheetName val="MENSILE_202013"/>
      <sheetName val="dett_commissioni_setefi13"/>
      <sheetName val="CE_mensile_OLD13"/>
      <sheetName val="CE_ricl_new13"/>
      <sheetName val="Imposte_Trib_Sistema_Bancario13"/>
      <sheetName val="Rico_ASA_Bilanbio_Uff_Ricla13"/>
      <sheetName val="Rico_On_Op_Bilanbio_Uff_Ricla13"/>
      <sheetName val="Imposte_Oneri_di_Integrazione13"/>
      <sheetName val="Gruppo_Net_Forecast11"/>
      <sheetName val="US_Debt_Industry_Totals10"/>
    </sheetNames>
    <sheetDataSet>
      <sheetData sheetId="0" refreshError="1"/>
      <sheetData sheetId="1" refreshError="1"/>
      <sheetData sheetId="2" refreshError="1"/>
      <sheetData sheetId="3" refreshError="1">
        <row r="2">
          <cell r="A2">
            <v>36892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2">
          <cell r="A2">
            <v>36892</v>
          </cell>
        </row>
      </sheetData>
      <sheetData sheetId="28">
        <row r="2">
          <cell r="A2">
            <v>36892</v>
          </cell>
        </row>
      </sheetData>
      <sheetData sheetId="29">
        <row r="2">
          <cell r="A2">
            <v>36892</v>
          </cell>
        </row>
      </sheetData>
      <sheetData sheetId="30">
        <row r="2">
          <cell r="A2">
            <v>36892</v>
          </cell>
        </row>
      </sheetData>
      <sheetData sheetId="31">
        <row r="2">
          <cell r="A2">
            <v>36892</v>
          </cell>
        </row>
      </sheetData>
      <sheetData sheetId="32">
        <row r="2">
          <cell r="A2">
            <v>36892</v>
          </cell>
        </row>
      </sheetData>
      <sheetData sheetId="33">
        <row r="2">
          <cell r="A2">
            <v>36892</v>
          </cell>
        </row>
      </sheetData>
      <sheetData sheetId="34">
        <row r="2">
          <cell r="A2">
            <v>36892</v>
          </cell>
        </row>
      </sheetData>
      <sheetData sheetId="35">
        <row r="2">
          <cell r="A2">
            <v>36892</v>
          </cell>
        </row>
      </sheetData>
      <sheetData sheetId="36">
        <row r="2">
          <cell r="A2">
            <v>36892</v>
          </cell>
        </row>
      </sheetData>
      <sheetData sheetId="37">
        <row r="2">
          <cell r="A2">
            <v>36892</v>
          </cell>
        </row>
      </sheetData>
      <sheetData sheetId="38">
        <row r="2">
          <cell r="A2">
            <v>36892</v>
          </cell>
        </row>
      </sheetData>
      <sheetData sheetId="39">
        <row r="2">
          <cell r="A2">
            <v>36892</v>
          </cell>
        </row>
      </sheetData>
      <sheetData sheetId="40">
        <row r="2">
          <cell r="A2">
            <v>36892</v>
          </cell>
        </row>
      </sheetData>
      <sheetData sheetId="41">
        <row r="2">
          <cell r="A2">
            <v>36892</v>
          </cell>
        </row>
      </sheetData>
      <sheetData sheetId="42">
        <row r="2">
          <cell r="A2">
            <v>36892</v>
          </cell>
        </row>
      </sheetData>
      <sheetData sheetId="43">
        <row r="2">
          <cell r="A2">
            <v>36892</v>
          </cell>
        </row>
      </sheetData>
      <sheetData sheetId="44">
        <row r="2">
          <cell r="A2">
            <v>36892</v>
          </cell>
        </row>
      </sheetData>
      <sheetData sheetId="45" refreshError="1"/>
      <sheetData sheetId="46" refreshError="1"/>
      <sheetData sheetId="47" refreshError="1"/>
      <sheetData sheetId="48"/>
      <sheetData sheetId="49">
        <row r="2">
          <cell r="A2">
            <v>36892</v>
          </cell>
        </row>
      </sheetData>
      <sheetData sheetId="50"/>
      <sheetData sheetId="51"/>
      <sheetData sheetId="52">
        <row r="2">
          <cell r="A2">
            <v>36892</v>
          </cell>
        </row>
      </sheetData>
      <sheetData sheetId="53"/>
      <sheetData sheetId="54"/>
      <sheetData sheetId="55">
        <row r="2">
          <cell r="A2">
            <v>36892</v>
          </cell>
        </row>
      </sheetData>
      <sheetData sheetId="56"/>
      <sheetData sheetId="57"/>
      <sheetData sheetId="58">
        <row r="2">
          <cell r="A2">
            <v>36892</v>
          </cell>
        </row>
      </sheetData>
      <sheetData sheetId="59"/>
      <sheetData sheetId="60"/>
      <sheetData sheetId="61">
        <row r="2">
          <cell r="A2">
            <v>36892</v>
          </cell>
        </row>
      </sheetData>
      <sheetData sheetId="62"/>
      <sheetData sheetId="63"/>
      <sheetData sheetId="64">
        <row r="2">
          <cell r="A2">
            <v>36892</v>
          </cell>
        </row>
      </sheetData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>
        <row r="2">
          <cell r="A2">
            <v>36892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>
        <row r="2">
          <cell r="A2">
            <v>36892</v>
          </cell>
        </row>
      </sheetData>
      <sheetData sheetId="100">
        <row r="2">
          <cell r="A2">
            <v>36892</v>
          </cell>
        </row>
      </sheetData>
      <sheetData sheetId="101">
        <row r="2">
          <cell r="A2">
            <v>36892</v>
          </cell>
        </row>
      </sheetData>
      <sheetData sheetId="102">
        <row r="2">
          <cell r="A2">
            <v>36892</v>
          </cell>
        </row>
      </sheetData>
      <sheetData sheetId="103">
        <row r="2">
          <cell r="A2">
            <v>36892</v>
          </cell>
        </row>
      </sheetData>
      <sheetData sheetId="104">
        <row r="2">
          <cell r="A2">
            <v>36892</v>
          </cell>
        </row>
      </sheetData>
      <sheetData sheetId="105">
        <row r="2">
          <cell r="A2">
            <v>36892</v>
          </cell>
        </row>
      </sheetData>
      <sheetData sheetId="106">
        <row r="2">
          <cell r="A2">
            <v>36892</v>
          </cell>
        </row>
      </sheetData>
      <sheetData sheetId="107">
        <row r="2">
          <cell r="A2">
            <v>36892</v>
          </cell>
        </row>
      </sheetData>
      <sheetData sheetId="108">
        <row r="2">
          <cell r="A2">
            <v>36892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>
        <row r="2">
          <cell r="A2">
            <v>36892</v>
          </cell>
        </row>
      </sheetData>
      <sheetData sheetId="126"/>
      <sheetData sheetId="127"/>
      <sheetData sheetId="128"/>
      <sheetData sheetId="129"/>
      <sheetData sheetId="130">
        <row r="2">
          <cell r="A2" t="str">
            <v>(Euro/1000)</v>
          </cell>
        </row>
      </sheetData>
      <sheetData sheetId="131">
        <row r="2">
          <cell r="A2">
            <v>36892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>
        <row r="2">
          <cell r="A2" t="str">
            <v>(Euro/1000)</v>
          </cell>
        </row>
      </sheetData>
      <sheetData sheetId="143"/>
      <sheetData sheetId="144"/>
      <sheetData sheetId="145"/>
      <sheetData sheetId="146">
        <row r="2">
          <cell r="A2">
            <v>62</v>
          </cell>
        </row>
      </sheetData>
      <sheetData sheetId="147">
        <row r="2">
          <cell r="A2" t="str">
            <v>(Euro/1000)</v>
          </cell>
        </row>
      </sheetData>
      <sheetData sheetId="148">
        <row r="2">
          <cell r="A2">
            <v>36892</v>
          </cell>
        </row>
      </sheetData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>
        <row r="2">
          <cell r="A2">
            <v>62</v>
          </cell>
        </row>
      </sheetData>
      <sheetData sheetId="159">
        <row r="2">
          <cell r="A2" t="str">
            <v>(Euro/1000)</v>
          </cell>
        </row>
      </sheetData>
      <sheetData sheetId="160">
        <row r="2">
          <cell r="A2">
            <v>36892</v>
          </cell>
        </row>
      </sheetData>
      <sheetData sheetId="161"/>
      <sheetData sheetId="162"/>
      <sheetData sheetId="163">
        <row r="2">
          <cell r="A2">
            <v>62</v>
          </cell>
        </row>
      </sheetData>
      <sheetData sheetId="164"/>
      <sheetData sheetId="165">
        <row r="2">
          <cell r="A2">
            <v>36892</v>
          </cell>
        </row>
      </sheetData>
      <sheetData sheetId="166"/>
      <sheetData sheetId="167"/>
      <sheetData sheetId="168"/>
      <sheetData sheetId="169"/>
      <sheetData sheetId="170">
        <row r="2">
          <cell r="A2">
            <v>62</v>
          </cell>
        </row>
      </sheetData>
      <sheetData sheetId="171">
        <row r="2">
          <cell r="A2" t="str">
            <v>(Euro/1000)</v>
          </cell>
        </row>
      </sheetData>
      <sheetData sheetId="172">
        <row r="2">
          <cell r="A2">
            <v>36892</v>
          </cell>
        </row>
      </sheetData>
      <sheetData sheetId="173"/>
      <sheetData sheetId="174"/>
      <sheetData sheetId="175">
        <row r="2">
          <cell r="A2">
            <v>62</v>
          </cell>
        </row>
      </sheetData>
      <sheetData sheetId="176">
        <row r="2">
          <cell r="A2"/>
        </row>
      </sheetData>
      <sheetData sheetId="177" refreshError="1"/>
      <sheetData sheetId="178">
        <row r="2">
          <cell r="A2" t="str">
            <v>(Euro/1000)</v>
          </cell>
        </row>
      </sheetData>
      <sheetData sheetId="179">
        <row r="2">
          <cell r="A2">
            <v>36892</v>
          </cell>
        </row>
      </sheetData>
      <sheetData sheetId="180"/>
      <sheetData sheetId="181">
        <row r="2">
          <cell r="A2">
            <v>62</v>
          </cell>
        </row>
      </sheetData>
      <sheetData sheetId="182">
        <row r="2">
          <cell r="A2">
            <v>36892</v>
          </cell>
        </row>
      </sheetData>
      <sheetData sheetId="183"/>
      <sheetData sheetId="184">
        <row r="2">
          <cell r="A2">
            <v>36892</v>
          </cell>
        </row>
      </sheetData>
      <sheetData sheetId="185"/>
      <sheetData sheetId="186"/>
      <sheetData sheetId="187"/>
      <sheetData sheetId="188"/>
      <sheetData sheetId="189">
        <row r="2">
          <cell r="A2">
            <v>62</v>
          </cell>
        </row>
      </sheetData>
      <sheetData sheetId="190">
        <row r="2">
          <cell r="A2" t="str">
            <v>(Euro/1000)</v>
          </cell>
        </row>
      </sheetData>
      <sheetData sheetId="191">
        <row r="2">
          <cell r="A2">
            <v>36892</v>
          </cell>
        </row>
      </sheetData>
      <sheetData sheetId="192">
        <row r="2">
          <cell r="A2" t="str">
            <v>(Euro/1000)</v>
          </cell>
        </row>
      </sheetData>
      <sheetData sheetId="193"/>
      <sheetData sheetId="194">
        <row r="2">
          <cell r="A2">
            <v>62</v>
          </cell>
        </row>
      </sheetData>
      <sheetData sheetId="195"/>
      <sheetData sheetId="196">
        <row r="2">
          <cell r="A2">
            <v>36892</v>
          </cell>
        </row>
      </sheetData>
      <sheetData sheetId="197"/>
      <sheetData sheetId="198"/>
      <sheetData sheetId="199">
        <row r="2">
          <cell r="A2" t="str">
            <v>(Euro/1000)</v>
          </cell>
        </row>
      </sheetData>
      <sheetData sheetId="200"/>
      <sheetData sheetId="201"/>
      <sheetData sheetId="202"/>
      <sheetData sheetId="203">
        <row r="2">
          <cell r="A2">
            <v>36892</v>
          </cell>
        </row>
      </sheetData>
      <sheetData sheetId="204"/>
      <sheetData sheetId="205"/>
      <sheetData sheetId="206">
        <row r="2">
          <cell r="A2">
            <v>62</v>
          </cell>
        </row>
      </sheetData>
      <sheetData sheetId="207">
        <row r="2">
          <cell r="A2">
            <v>0</v>
          </cell>
        </row>
      </sheetData>
      <sheetData sheetId="208">
        <row r="2">
          <cell r="A2">
            <v>36892</v>
          </cell>
        </row>
      </sheetData>
      <sheetData sheetId="209">
        <row r="2">
          <cell r="A2">
            <v>0</v>
          </cell>
        </row>
      </sheetData>
      <sheetData sheetId="210">
        <row r="2">
          <cell r="A2">
            <v>36892</v>
          </cell>
        </row>
      </sheetData>
      <sheetData sheetId="211"/>
      <sheetData sheetId="212">
        <row r="2">
          <cell r="A2">
            <v>36892</v>
          </cell>
        </row>
      </sheetData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>
        <row r="2">
          <cell r="A2" t="str">
            <v>(Euro/1000)</v>
          </cell>
        </row>
      </sheetData>
      <sheetData sheetId="233"/>
      <sheetData sheetId="234">
        <row r="2">
          <cell r="A2" t="str">
            <v>(Euro/1000)</v>
          </cell>
        </row>
      </sheetData>
      <sheetData sheetId="235"/>
      <sheetData sheetId="236">
        <row r="2">
          <cell r="A2" t="str">
            <v>(Euro/1000)</v>
          </cell>
        </row>
      </sheetData>
      <sheetData sheetId="237"/>
      <sheetData sheetId="238">
        <row r="2">
          <cell r="A2" t="str">
            <v>(Euro/1000)</v>
          </cell>
        </row>
      </sheetData>
      <sheetData sheetId="239"/>
      <sheetData sheetId="240">
        <row r="2">
          <cell r="A2" t="str">
            <v>(Euro/1000)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>
        <row r="2">
          <cell r="A2">
            <v>36892</v>
          </cell>
        </row>
      </sheetData>
      <sheetData sheetId="250"/>
      <sheetData sheetId="251">
        <row r="2">
          <cell r="A2">
            <v>36892</v>
          </cell>
        </row>
      </sheetData>
      <sheetData sheetId="252"/>
      <sheetData sheetId="253">
        <row r="2">
          <cell r="A2">
            <v>36892</v>
          </cell>
        </row>
      </sheetData>
      <sheetData sheetId="254"/>
      <sheetData sheetId="255">
        <row r="2">
          <cell r="A2">
            <v>36892</v>
          </cell>
        </row>
      </sheetData>
      <sheetData sheetId="256"/>
      <sheetData sheetId="257">
        <row r="2">
          <cell r="A2">
            <v>36892</v>
          </cell>
        </row>
      </sheetData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>
        <row r="2">
          <cell r="A2" t="str">
            <v>(Euro/1000)</v>
          </cell>
        </row>
      </sheetData>
      <sheetData sheetId="278"/>
      <sheetData sheetId="279">
        <row r="2">
          <cell r="A2" t="str">
            <v>(Euro/1000)</v>
          </cell>
        </row>
      </sheetData>
      <sheetData sheetId="280"/>
      <sheetData sheetId="281">
        <row r="2">
          <cell r="A2" t="str">
            <v>(Euro/1000)</v>
          </cell>
        </row>
      </sheetData>
      <sheetData sheetId="282"/>
      <sheetData sheetId="283">
        <row r="2">
          <cell r="A2" t="str">
            <v>(Euro/1000)</v>
          </cell>
        </row>
      </sheetData>
      <sheetData sheetId="284"/>
      <sheetData sheetId="285">
        <row r="2">
          <cell r="A2" t="str">
            <v>(Euro/1000)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>
        <row r="2">
          <cell r="A2">
            <v>0</v>
          </cell>
        </row>
      </sheetData>
      <sheetData sheetId="294"/>
      <sheetData sheetId="295">
        <row r="2">
          <cell r="A2">
            <v>0</v>
          </cell>
        </row>
      </sheetData>
      <sheetData sheetId="296"/>
      <sheetData sheetId="297" refreshError="1"/>
      <sheetData sheetId="298">
        <row r="2">
          <cell r="A2">
            <v>36892</v>
          </cell>
        </row>
      </sheetData>
      <sheetData sheetId="299">
        <row r="2">
          <cell r="A2">
            <v>36892</v>
          </cell>
        </row>
      </sheetData>
      <sheetData sheetId="300">
        <row r="2">
          <cell r="A2">
            <v>36892</v>
          </cell>
        </row>
      </sheetData>
      <sheetData sheetId="301">
        <row r="2">
          <cell r="A2">
            <v>36892</v>
          </cell>
        </row>
      </sheetData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>
        <row r="2">
          <cell r="A2">
            <v>36892</v>
          </cell>
        </row>
      </sheetData>
      <sheetData sheetId="325">
        <row r="2">
          <cell r="A2" t="str">
            <v>(Euro/1000)</v>
          </cell>
        </row>
      </sheetData>
      <sheetData sheetId="326">
        <row r="2">
          <cell r="A2" t="str">
            <v>(Euro/1000)</v>
          </cell>
        </row>
      </sheetData>
      <sheetData sheetId="327">
        <row r="2">
          <cell r="A2" t="str">
            <v>(Euro/1000)</v>
          </cell>
        </row>
      </sheetData>
      <sheetData sheetId="328">
        <row r="2">
          <cell r="A2">
            <v>36892</v>
          </cell>
        </row>
      </sheetData>
      <sheetData sheetId="329">
        <row r="2">
          <cell r="A2" t="str">
            <v>(Euro/1000)</v>
          </cell>
        </row>
      </sheetData>
      <sheetData sheetId="330">
        <row r="2">
          <cell r="A2">
            <v>62</v>
          </cell>
        </row>
      </sheetData>
      <sheetData sheetId="331">
        <row r="2">
          <cell r="A2">
            <v>62</v>
          </cell>
        </row>
      </sheetData>
      <sheetData sheetId="332">
        <row r="2">
          <cell r="A2">
            <v>36892</v>
          </cell>
        </row>
      </sheetData>
      <sheetData sheetId="333">
        <row r="2">
          <cell r="A2">
            <v>36892</v>
          </cell>
        </row>
      </sheetData>
      <sheetData sheetId="334">
        <row r="2">
          <cell r="A2">
            <v>36892</v>
          </cell>
        </row>
      </sheetData>
      <sheetData sheetId="335">
        <row r="2">
          <cell r="A2">
            <v>36892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>
        <row r="2">
          <cell r="A2">
            <v>36892</v>
          </cell>
        </row>
      </sheetData>
      <sheetData sheetId="344">
        <row r="2">
          <cell r="A2">
            <v>36892</v>
          </cell>
        </row>
      </sheetData>
      <sheetData sheetId="345">
        <row r="2">
          <cell r="A2">
            <v>36892</v>
          </cell>
        </row>
      </sheetData>
      <sheetData sheetId="346">
        <row r="2">
          <cell r="A2">
            <v>36892</v>
          </cell>
        </row>
      </sheetData>
      <sheetData sheetId="347">
        <row r="2">
          <cell r="A2">
            <v>36892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2">
          <cell r="A2">
            <v>36892</v>
          </cell>
        </row>
      </sheetData>
      <sheetData sheetId="369">
        <row r="2">
          <cell r="A2">
            <v>36892</v>
          </cell>
        </row>
      </sheetData>
      <sheetData sheetId="370">
        <row r="2">
          <cell r="A2">
            <v>36892</v>
          </cell>
        </row>
      </sheetData>
      <sheetData sheetId="371">
        <row r="2">
          <cell r="A2">
            <v>36892</v>
          </cell>
        </row>
      </sheetData>
      <sheetData sheetId="372">
        <row r="2">
          <cell r="A2" t="str">
            <v>(Euro/1000)</v>
          </cell>
        </row>
      </sheetData>
      <sheetData sheetId="373">
        <row r="2">
          <cell r="A2" t="str">
            <v>(Euro/1000)</v>
          </cell>
        </row>
      </sheetData>
      <sheetData sheetId="374">
        <row r="2">
          <cell r="A2">
            <v>36892</v>
          </cell>
        </row>
      </sheetData>
      <sheetData sheetId="375">
        <row r="2">
          <cell r="A2" t="str">
            <v>(Euro/1000)</v>
          </cell>
        </row>
      </sheetData>
      <sheetData sheetId="376">
        <row r="2">
          <cell r="A2">
            <v>62</v>
          </cell>
        </row>
      </sheetData>
      <sheetData sheetId="377">
        <row r="2">
          <cell r="A2">
            <v>62</v>
          </cell>
        </row>
      </sheetData>
      <sheetData sheetId="378">
        <row r="2">
          <cell r="A2">
            <v>36892</v>
          </cell>
        </row>
      </sheetData>
      <sheetData sheetId="379">
        <row r="2">
          <cell r="A2">
            <v>36892</v>
          </cell>
        </row>
      </sheetData>
      <sheetData sheetId="380">
        <row r="2">
          <cell r="A2">
            <v>36892</v>
          </cell>
        </row>
      </sheetData>
      <sheetData sheetId="381">
        <row r="2">
          <cell r="A2">
            <v>36892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2">
          <cell r="A2" t="str">
            <v>S</v>
          </cell>
        </row>
      </sheetData>
      <sheetData sheetId="392"/>
      <sheetData sheetId="393">
        <row r="2">
          <cell r="A2">
            <v>36892</v>
          </cell>
        </row>
      </sheetData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>
        <row r="2">
          <cell r="A2">
            <v>36892</v>
          </cell>
        </row>
      </sheetData>
      <sheetData sheetId="419"/>
      <sheetData sheetId="420"/>
      <sheetData sheetId="421">
        <row r="2">
          <cell r="A2" t="str">
            <v>(Euro/1000)</v>
          </cell>
        </row>
      </sheetData>
      <sheetData sheetId="422">
        <row r="2">
          <cell r="A2">
            <v>36892</v>
          </cell>
        </row>
      </sheetData>
      <sheetData sheetId="423"/>
      <sheetData sheetId="424"/>
      <sheetData sheetId="425">
        <row r="2">
          <cell r="A2">
            <v>62</v>
          </cell>
        </row>
      </sheetData>
      <sheetData sheetId="426"/>
      <sheetData sheetId="427">
        <row r="2">
          <cell r="A2">
            <v>36892</v>
          </cell>
        </row>
      </sheetData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>
        <row r="2">
          <cell r="A2">
            <v>36892</v>
          </cell>
        </row>
      </sheetData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>
        <row r="2">
          <cell r="A2">
            <v>36892</v>
          </cell>
        </row>
      </sheetData>
      <sheetData sheetId="465"/>
      <sheetData sheetId="466"/>
      <sheetData sheetId="467">
        <row r="2">
          <cell r="A2" t="str">
            <v>(Euro/1000)</v>
          </cell>
        </row>
      </sheetData>
      <sheetData sheetId="468">
        <row r="2">
          <cell r="A2">
            <v>36892</v>
          </cell>
        </row>
      </sheetData>
      <sheetData sheetId="469"/>
      <sheetData sheetId="470"/>
      <sheetData sheetId="471">
        <row r="2">
          <cell r="A2">
            <v>62</v>
          </cell>
        </row>
      </sheetData>
      <sheetData sheetId="472"/>
      <sheetData sheetId="473">
        <row r="2">
          <cell r="A2">
            <v>36892</v>
          </cell>
        </row>
      </sheetData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>
        <row r="2">
          <cell r="A2">
            <v>36892</v>
          </cell>
        </row>
      </sheetData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2">
          <cell r="A2">
            <v>36892</v>
          </cell>
        </row>
      </sheetData>
      <sheetData sheetId="511"/>
      <sheetData sheetId="512"/>
      <sheetData sheetId="513">
        <row r="2">
          <cell r="A2" t="str">
            <v>(Euro/1000)</v>
          </cell>
        </row>
      </sheetData>
      <sheetData sheetId="514">
        <row r="2">
          <cell r="A2">
            <v>36892</v>
          </cell>
        </row>
      </sheetData>
      <sheetData sheetId="515"/>
      <sheetData sheetId="516"/>
      <sheetData sheetId="517">
        <row r="2">
          <cell r="A2">
            <v>62</v>
          </cell>
        </row>
      </sheetData>
      <sheetData sheetId="518"/>
      <sheetData sheetId="519">
        <row r="2">
          <cell r="A2">
            <v>36892</v>
          </cell>
        </row>
      </sheetData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>
        <row r="2">
          <cell r="A2">
            <v>36892</v>
          </cell>
        </row>
      </sheetData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>
        <row r="2">
          <cell r="A2">
            <v>36892</v>
          </cell>
        </row>
      </sheetData>
      <sheetData sheetId="557"/>
      <sheetData sheetId="558"/>
      <sheetData sheetId="559">
        <row r="2">
          <cell r="A2" t="str">
            <v>(Euro/1000)</v>
          </cell>
        </row>
      </sheetData>
      <sheetData sheetId="560">
        <row r="2">
          <cell r="A2">
            <v>36892</v>
          </cell>
        </row>
      </sheetData>
      <sheetData sheetId="561"/>
      <sheetData sheetId="562"/>
      <sheetData sheetId="563">
        <row r="2">
          <cell r="A2">
            <v>62</v>
          </cell>
        </row>
      </sheetData>
      <sheetData sheetId="564"/>
      <sheetData sheetId="565">
        <row r="2">
          <cell r="A2">
            <v>36892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>
        <row r="2">
          <cell r="A2">
            <v>36892</v>
          </cell>
        </row>
      </sheetData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>
        <row r="2">
          <cell r="A2">
            <v>36892</v>
          </cell>
        </row>
      </sheetData>
      <sheetData sheetId="607"/>
      <sheetData sheetId="608"/>
      <sheetData sheetId="609">
        <row r="2">
          <cell r="A2" t="str">
            <v>(Euro/1000)</v>
          </cell>
        </row>
      </sheetData>
      <sheetData sheetId="610">
        <row r="2">
          <cell r="A2">
            <v>36892</v>
          </cell>
        </row>
      </sheetData>
      <sheetData sheetId="611"/>
      <sheetData sheetId="612"/>
      <sheetData sheetId="613">
        <row r="2">
          <cell r="A2">
            <v>62</v>
          </cell>
        </row>
      </sheetData>
      <sheetData sheetId="614"/>
      <sheetData sheetId="615">
        <row r="2">
          <cell r="A2">
            <v>36892</v>
          </cell>
        </row>
      </sheetData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 refreshError="1"/>
      <sheetData sheetId="628"/>
      <sheetData sheetId="629">
        <row r="2">
          <cell r="A2">
            <v>36892</v>
          </cell>
        </row>
      </sheetData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>
        <row r="2">
          <cell r="A2">
            <v>36892</v>
          </cell>
        </row>
      </sheetData>
      <sheetData sheetId="655"/>
      <sheetData sheetId="656"/>
      <sheetData sheetId="657">
        <row r="2">
          <cell r="A2" t="str">
            <v>(Euro/1000)</v>
          </cell>
        </row>
      </sheetData>
      <sheetData sheetId="658">
        <row r="2">
          <cell r="A2">
            <v>36892</v>
          </cell>
        </row>
      </sheetData>
      <sheetData sheetId="659"/>
      <sheetData sheetId="660"/>
      <sheetData sheetId="661">
        <row r="2">
          <cell r="A2">
            <v>62</v>
          </cell>
        </row>
      </sheetData>
      <sheetData sheetId="662"/>
      <sheetData sheetId="663">
        <row r="2">
          <cell r="A2">
            <v>36892</v>
          </cell>
        </row>
      </sheetData>
      <sheetData sheetId="664"/>
      <sheetData sheetId="665"/>
      <sheetData sheetId="666"/>
      <sheetData sheetId="667"/>
      <sheetData sheetId="668"/>
      <sheetData sheetId="669">
        <row r="2">
          <cell r="A2" t="str">
            <v>(Euro/1000)</v>
          </cell>
        </row>
      </sheetData>
      <sheetData sheetId="670">
        <row r="2">
          <cell r="A2">
            <v>36892</v>
          </cell>
        </row>
      </sheetData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>
        <row r="2">
          <cell r="A2">
            <v>36892</v>
          </cell>
        </row>
      </sheetData>
      <sheetData sheetId="702"/>
      <sheetData sheetId="703"/>
      <sheetData sheetId="704">
        <row r="2">
          <cell r="A2" t="str">
            <v>(Euro/1000)</v>
          </cell>
        </row>
      </sheetData>
      <sheetData sheetId="705">
        <row r="2">
          <cell r="A2">
            <v>36892</v>
          </cell>
        </row>
      </sheetData>
      <sheetData sheetId="706"/>
      <sheetData sheetId="707"/>
      <sheetData sheetId="708">
        <row r="2">
          <cell r="A2">
            <v>62</v>
          </cell>
        </row>
      </sheetData>
      <sheetData sheetId="709"/>
      <sheetData sheetId="710">
        <row r="2">
          <cell r="A2">
            <v>36892</v>
          </cell>
        </row>
      </sheetData>
      <sheetData sheetId="711"/>
      <sheetData sheetId="712"/>
      <sheetData sheetId="713"/>
      <sheetData sheetId="714"/>
      <sheetData sheetId="715"/>
      <sheetData sheetId="716">
        <row r="2">
          <cell r="A2" t="str">
            <v>(Euro/1000)</v>
          </cell>
        </row>
      </sheetData>
      <sheetData sheetId="717">
        <row r="2">
          <cell r="A2">
            <v>36892</v>
          </cell>
        </row>
      </sheetData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>
        <row r="2">
          <cell r="A2">
            <v>36892</v>
          </cell>
        </row>
      </sheetData>
      <sheetData sheetId="749"/>
      <sheetData sheetId="750"/>
      <sheetData sheetId="751">
        <row r="2">
          <cell r="A2" t="str">
            <v>(Euro/1000)</v>
          </cell>
        </row>
      </sheetData>
      <sheetData sheetId="752">
        <row r="2">
          <cell r="A2">
            <v>36892</v>
          </cell>
        </row>
      </sheetData>
      <sheetData sheetId="753"/>
      <sheetData sheetId="754"/>
      <sheetData sheetId="755">
        <row r="2">
          <cell r="A2">
            <v>62</v>
          </cell>
        </row>
      </sheetData>
      <sheetData sheetId="756"/>
      <sheetData sheetId="757">
        <row r="2">
          <cell r="A2">
            <v>36892</v>
          </cell>
        </row>
      </sheetData>
      <sheetData sheetId="758"/>
      <sheetData sheetId="759"/>
      <sheetData sheetId="760"/>
      <sheetData sheetId="761"/>
      <sheetData sheetId="762">
        <row r="2">
          <cell r="A2">
            <v>62</v>
          </cell>
        </row>
      </sheetData>
      <sheetData sheetId="763">
        <row r="2">
          <cell r="A2" t="str">
            <v>(Euro/1000)</v>
          </cell>
        </row>
      </sheetData>
      <sheetData sheetId="764">
        <row r="2">
          <cell r="A2">
            <v>36892</v>
          </cell>
        </row>
      </sheetData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>
        <row r="2">
          <cell r="A2">
            <v>36892</v>
          </cell>
        </row>
      </sheetData>
      <sheetData sheetId="796"/>
      <sheetData sheetId="797"/>
      <sheetData sheetId="798">
        <row r="2">
          <cell r="A2" t="str">
            <v>(Euro/1000)</v>
          </cell>
        </row>
      </sheetData>
      <sheetData sheetId="799">
        <row r="2">
          <cell r="A2">
            <v>36892</v>
          </cell>
        </row>
      </sheetData>
      <sheetData sheetId="800"/>
      <sheetData sheetId="801"/>
      <sheetData sheetId="802">
        <row r="2">
          <cell r="A2">
            <v>62</v>
          </cell>
        </row>
      </sheetData>
      <sheetData sheetId="803"/>
      <sheetData sheetId="804">
        <row r="2">
          <cell r="A2">
            <v>36892</v>
          </cell>
        </row>
      </sheetData>
      <sheetData sheetId="805"/>
      <sheetData sheetId="806"/>
      <sheetData sheetId="807"/>
      <sheetData sheetId="808"/>
      <sheetData sheetId="809">
        <row r="2">
          <cell r="A2">
            <v>62</v>
          </cell>
        </row>
      </sheetData>
      <sheetData sheetId="810">
        <row r="2">
          <cell r="A2" t="str">
            <v>(Euro/1000)</v>
          </cell>
        </row>
      </sheetData>
      <sheetData sheetId="811">
        <row r="2">
          <cell r="A2">
            <v>36892</v>
          </cell>
        </row>
      </sheetData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>
        <row r="2">
          <cell r="A2">
            <v>36892</v>
          </cell>
        </row>
      </sheetData>
      <sheetData sheetId="843"/>
      <sheetData sheetId="844"/>
      <sheetData sheetId="845">
        <row r="2">
          <cell r="A2" t="str">
            <v>(Euro/1000)</v>
          </cell>
        </row>
      </sheetData>
      <sheetData sheetId="846">
        <row r="2">
          <cell r="A2">
            <v>36892</v>
          </cell>
        </row>
      </sheetData>
      <sheetData sheetId="847"/>
      <sheetData sheetId="848"/>
      <sheetData sheetId="849">
        <row r="2">
          <cell r="A2">
            <v>62</v>
          </cell>
        </row>
      </sheetData>
      <sheetData sheetId="850"/>
      <sheetData sheetId="851">
        <row r="2">
          <cell r="A2">
            <v>36892</v>
          </cell>
        </row>
      </sheetData>
      <sheetData sheetId="852"/>
      <sheetData sheetId="853"/>
      <sheetData sheetId="854"/>
      <sheetData sheetId="855"/>
      <sheetData sheetId="856">
        <row r="2">
          <cell r="A2">
            <v>62</v>
          </cell>
        </row>
      </sheetData>
      <sheetData sheetId="857">
        <row r="2">
          <cell r="A2" t="str">
            <v>(Euro/1000)</v>
          </cell>
        </row>
      </sheetData>
      <sheetData sheetId="858">
        <row r="2">
          <cell r="A2">
            <v>36892</v>
          </cell>
        </row>
      </sheetData>
      <sheetData sheetId="859"/>
      <sheetData sheetId="860"/>
      <sheetData sheetId="861"/>
      <sheetData sheetId="8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"/>
      <sheetName val="I-INV"/>
      <sheetName val="I-0. Investments details"/>
      <sheetName val="I-0. EIOPA RFR"/>
      <sheetName val="I-0.a1. Full TPT"/>
      <sheetName val="Base Exposure - Credit Ra (Ene)"/>
      <sheetName val="I-0.a1b 2024Q3 Investment Data"/>
      <sheetName val="I-0.a2. Converted TPT"/>
      <sheetName val="I-0.b. Classification rule"/>
      <sheetName val="I-0.d. Security classif"/>
      <sheetName val="I-1. IntRate"/>
      <sheetName val="I-2. Equity"/>
      <sheetName val="I-3. Property"/>
      <sheetName val="I-4. Spread"/>
      <sheetName val="I-5. Concent"/>
      <sheetName val="I-6. Currency"/>
      <sheetName val="I-7.SCR_Mkt"/>
      <sheetName val="II-NL"/>
      <sheetName val="Parameters"/>
      <sheetName val="II-0. Programs"/>
      <sheetName val="II-1. Existing"/>
      <sheetName val="Sheet1"/>
      <sheetName val="II-2. Future"/>
      <sheetName val="II-2. Ps Plast"/>
      <sheetName val="II-3. DIV"/>
      <sheetName val="II-4. Data for SCR_Pr&amp;Res"/>
      <sheetName val="II-5. SCR_Pr&amp;Res"/>
      <sheetName val="II-6a. NATCAT"/>
      <sheetName val="II - Annex -Property values"/>
      <sheetName val="WP - SCR_CAT Cap Calc"/>
      <sheetName val="II-6b. SCR_CAT"/>
      <sheetName val="II-7. SCR_NL"/>
      <sheetName val="II-8. SCR_Health_Pr&amp;Res"/>
      <sheetName val="II-9 SCR_Health_CAT "/>
      <sheetName val="II-10. SCR_Health"/>
      <sheetName val="III-DEF"/>
      <sheetName val="III-1. SCR_Def"/>
      <sheetName val="III-2. SCR_Def_RM"/>
      <sheetName val="IV-BE"/>
      <sheetName val="IV-2. BE_Pr"/>
      <sheetName val="IV-3. BE_Cl"/>
      <sheetName val="IV-4. BE_Pr_Ceded"/>
      <sheetName val="IV-5. BE_Cl_Ceded"/>
      <sheetName val="IV-6. Exp allocation"/>
      <sheetName val="IV-7. Summary BE"/>
      <sheetName val="Data - Premium"/>
      <sheetName val="Data - FX Adjustment"/>
      <sheetName val="Data - Property Reserves"/>
      <sheetName val="Data - Reserves"/>
      <sheetName val="V-RM"/>
      <sheetName val="V-Risk Margin_Method_1"/>
      <sheetName val="V - BE_fwd"/>
      <sheetName val="V-Risk Margin Method 2"/>
      <sheetName val="VI-Other"/>
      <sheetName val="VI-1. SCR_Op"/>
      <sheetName val="VI-2. BSCR, LADT, SCR"/>
      <sheetName val="VI-3. Balance Sheet"/>
      <sheetName val="Solvency Inputs -&gt;"/>
      <sheetName val="market inputs"/>
      <sheetName val="TP input"/>
      <sheetName val="Premium input"/>
      <sheetName val="MCR and QRT Input"/>
      <sheetName val="Report Tables"/>
      <sheetName val="S19 Inputs"/>
      <sheetName val="s31 Inp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2">
          <cell r="B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8.9999999999999993E-3</v>
          </cell>
          <cell r="N12">
            <v>1.0999999999999999E-2</v>
          </cell>
          <cell r="O12">
            <v>1.4E-2</v>
          </cell>
          <cell r="P12">
            <v>2.5000000000000001E-2</v>
          </cell>
          <cell r="Q12">
            <v>4.4999999999999998E-2</v>
          </cell>
          <cell r="R12">
            <v>7.4999999999999997E-2</v>
          </cell>
          <cell r="S12">
            <v>7.4999999999999997E-2</v>
          </cell>
          <cell r="T12">
            <v>0.03</v>
          </cell>
        </row>
        <row r="13">
          <cell r="B13">
            <v>1</v>
          </cell>
          <cell r="E13">
            <v>4.4999999999999998E-2</v>
          </cell>
          <cell r="F13">
            <v>5.4999999999999993E-2</v>
          </cell>
          <cell r="G13">
            <v>7.0000000000000007E-2</v>
          </cell>
          <cell r="H13">
            <v>0.125</v>
          </cell>
          <cell r="I13">
            <v>0.22499999999999998</v>
          </cell>
          <cell r="J13">
            <v>0.375</v>
          </cell>
          <cell r="K13">
            <v>0.375</v>
          </cell>
          <cell r="L13">
            <v>0.15</v>
          </cell>
          <cell r="M13">
            <v>5.0000000000000001E-3</v>
          </cell>
          <cell r="N13">
            <v>6.0000000000000001E-3</v>
          </cell>
          <cell r="O13">
            <v>7.0000000000000001E-3</v>
          </cell>
          <cell r="P13">
            <v>1.4999999999999999E-2</v>
          </cell>
          <cell r="Q13">
            <v>2.5000000000000001E-2</v>
          </cell>
          <cell r="R13">
            <v>4.2000000000000003E-2</v>
          </cell>
          <cell r="S13">
            <v>4.2000000000000003E-2</v>
          </cell>
          <cell r="T13">
            <v>1.7000000000000001E-2</v>
          </cell>
        </row>
        <row r="14">
          <cell r="B14">
            <v>1</v>
          </cell>
          <cell r="E14">
            <v>7.0000000000000007E-2</v>
          </cell>
          <cell r="F14">
            <v>8.4999999999999992E-2</v>
          </cell>
          <cell r="G14">
            <v>0.10500000000000001</v>
          </cell>
          <cell r="H14">
            <v>0.2</v>
          </cell>
          <cell r="I14">
            <v>0.35</v>
          </cell>
          <cell r="J14">
            <v>0.58499999999999996</v>
          </cell>
          <cell r="K14">
            <v>0.58499999999999996</v>
          </cell>
          <cell r="L14">
            <v>0.23499999999999999</v>
          </cell>
          <cell r="M14">
            <v>5.0000000000000001E-3</v>
          </cell>
          <cell r="N14">
            <v>5.0000000000000001E-3</v>
          </cell>
          <cell r="O14">
            <v>5.0000000000000001E-3</v>
          </cell>
          <cell r="P14">
            <v>0.01</v>
          </cell>
          <cell r="Q14">
            <v>1.7999999999999999E-2</v>
          </cell>
          <cell r="R14">
            <v>5.0000000000000001E-3</v>
          </cell>
          <cell r="S14">
            <v>5.0000000000000001E-3</v>
          </cell>
          <cell r="T14">
            <v>1.2E-2</v>
          </cell>
        </row>
        <row r="15">
          <cell r="B15">
            <v>1</v>
          </cell>
          <cell r="E15">
            <v>9.5000000000000001E-2</v>
          </cell>
          <cell r="F15">
            <v>0.10999999999999999</v>
          </cell>
          <cell r="G15">
            <v>0.13</v>
          </cell>
          <cell r="H15">
            <v>0.25</v>
          </cell>
          <cell r="I15">
            <v>0.43999999999999995</v>
          </cell>
          <cell r="J15">
            <v>0.61</v>
          </cell>
          <cell r="K15">
            <v>0.61</v>
          </cell>
          <cell r="L15">
            <v>0.29499999999999998</v>
          </cell>
          <cell r="M15">
            <v>5.0000000000000001E-3</v>
          </cell>
          <cell r="N15">
            <v>5.0000000000000001E-3</v>
          </cell>
          <cell r="O15">
            <v>5.0000000000000001E-3</v>
          </cell>
          <cell r="P15">
            <v>0.01</v>
          </cell>
          <cell r="Q15">
            <v>5.0000000000000001E-3</v>
          </cell>
          <cell r="R15">
            <v>5.0000000000000001E-3</v>
          </cell>
          <cell r="S15">
            <v>5.0000000000000001E-3</v>
          </cell>
          <cell r="T15">
            <v>1.2E-2</v>
          </cell>
        </row>
        <row r="16">
          <cell r="B16">
            <v>1</v>
          </cell>
          <cell r="E16">
            <v>0.12</v>
          </cell>
          <cell r="F16">
            <v>0.13499999999999998</v>
          </cell>
          <cell r="G16">
            <v>0.155</v>
          </cell>
          <cell r="H16">
            <v>0.3</v>
          </cell>
          <cell r="I16">
            <v>0.46500000000000002</v>
          </cell>
          <cell r="J16">
            <v>0.63500000000000001</v>
          </cell>
          <cell r="K16">
            <v>0.63500000000000001</v>
          </cell>
          <cell r="L16">
            <v>0.35499999999999998</v>
          </cell>
          <cell r="M16">
            <v>5.0000000000000001E-3</v>
          </cell>
          <cell r="N16">
            <v>5.0000000000000001E-3</v>
          </cell>
          <cell r="O16">
            <v>5.0000000000000001E-3</v>
          </cell>
          <cell r="P16">
            <v>5.0000000000000001E-3</v>
          </cell>
          <cell r="Q16">
            <v>5.0000000000000001E-3</v>
          </cell>
          <cell r="R16">
            <v>5.0000000000000001E-3</v>
          </cell>
          <cell r="S16">
            <v>5.0000000000000001E-3</v>
          </cell>
          <cell r="T16">
            <v>5.0000000000000001E-3</v>
          </cell>
        </row>
        <row r="17">
          <cell r="B17">
            <v>2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>
            <v>6.4000000000000003E-3</v>
          </cell>
          <cell r="N17">
            <v>7.7999999999999996E-3</v>
          </cell>
          <cell r="O17">
            <v>0.01</v>
          </cell>
          <cell r="P17">
            <v>1.67E-2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</row>
        <row r="18">
          <cell r="B18">
            <v>2</v>
          </cell>
          <cell r="E18">
            <v>3.2000000000000001E-2</v>
          </cell>
          <cell r="F18">
            <v>3.9E-2</v>
          </cell>
          <cell r="G18">
            <v>0.05</v>
          </cell>
          <cell r="H18">
            <v>8.3499999999999991E-2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>
            <v>3.5999999999999999E-3</v>
          </cell>
          <cell r="N18">
            <v>4.3E-3</v>
          </cell>
          <cell r="O18">
            <v>5.0000000000000001E-3</v>
          </cell>
          <cell r="P18">
            <v>0.01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</row>
        <row r="19">
          <cell r="B19">
            <v>2</v>
          </cell>
          <cell r="E19">
            <v>0.05</v>
          </cell>
          <cell r="F19">
            <v>6.0499999999999998E-2</v>
          </cell>
          <cell r="G19">
            <v>7.5000000000000011E-2</v>
          </cell>
          <cell r="H19">
            <v>0.13350000000000001</v>
          </cell>
          <cell r="I19" t="e">
            <v>#N/A</v>
          </cell>
          <cell r="J19" t="e">
            <v>#N/A</v>
          </cell>
          <cell r="K19" t="e">
            <v>#N/A</v>
          </cell>
          <cell r="L19" t="e">
            <v>#N/A</v>
          </cell>
          <cell r="M19">
            <v>3.5999999999999999E-3</v>
          </cell>
          <cell r="N19">
            <v>3.5999999999999999E-3</v>
          </cell>
          <cell r="O19">
            <v>3.5999999999999999E-3</v>
          </cell>
          <cell r="P19">
            <v>6.7000000000000002E-3</v>
          </cell>
          <cell r="Q19" t="e">
            <v>#N/A</v>
          </cell>
          <cell r="R19" t="e">
            <v>#N/A</v>
          </cell>
          <cell r="S19" t="e">
            <v>#N/A</v>
          </cell>
          <cell r="T19" t="e">
            <v>#N/A</v>
          </cell>
        </row>
        <row r="20">
          <cell r="B20">
            <v>2</v>
          </cell>
          <cell r="E20">
            <v>6.8000000000000005E-2</v>
          </cell>
          <cell r="F20">
            <v>7.85E-2</v>
          </cell>
          <cell r="G20">
            <v>9.3000000000000013E-2</v>
          </cell>
          <cell r="H20">
            <v>0.16700000000000001</v>
          </cell>
          <cell r="I20" t="e">
            <v>#N/A</v>
          </cell>
          <cell r="J20" t="e">
            <v>#N/A</v>
          </cell>
          <cell r="K20" t="e">
            <v>#N/A</v>
          </cell>
          <cell r="L20" t="e">
            <v>#N/A</v>
          </cell>
          <cell r="M20">
            <v>3.5999999999999999E-3</v>
          </cell>
          <cell r="N20">
            <v>3.5999999999999999E-3</v>
          </cell>
          <cell r="O20">
            <v>3.5999999999999999E-3</v>
          </cell>
          <cell r="P20">
            <v>6.7000000000000002E-3</v>
          </cell>
          <cell r="Q20" t="e">
            <v>#N/A</v>
          </cell>
          <cell r="R20" t="e">
            <v>#N/A</v>
          </cell>
          <cell r="S20" t="e">
            <v>#N/A</v>
          </cell>
          <cell r="T20" t="e">
            <v>#N/A</v>
          </cell>
        </row>
        <row r="21">
          <cell r="B21">
            <v>2</v>
          </cell>
          <cell r="E21">
            <v>8.6000000000000007E-2</v>
          </cell>
          <cell r="F21">
            <v>9.6500000000000002E-2</v>
          </cell>
          <cell r="G21">
            <v>0.11100000000000002</v>
          </cell>
          <cell r="H21">
            <v>0.20050000000000001</v>
          </cell>
          <cell r="I21" t="e">
            <v>#N/A</v>
          </cell>
          <cell r="J21" t="e">
            <v>#N/A</v>
          </cell>
          <cell r="K21" t="e">
            <v>#N/A</v>
          </cell>
          <cell r="L21" t="e">
            <v>#N/A</v>
          </cell>
          <cell r="M21">
            <v>3.5999999999999999E-3</v>
          </cell>
          <cell r="N21">
            <v>3.5999999999999999E-3</v>
          </cell>
          <cell r="O21">
            <v>3.5999999999999999E-3</v>
          </cell>
          <cell r="P21">
            <v>3.5999999999999999E-3</v>
          </cell>
          <cell r="Q21" t="e">
            <v>#N/A</v>
          </cell>
          <cell r="R21" t="e">
            <v>#N/A</v>
          </cell>
          <cell r="S21" t="e">
            <v>#N/A</v>
          </cell>
          <cell r="T21" t="e">
            <v>#N/A</v>
          </cell>
        </row>
        <row r="22">
          <cell r="B22">
            <v>3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 t="e">
            <v>#N/A</v>
          </cell>
          <cell r="J22" t="e">
            <v>#N/A</v>
          </cell>
          <cell r="K22" t="e">
            <v>#N/A</v>
          </cell>
          <cell r="L22" t="e">
            <v>#N/A</v>
          </cell>
          <cell r="M22">
            <v>6.7999999999999996E-3</v>
          </cell>
          <cell r="N22">
            <v>8.3000000000000001E-3</v>
          </cell>
          <cell r="O22">
            <v>1.0500000000000001E-2</v>
          </cell>
          <cell r="P22">
            <v>1.8800000000000001E-2</v>
          </cell>
          <cell r="Q22" t="e">
            <v>#N/A</v>
          </cell>
          <cell r="R22" t="e">
            <v>#N/A</v>
          </cell>
          <cell r="S22" t="e">
            <v>#N/A</v>
          </cell>
          <cell r="T22" t="e">
            <v>#N/A</v>
          </cell>
        </row>
        <row r="23">
          <cell r="B23">
            <v>3</v>
          </cell>
          <cell r="E23">
            <v>3.3799999999999997E-2</v>
          </cell>
          <cell r="F23">
            <v>4.1300000000000003E-2</v>
          </cell>
          <cell r="G23">
            <v>5.2500000000000005E-2</v>
          </cell>
          <cell r="H23">
            <v>9.3799999999999994E-2</v>
          </cell>
          <cell r="I23" t="e">
            <v>#N/A</v>
          </cell>
          <cell r="J23" t="e">
            <v>#N/A</v>
          </cell>
          <cell r="K23" t="e">
            <v>#N/A</v>
          </cell>
          <cell r="L23" t="e">
            <v>#N/A</v>
          </cell>
          <cell r="M23">
            <v>3.8E-3</v>
          </cell>
          <cell r="N23">
            <v>4.4999999999999997E-3</v>
          </cell>
          <cell r="O23">
            <v>5.3E-3</v>
          </cell>
          <cell r="P23">
            <v>1.1299999999999999E-2</v>
          </cell>
          <cell r="Q23" t="e">
            <v>#N/A</v>
          </cell>
          <cell r="R23" t="e">
            <v>#N/A</v>
          </cell>
          <cell r="S23" t="e">
            <v>#N/A</v>
          </cell>
          <cell r="T23" t="e">
            <v>#N/A</v>
          </cell>
        </row>
        <row r="24">
          <cell r="B24">
            <v>3</v>
          </cell>
          <cell r="E24">
            <v>5.2499999999999998E-2</v>
          </cell>
          <cell r="F24">
            <v>6.3799999999999996E-2</v>
          </cell>
          <cell r="G24">
            <v>7.8799999999999995E-2</v>
          </cell>
          <cell r="H24">
            <v>0.15</v>
          </cell>
          <cell r="I24" t="e">
            <v>#N/A</v>
          </cell>
          <cell r="J24" t="e">
            <v>#N/A</v>
          </cell>
          <cell r="K24" t="e">
            <v>#N/A</v>
          </cell>
          <cell r="L24" t="e">
            <v>#N/A</v>
          </cell>
          <cell r="M24">
            <v>3.8E-3</v>
          </cell>
          <cell r="N24">
            <v>3.8E-3</v>
          </cell>
          <cell r="O24">
            <v>3.8E-3</v>
          </cell>
          <cell r="P24">
            <v>7.4999999999999997E-3</v>
          </cell>
          <cell r="Q24" t="e">
            <v>#N/A</v>
          </cell>
          <cell r="R24" t="e">
            <v>#N/A</v>
          </cell>
          <cell r="S24" t="e">
            <v>#N/A</v>
          </cell>
          <cell r="T24" t="e">
            <v>#N/A</v>
          </cell>
        </row>
        <row r="25">
          <cell r="B25">
            <v>3</v>
          </cell>
          <cell r="E25">
            <v>7.1300000000000002E-2</v>
          </cell>
          <cell r="F25">
            <v>8.2500000000000004E-2</v>
          </cell>
          <cell r="G25">
            <v>9.7500000000000003E-2</v>
          </cell>
          <cell r="H25">
            <v>0.1875</v>
          </cell>
          <cell r="I25" t="e">
            <v>#N/A</v>
          </cell>
          <cell r="J25" t="e">
            <v>#N/A</v>
          </cell>
          <cell r="K25" t="e">
            <v>#N/A</v>
          </cell>
          <cell r="L25" t="e">
            <v>#N/A</v>
          </cell>
          <cell r="M25">
            <v>3.8E-3</v>
          </cell>
          <cell r="N25">
            <v>3.8E-3</v>
          </cell>
          <cell r="O25">
            <v>3.8E-3</v>
          </cell>
          <cell r="P25">
            <v>7.4999999999999997E-3</v>
          </cell>
          <cell r="Q25" t="e">
            <v>#N/A</v>
          </cell>
          <cell r="R25" t="e">
            <v>#N/A</v>
          </cell>
          <cell r="S25" t="e">
            <v>#N/A</v>
          </cell>
          <cell r="T25" t="e">
            <v>#N/A</v>
          </cell>
        </row>
        <row r="26">
          <cell r="B26">
            <v>3</v>
          </cell>
          <cell r="E26">
            <v>0.09</v>
          </cell>
          <cell r="F26">
            <v>0.1013</v>
          </cell>
          <cell r="G26">
            <v>0.1163</v>
          </cell>
          <cell r="H26">
            <v>0.22500000000000001</v>
          </cell>
          <cell r="I26" t="e">
            <v>#N/A</v>
          </cell>
          <cell r="J26" t="e">
            <v>#N/A</v>
          </cell>
          <cell r="K26" t="e">
            <v>#N/A</v>
          </cell>
          <cell r="L26" t="e">
            <v>#N/A</v>
          </cell>
          <cell r="M26">
            <v>3.8E-3</v>
          </cell>
          <cell r="N26">
            <v>3.8E-3</v>
          </cell>
          <cell r="O26">
            <v>3.8E-3</v>
          </cell>
          <cell r="P26">
            <v>3.8E-3</v>
          </cell>
          <cell r="Q26" t="e">
            <v>#N/A</v>
          </cell>
          <cell r="R26" t="e">
            <v>#N/A</v>
          </cell>
          <cell r="S26" t="e">
            <v>#N/A</v>
          </cell>
          <cell r="T26" t="e">
            <v>#N/A</v>
          </cell>
        </row>
        <row r="27">
          <cell r="B27">
            <v>4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 t="e">
            <v>#N/A</v>
          </cell>
          <cell r="J27" t="e">
            <v>#N/A</v>
          </cell>
          <cell r="K27" t="e">
            <v>#N/A</v>
          </cell>
          <cell r="L27" t="e">
            <v>#N/A</v>
          </cell>
          <cell r="M27">
            <v>2.1000000000000001E-2</v>
          </cell>
          <cell r="N27">
            <v>0.03</v>
          </cell>
          <cell r="O27">
            <v>0.03</v>
          </cell>
          <cell r="P27">
            <v>0.03</v>
          </cell>
          <cell r="Q27" t="e">
            <v>#N/A</v>
          </cell>
          <cell r="R27" t="e">
            <v>#N/A</v>
          </cell>
          <cell r="S27" t="e">
            <v>#N/A</v>
          </cell>
          <cell r="T27" t="e">
            <v>#N/A</v>
          </cell>
        </row>
        <row r="28">
          <cell r="B28">
            <v>5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0.125</v>
          </cell>
          <cell r="N28">
            <v>0.13400000000000001</v>
          </cell>
          <cell r="O28">
            <v>0.16600000000000001</v>
          </cell>
          <cell r="P28">
            <v>0.19700000000000001</v>
          </cell>
          <cell r="Q28">
            <v>0.82</v>
          </cell>
          <cell r="R28">
            <v>1</v>
          </cell>
          <cell r="S28">
            <v>1</v>
          </cell>
          <cell r="T28">
            <v>1</v>
          </cell>
        </row>
        <row r="29">
          <cell r="B29">
            <v>6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0.33</v>
          </cell>
          <cell r="N29">
            <v>0.4</v>
          </cell>
          <cell r="O29">
            <v>0.51</v>
          </cell>
          <cell r="P29">
            <v>0.91</v>
          </cell>
          <cell r="Q29">
            <v>1</v>
          </cell>
          <cell r="R29">
            <v>1</v>
          </cell>
          <cell r="S29">
            <v>1</v>
          </cell>
          <cell r="T29">
            <v>1</v>
          </cell>
        </row>
        <row r="30">
          <cell r="B30">
            <v>7</v>
          </cell>
          <cell r="E30">
            <v>0</v>
          </cell>
          <cell r="F30">
            <v>0</v>
          </cell>
          <cell r="G30" t="e">
            <v>#N/A</v>
          </cell>
          <cell r="H30" t="e">
            <v>#N/A</v>
          </cell>
          <cell r="I30" t="e">
            <v>#N/A</v>
          </cell>
          <cell r="J30" t="e">
            <v>#N/A</v>
          </cell>
          <cell r="K30" t="e">
            <v>#N/A</v>
          </cell>
          <cell r="L30" t="e">
            <v>#N/A</v>
          </cell>
          <cell r="M30">
            <v>7.0000000000000001E-3</v>
          </cell>
          <cell r="N30">
            <v>8.9999999999999993E-3</v>
          </cell>
          <cell r="O30" t="e">
            <v>#N/A</v>
          </cell>
          <cell r="P30" t="e">
            <v>#N/A</v>
          </cell>
          <cell r="Q30" t="e">
            <v>#N/A</v>
          </cell>
          <cell r="R30" t="e">
            <v>#N/A</v>
          </cell>
          <cell r="S30" t="e">
            <v>#N/A</v>
          </cell>
          <cell r="T30" t="e">
            <v>#N/A</v>
          </cell>
        </row>
        <row r="31">
          <cell r="B31">
            <v>7</v>
          </cell>
          <cell r="E31">
            <v>3.5000000000000003E-2</v>
          </cell>
          <cell r="F31">
            <v>4.4999999999999998E-2</v>
          </cell>
          <cell r="G31" t="e">
            <v>#N/A</v>
          </cell>
          <cell r="H31" t="e">
            <v>#N/A</v>
          </cell>
          <cell r="I31" t="e">
            <v>#N/A</v>
          </cell>
          <cell r="J31" t="e">
            <v>#N/A</v>
          </cell>
          <cell r="K31" t="e">
            <v>#N/A</v>
          </cell>
          <cell r="L31" t="e">
            <v>#N/A</v>
          </cell>
          <cell r="M31">
            <v>5.0000000000000001E-3</v>
          </cell>
          <cell r="N31">
            <v>5.0000000000000001E-3</v>
          </cell>
          <cell r="O31" t="e">
            <v>#N/A</v>
          </cell>
          <cell r="P31" t="e">
            <v>#N/A</v>
          </cell>
          <cell r="Q31" t="e">
            <v>#N/A</v>
          </cell>
          <cell r="R31" t="e">
            <v>#N/A</v>
          </cell>
          <cell r="S31" t="e">
            <v>#N/A</v>
          </cell>
          <cell r="T31" t="e">
            <v>#N/A</v>
          </cell>
        </row>
        <row r="32">
          <cell r="B32">
            <v>8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 t="e">
            <v>#N/A</v>
          </cell>
          <cell r="M32">
            <v>0</v>
          </cell>
          <cell r="N32">
            <v>0</v>
          </cell>
          <cell r="O32">
            <v>1.0999999999999999E-2</v>
          </cell>
          <cell r="P32">
            <v>1.4E-2</v>
          </cell>
          <cell r="Q32">
            <v>2.5000000000000001E-2</v>
          </cell>
          <cell r="R32">
            <v>4.4999999999999998E-2</v>
          </cell>
          <cell r="S32">
            <v>4.4999999999999998E-2</v>
          </cell>
          <cell r="T32" t="e">
            <v>#N/A</v>
          </cell>
        </row>
        <row r="33">
          <cell r="B33">
            <v>8</v>
          </cell>
          <cell r="E33">
            <v>0</v>
          </cell>
          <cell r="F33">
            <v>0</v>
          </cell>
          <cell r="G33">
            <v>5.4999999999999993E-2</v>
          </cell>
          <cell r="H33">
            <v>7.0000000000000007E-2</v>
          </cell>
          <cell r="I33">
            <v>0.125</v>
          </cell>
          <cell r="J33">
            <v>0.22499999999999998</v>
          </cell>
          <cell r="K33">
            <v>0.22499999999999998</v>
          </cell>
          <cell r="L33" t="e">
            <v>#N/A</v>
          </cell>
          <cell r="M33">
            <v>0</v>
          </cell>
          <cell r="N33">
            <v>0</v>
          </cell>
          <cell r="O33">
            <v>6.0000000000000001E-3</v>
          </cell>
          <cell r="P33">
            <v>7.0000000000000001E-3</v>
          </cell>
          <cell r="Q33">
            <v>1.4999999999999999E-2</v>
          </cell>
          <cell r="R33">
            <v>2.5000000000000001E-2</v>
          </cell>
          <cell r="S33">
            <v>2.5000000000000001E-2</v>
          </cell>
          <cell r="T33" t="e">
            <v>#N/A</v>
          </cell>
        </row>
        <row r="34">
          <cell r="B34">
            <v>8</v>
          </cell>
          <cell r="E34">
            <v>0</v>
          </cell>
          <cell r="F34">
            <v>0</v>
          </cell>
          <cell r="G34">
            <v>8.5000000000000006E-2</v>
          </cell>
          <cell r="H34">
            <v>0.10500000000000001</v>
          </cell>
          <cell r="I34">
            <v>0.2</v>
          </cell>
          <cell r="J34">
            <v>0.35</v>
          </cell>
          <cell r="K34">
            <v>0.35</v>
          </cell>
          <cell r="L34" t="e">
            <v>#N/A</v>
          </cell>
          <cell r="M34">
            <v>0</v>
          </cell>
          <cell r="N34">
            <v>0</v>
          </cell>
          <cell r="O34">
            <v>5.0000000000000001E-3</v>
          </cell>
          <cell r="P34">
            <v>5.0000000000000001E-3</v>
          </cell>
          <cell r="Q34">
            <v>0.01</v>
          </cell>
          <cell r="R34">
            <v>1.7999999999999999E-2</v>
          </cell>
          <cell r="S34">
            <v>1.7999999999999999E-2</v>
          </cell>
          <cell r="T34" t="e">
            <v>#N/A</v>
          </cell>
        </row>
        <row r="35">
          <cell r="B35">
            <v>8</v>
          </cell>
          <cell r="E35">
            <v>0</v>
          </cell>
          <cell r="F35">
            <v>0</v>
          </cell>
          <cell r="G35">
            <v>0.11</v>
          </cell>
          <cell r="H35">
            <v>0.13</v>
          </cell>
          <cell r="I35">
            <v>0.25</v>
          </cell>
          <cell r="J35">
            <v>0.43999999999999995</v>
          </cell>
          <cell r="K35">
            <v>0.43999999999999995</v>
          </cell>
          <cell r="L35" t="e">
            <v>#N/A</v>
          </cell>
          <cell r="M35">
            <v>0</v>
          </cell>
          <cell r="N35">
            <v>0</v>
          </cell>
          <cell r="O35">
            <v>5.0000000000000001E-3</v>
          </cell>
          <cell r="P35">
            <v>5.0000000000000001E-3</v>
          </cell>
          <cell r="Q35">
            <v>0.01</v>
          </cell>
          <cell r="R35">
            <v>5.0000000000000001E-3</v>
          </cell>
          <cell r="S35">
            <v>5.0000000000000001E-3</v>
          </cell>
          <cell r="T35" t="e">
            <v>#N/A</v>
          </cell>
        </row>
        <row r="36">
          <cell r="B36">
            <v>8</v>
          </cell>
          <cell r="E36">
            <v>0</v>
          </cell>
          <cell r="F36">
            <v>0</v>
          </cell>
          <cell r="G36">
            <v>0.13500000000000001</v>
          </cell>
          <cell r="H36">
            <v>0.155</v>
          </cell>
          <cell r="I36">
            <v>0.3</v>
          </cell>
          <cell r="J36">
            <v>0.46499999999999997</v>
          </cell>
          <cell r="K36">
            <v>0.46499999999999997</v>
          </cell>
          <cell r="L36" t="e">
            <v>#N/A</v>
          </cell>
          <cell r="M36">
            <v>0</v>
          </cell>
          <cell r="N36">
            <v>0</v>
          </cell>
          <cell r="O36">
            <v>5.0000000000000001E-3</v>
          </cell>
          <cell r="P36">
            <v>5.0000000000000001E-3</v>
          </cell>
          <cell r="Q36">
            <v>5.0000000000000001E-3</v>
          </cell>
          <cell r="R36">
            <v>5.0000000000000001E-3</v>
          </cell>
          <cell r="S36">
            <v>5.0000000000000001E-3</v>
          </cell>
          <cell r="T36" t="e">
            <v>#N/A</v>
          </cell>
        </row>
        <row r="37">
          <cell r="B37">
            <v>9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7.4999999999999997E-2</v>
          </cell>
          <cell r="N37">
            <v>7.4999999999999997E-2</v>
          </cell>
          <cell r="O37">
            <v>7.4999999999999997E-2</v>
          </cell>
          <cell r="P37">
            <v>7.4999999999999997E-2</v>
          </cell>
          <cell r="Q37">
            <v>7.4999999999999997E-2</v>
          </cell>
          <cell r="R37">
            <v>7.4999999999999997E-2</v>
          </cell>
          <cell r="S37">
            <v>7.4999999999999997E-2</v>
          </cell>
          <cell r="T37">
            <v>7.4999999999999997E-2</v>
          </cell>
        </row>
        <row r="38">
          <cell r="B38">
            <v>9</v>
          </cell>
          <cell r="E38">
            <v>0.375</v>
          </cell>
          <cell r="F38">
            <v>0.375</v>
          </cell>
          <cell r="G38">
            <v>0.375</v>
          </cell>
          <cell r="H38">
            <v>0.375</v>
          </cell>
          <cell r="I38">
            <v>0.375</v>
          </cell>
          <cell r="J38">
            <v>0.375</v>
          </cell>
          <cell r="K38">
            <v>0.375</v>
          </cell>
          <cell r="L38">
            <v>0.375</v>
          </cell>
          <cell r="M38">
            <v>4.2000000000000003E-2</v>
          </cell>
          <cell r="N38">
            <v>4.2000000000000003E-2</v>
          </cell>
          <cell r="O38">
            <v>4.2000000000000003E-2</v>
          </cell>
          <cell r="P38">
            <v>4.2000000000000003E-2</v>
          </cell>
          <cell r="Q38">
            <v>4.2000000000000003E-2</v>
          </cell>
          <cell r="R38">
            <v>4.2000000000000003E-2</v>
          </cell>
          <cell r="S38">
            <v>4.2000000000000003E-2</v>
          </cell>
          <cell r="T38">
            <v>4.2000000000000003E-2</v>
          </cell>
        </row>
        <row r="39">
          <cell r="B39">
            <v>9</v>
          </cell>
          <cell r="E39">
            <v>0.58499999999999996</v>
          </cell>
          <cell r="F39">
            <v>0.58499999999999996</v>
          </cell>
          <cell r="G39">
            <v>0.58499999999999996</v>
          </cell>
          <cell r="H39">
            <v>0.58499999999999996</v>
          </cell>
          <cell r="I39">
            <v>0.58499999999999996</v>
          </cell>
          <cell r="J39">
            <v>0.58499999999999996</v>
          </cell>
          <cell r="K39">
            <v>0.58499999999999996</v>
          </cell>
          <cell r="L39">
            <v>0.58499999999999996</v>
          </cell>
          <cell r="M39">
            <v>5.0000000000000001E-3</v>
          </cell>
          <cell r="N39">
            <v>5.0000000000000001E-3</v>
          </cell>
          <cell r="O39">
            <v>5.0000000000000001E-3</v>
          </cell>
          <cell r="P39">
            <v>5.0000000000000001E-3</v>
          </cell>
          <cell r="Q39">
            <v>5.0000000000000001E-3</v>
          </cell>
          <cell r="R39">
            <v>5.0000000000000001E-3</v>
          </cell>
          <cell r="S39">
            <v>5.0000000000000001E-3</v>
          </cell>
          <cell r="T39">
            <v>5.0000000000000001E-3</v>
          </cell>
        </row>
        <row r="40">
          <cell r="B40">
            <v>9</v>
          </cell>
          <cell r="E40">
            <v>0.61</v>
          </cell>
          <cell r="F40">
            <v>0.61</v>
          </cell>
          <cell r="G40">
            <v>0.61</v>
          </cell>
          <cell r="H40">
            <v>0.61</v>
          </cell>
          <cell r="I40">
            <v>0.61</v>
          </cell>
          <cell r="J40">
            <v>0.61</v>
          </cell>
          <cell r="K40">
            <v>0.61</v>
          </cell>
          <cell r="L40">
            <v>0.61</v>
          </cell>
          <cell r="M40">
            <v>5.0000000000000001E-3</v>
          </cell>
          <cell r="N40">
            <v>5.0000000000000001E-3</v>
          </cell>
          <cell r="O40">
            <v>5.0000000000000001E-3</v>
          </cell>
          <cell r="P40">
            <v>5.0000000000000001E-3</v>
          </cell>
          <cell r="Q40">
            <v>5.0000000000000001E-3</v>
          </cell>
          <cell r="R40">
            <v>5.0000000000000001E-3</v>
          </cell>
          <cell r="S40">
            <v>5.0000000000000001E-3</v>
          </cell>
          <cell r="T40">
            <v>5.0000000000000001E-3</v>
          </cell>
        </row>
        <row r="41">
          <cell r="B41">
            <v>9</v>
          </cell>
          <cell r="E41">
            <v>0.63500000000000001</v>
          </cell>
          <cell r="F41">
            <v>0.63500000000000001</v>
          </cell>
          <cell r="G41">
            <v>0.63500000000000001</v>
          </cell>
          <cell r="H41">
            <v>0.63500000000000001</v>
          </cell>
          <cell r="I41">
            <v>0.63500000000000001</v>
          </cell>
          <cell r="J41">
            <v>0.63500000000000001</v>
          </cell>
          <cell r="K41">
            <v>0.63500000000000001</v>
          </cell>
          <cell r="L41">
            <v>0.63500000000000001</v>
          </cell>
          <cell r="M41">
            <v>5.0000000000000001E-3</v>
          </cell>
          <cell r="N41">
            <v>5.0000000000000001E-3</v>
          </cell>
          <cell r="O41">
            <v>5.0000000000000001E-3</v>
          </cell>
          <cell r="P41">
            <v>5.0000000000000001E-3</v>
          </cell>
          <cell r="Q41">
            <v>5.0000000000000001E-3</v>
          </cell>
          <cell r="R41">
            <v>5.0000000000000001E-3</v>
          </cell>
          <cell r="S41">
            <v>5.0000000000000001E-3</v>
          </cell>
          <cell r="T41">
            <v>5.0000000000000001E-3</v>
          </cell>
        </row>
        <row r="42">
          <cell r="B42">
            <v>99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B43">
            <v>10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0.01</v>
          </cell>
          <cell r="N43">
            <v>1.2E-2</v>
          </cell>
          <cell r="O43">
            <v>1.6E-2</v>
          </cell>
          <cell r="P43">
            <v>2.8000000000000001E-2</v>
          </cell>
          <cell r="Q43">
            <v>5.6000000000000001E-2</v>
          </cell>
          <cell r="R43">
            <v>9.4E-2</v>
          </cell>
          <cell r="S43">
            <v>9.4E-2</v>
          </cell>
          <cell r="T43">
            <v>4.5999999999999999E-2</v>
          </cell>
        </row>
        <row r="44">
          <cell r="B44">
            <v>10</v>
          </cell>
          <cell r="E44">
            <v>0.05</v>
          </cell>
          <cell r="F44">
            <v>0.06</v>
          </cell>
          <cell r="G44">
            <v>0.08</v>
          </cell>
          <cell r="H44">
            <v>0.14000000000000001</v>
          </cell>
          <cell r="I44">
            <v>0.28000000000000003</v>
          </cell>
          <cell r="J44">
            <v>0.47</v>
          </cell>
          <cell r="K44">
            <v>0.47</v>
          </cell>
          <cell r="L44">
            <v>0.23</v>
          </cell>
          <cell r="M44">
            <v>6.0000000000000001E-3</v>
          </cell>
          <cell r="N44">
            <v>7.0000000000000001E-3</v>
          </cell>
          <cell r="O44">
            <v>8.0000000000000002E-3</v>
          </cell>
          <cell r="P44">
            <v>1.7000000000000001E-2</v>
          </cell>
          <cell r="Q44">
            <v>3.1E-2</v>
          </cell>
          <cell r="R44">
            <v>5.2999999999999999E-2</v>
          </cell>
          <cell r="S44">
            <v>5.2999999999999999E-2</v>
          </cell>
          <cell r="T44">
            <v>2.5000000000000001E-2</v>
          </cell>
        </row>
        <row r="45">
          <cell r="B45">
            <v>10</v>
          </cell>
          <cell r="E45">
            <v>0.08</v>
          </cell>
          <cell r="F45">
            <v>9.5000000000000001E-2</v>
          </cell>
          <cell r="G45">
            <v>0.12</v>
          </cell>
          <cell r="H45">
            <v>0.22500000000000001</v>
          </cell>
          <cell r="I45">
            <v>0.435</v>
          </cell>
          <cell r="J45">
            <v>0.73499999999999999</v>
          </cell>
          <cell r="K45">
            <v>0.73499999999999999</v>
          </cell>
          <cell r="L45">
            <v>0.35499999999999998</v>
          </cell>
          <cell r="M45">
            <v>6.0000000000000001E-3</v>
          </cell>
          <cell r="N45">
            <v>5.0000000000000001E-3</v>
          </cell>
          <cell r="O45">
            <v>6.0000000000000001E-3</v>
          </cell>
          <cell r="P45">
            <v>1.0999999999999999E-2</v>
          </cell>
          <cell r="Q45">
            <v>2.1999999999999999E-2</v>
          </cell>
          <cell r="R45">
            <v>6.0000000000000001E-3</v>
          </cell>
          <cell r="S45">
            <v>6.0000000000000001E-3</v>
          </cell>
          <cell r="T45">
            <v>1.7999999999999999E-2</v>
          </cell>
        </row>
        <row r="46">
          <cell r="B46">
            <v>10</v>
          </cell>
          <cell r="E46">
            <v>0.11</v>
          </cell>
          <cell r="F46">
            <v>0.12</v>
          </cell>
          <cell r="G46">
            <v>0.15</v>
          </cell>
          <cell r="H46">
            <v>0.28000000000000003</v>
          </cell>
          <cell r="I46">
            <v>0.54500000000000004</v>
          </cell>
          <cell r="J46">
            <v>0.76500000000000001</v>
          </cell>
          <cell r="K46">
            <v>0.76500000000000001</v>
          </cell>
          <cell r="L46">
            <v>0.44500000000000001</v>
          </cell>
          <cell r="M46">
            <v>6.0000000000000001E-3</v>
          </cell>
          <cell r="N46">
            <v>5.0000000000000001E-3</v>
          </cell>
          <cell r="O46">
            <v>6.0000000000000001E-3</v>
          </cell>
          <cell r="P46">
            <v>1.0999999999999999E-2</v>
          </cell>
          <cell r="Q46">
            <v>6.0000000000000001E-3</v>
          </cell>
          <cell r="R46">
            <v>6.0000000000000001E-3</v>
          </cell>
          <cell r="S46">
            <v>6.0000000000000001E-3</v>
          </cell>
          <cell r="T46">
            <v>5.0000000000000001E-3</v>
          </cell>
        </row>
        <row r="47">
          <cell r="B47">
            <v>10</v>
          </cell>
          <cell r="E47">
            <v>0.14000000000000001</v>
          </cell>
          <cell r="F47">
            <v>0.14499999999999999</v>
          </cell>
          <cell r="G47">
            <v>0.18</v>
          </cell>
          <cell r="H47">
            <v>0.33500000000000002</v>
          </cell>
          <cell r="I47">
            <v>0.57499999999999996</v>
          </cell>
          <cell r="J47">
            <v>0.79500000000000004</v>
          </cell>
          <cell r="K47">
            <v>0.79500000000000004</v>
          </cell>
          <cell r="L47">
            <v>0.47</v>
          </cell>
          <cell r="M47">
            <v>6.0000000000000001E-3</v>
          </cell>
          <cell r="N47">
            <v>5.0000000000000001E-3</v>
          </cell>
          <cell r="O47">
            <v>6.0000000000000001E-3</v>
          </cell>
          <cell r="P47">
            <v>6.0000000000000001E-3</v>
          </cell>
          <cell r="Q47">
            <v>6.0000000000000001E-3</v>
          </cell>
          <cell r="R47">
            <v>6.0000000000000001E-3</v>
          </cell>
          <cell r="S47">
            <v>6.0000000000000001E-3</v>
          </cell>
          <cell r="T47">
            <v>5.0000000000000001E-3</v>
          </cell>
        </row>
        <row r="48">
          <cell r="B48">
            <v>11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2.8000000000000001E-2</v>
          </cell>
          <cell r="N48">
            <v>3.4000000000000002E-2</v>
          </cell>
          <cell r="O48">
            <v>4.5999999999999999E-2</v>
          </cell>
          <cell r="P48">
            <v>7.9000000000000001E-2</v>
          </cell>
          <cell r="Q48">
            <v>0.158</v>
          </cell>
          <cell r="R48">
            <v>0.26700000000000002</v>
          </cell>
          <cell r="S48">
            <v>0.26700000000000002</v>
          </cell>
          <cell r="T48">
            <v>0.26700000000000002</v>
          </cell>
        </row>
        <row r="49">
          <cell r="B49">
            <v>11</v>
          </cell>
          <cell r="E49">
            <v>0.14000000000000001</v>
          </cell>
          <cell r="F49">
            <v>0.17</v>
          </cell>
          <cell r="G49">
            <v>0.23</v>
          </cell>
          <cell r="H49">
            <v>0.39500000000000002</v>
          </cell>
          <cell r="I49">
            <v>0.79</v>
          </cell>
          <cell r="J49">
            <v>1</v>
          </cell>
          <cell r="K49">
            <v>1</v>
          </cell>
          <cell r="L49">
            <v>1</v>
          </cell>
          <cell r="M49">
            <v>1.6E-2</v>
          </cell>
          <cell r="N49">
            <v>1.9E-2</v>
          </cell>
          <cell r="O49">
            <v>2.3E-2</v>
          </cell>
          <cell r="P49">
            <v>4.7E-2</v>
          </cell>
          <cell r="Q49">
            <v>8.7999999999999995E-2</v>
          </cell>
          <cell r="R49">
            <v>0</v>
          </cell>
          <cell r="S49">
            <v>0</v>
          </cell>
          <cell r="T49">
            <v>0</v>
          </cell>
        </row>
        <row r="50">
          <cell r="B50">
            <v>11</v>
          </cell>
          <cell r="E50">
            <v>0.22</v>
          </cell>
          <cell r="F50">
            <v>0.26500000000000001</v>
          </cell>
          <cell r="G50">
            <v>0.34499999999999997</v>
          </cell>
          <cell r="H50">
            <v>0.63</v>
          </cell>
          <cell r="I50">
            <v>1</v>
          </cell>
          <cell r="J50">
            <v>1</v>
          </cell>
          <cell r="K50">
            <v>1</v>
          </cell>
          <cell r="L50">
            <v>1</v>
          </cell>
          <cell r="M50">
            <v>1.6E-2</v>
          </cell>
          <cell r="N50">
            <v>1.4999999999999999E-2</v>
          </cell>
          <cell r="O50">
            <v>1.6E-2</v>
          </cell>
          <cell r="P50">
            <v>3.2000000000000001E-2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B51">
            <v>11</v>
          </cell>
          <cell r="E51">
            <v>0.3</v>
          </cell>
          <cell r="F51">
            <v>0.34</v>
          </cell>
          <cell r="G51">
            <v>0.42499999999999999</v>
          </cell>
          <cell r="H51">
            <v>0.79</v>
          </cell>
          <cell r="I51">
            <v>1</v>
          </cell>
          <cell r="J51">
            <v>1</v>
          </cell>
          <cell r="K51">
            <v>1</v>
          </cell>
          <cell r="L51">
            <v>1</v>
          </cell>
          <cell r="M51">
            <v>1.6E-2</v>
          </cell>
          <cell r="N51">
            <v>1.4999999999999999E-2</v>
          </cell>
          <cell r="O51">
            <v>1.6E-2</v>
          </cell>
          <cell r="P51">
            <v>3.2000000000000001E-2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B52">
            <v>11</v>
          </cell>
          <cell r="E52">
            <v>0.38</v>
          </cell>
          <cell r="F52">
            <v>0.41499999999999998</v>
          </cell>
          <cell r="G52">
            <v>0.505</v>
          </cell>
          <cell r="H52">
            <v>0.95</v>
          </cell>
          <cell r="I52">
            <v>1</v>
          </cell>
          <cell r="J52">
            <v>1</v>
          </cell>
          <cell r="K52">
            <v>1</v>
          </cell>
          <cell r="L52">
            <v>1</v>
          </cell>
          <cell r="M52">
            <v>1.6E-2</v>
          </cell>
          <cell r="N52">
            <v>1.4999999999999999E-2</v>
          </cell>
          <cell r="O52">
            <v>1.6E-2</v>
          </cell>
          <cell r="P52">
            <v>1.6E-2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</row>
        <row r="53">
          <cell r="B53">
            <v>12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65">
          <cell r="G65">
            <v>0.95</v>
          </cell>
        </row>
        <row r="66">
          <cell r="G66">
            <v>1</v>
          </cell>
        </row>
        <row r="67">
          <cell r="G67">
            <v>1.22</v>
          </cell>
        </row>
        <row r="68">
          <cell r="G68">
            <v>1.75</v>
          </cell>
        </row>
        <row r="69">
          <cell r="G69">
            <v>1.96</v>
          </cell>
        </row>
        <row r="81">
          <cell r="C81">
            <v>1</v>
          </cell>
          <cell r="D81">
            <v>0.5</v>
          </cell>
          <cell r="E81">
            <v>0.5</v>
          </cell>
          <cell r="F81">
            <v>0.5</v>
          </cell>
          <cell r="G81">
            <v>0</v>
          </cell>
          <cell r="H81">
            <v>0.25</v>
          </cell>
        </row>
        <row r="82">
          <cell r="C82">
            <v>0.5</v>
          </cell>
          <cell r="D82">
            <v>1</v>
          </cell>
          <cell r="E82">
            <v>0.75</v>
          </cell>
          <cell r="F82">
            <v>0.75</v>
          </cell>
          <cell r="G82">
            <v>0</v>
          </cell>
          <cell r="H82">
            <v>0.25</v>
          </cell>
        </row>
        <row r="83">
          <cell r="C83">
            <v>0.5</v>
          </cell>
          <cell r="D83">
            <v>0.75</v>
          </cell>
          <cell r="E83">
            <v>1</v>
          </cell>
          <cell r="F83">
            <v>0.5</v>
          </cell>
          <cell r="G83">
            <v>0</v>
          </cell>
          <cell r="H83">
            <v>0.25</v>
          </cell>
        </row>
        <row r="84">
          <cell r="C84">
            <v>0.5</v>
          </cell>
          <cell r="D84">
            <v>0.75</v>
          </cell>
          <cell r="E84">
            <v>0.5</v>
          </cell>
          <cell r="F84">
            <v>1</v>
          </cell>
          <cell r="G84">
            <v>0</v>
          </cell>
          <cell r="H84">
            <v>0.25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1</v>
          </cell>
          <cell r="H85">
            <v>0</v>
          </cell>
        </row>
        <row r="86">
          <cell r="C86">
            <v>0.25</v>
          </cell>
          <cell r="D86">
            <v>0.25</v>
          </cell>
          <cell r="E86">
            <v>0.25</v>
          </cell>
          <cell r="F86">
            <v>0.25</v>
          </cell>
          <cell r="G86">
            <v>0</v>
          </cell>
          <cell r="H86">
            <v>1</v>
          </cell>
        </row>
      </sheetData>
      <sheetData sheetId="19">
        <row r="3">
          <cell r="J3" t="str">
            <v>Coverage Period</v>
          </cell>
        </row>
      </sheetData>
      <sheetData sheetId="20"/>
      <sheetData sheetId="21"/>
      <sheetData sheetId="22"/>
      <sheetData sheetId="23"/>
      <sheetData sheetId="24"/>
      <sheetData sheetId="25"/>
      <sheetData sheetId="26">
        <row r="4">
          <cell r="N4">
            <v>1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1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</row>
        <row r="5">
          <cell r="N5">
            <v>0</v>
          </cell>
          <cell r="O5">
            <v>1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1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</row>
        <row r="6">
          <cell r="N6">
            <v>0</v>
          </cell>
          <cell r="O6">
            <v>0</v>
          </cell>
          <cell r="P6">
            <v>1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1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1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1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1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1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1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1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1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1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1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</row>
        <row r="12"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1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1</v>
          </cell>
          <cell r="AF12">
            <v>0</v>
          </cell>
          <cell r="AG12">
            <v>0</v>
          </cell>
          <cell r="AH12">
            <v>0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  <cell r="AH13">
            <v>0</v>
          </cell>
        </row>
        <row r="14"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1</v>
          </cell>
          <cell r="AH14">
            <v>0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1</v>
          </cell>
        </row>
        <row r="18"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1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1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</row>
        <row r="20"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1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</row>
        <row r="21"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1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</row>
        <row r="22"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</row>
        <row r="23"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1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</row>
        <row r="24"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</row>
        <row r="25"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1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</row>
        <row r="26"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1</v>
          </cell>
          <cell r="AF26">
            <v>0</v>
          </cell>
          <cell r="AG26">
            <v>0</v>
          </cell>
          <cell r="AH26">
            <v>0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1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1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</row>
        <row r="30"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1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</row>
        <row r="31"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</row>
        <row r="32"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1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1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1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1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1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  <row r="38"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1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39"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</row>
        <row r="42"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</row>
        <row r="43"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</row>
        <row r="44"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</row>
        <row r="45"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</row>
        <row r="47"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</row>
        <row r="48"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19">
          <cell r="B19">
            <v>37049511.160409562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Summary=&gt;"/>
      <sheetName val="Summary BEL"/>
      <sheetName val="Summary Sinistri"/>
      <sheetName val="Summary Premi"/>
      <sheetName val="INPUT=&gt;"/>
      <sheetName val="Rfr"/>
      <sheetName val="Curva_Q1 2019"/>
      <sheetName val="CF BEL Sinistri"/>
      <sheetName val="CF BEL Premi_Plai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7">
          <cell r="C7">
            <v>-3.3E-3</v>
          </cell>
        </row>
      </sheetData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Febbraio25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-410761441.88604856</v>
          </cell>
        </row>
        <row r="6">
          <cell r="L6">
            <v>-221463796.43262094</v>
          </cell>
        </row>
        <row r="7">
          <cell r="L7">
            <v>-110286279.41700368</v>
          </cell>
        </row>
        <row r="8">
          <cell r="L8">
            <v>-61569787.045042247</v>
          </cell>
        </row>
        <row r="9">
          <cell r="L9">
            <v>-44622320.258215055</v>
          </cell>
        </row>
        <row r="10">
          <cell r="L10">
            <v>-35347016.025933817</v>
          </cell>
        </row>
        <row r="11">
          <cell r="L11">
            <v>-27851121.843706787</v>
          </cell>
        </row>
        <row r="12">
          <cell r="L12">
            <v>-22169217.191406183</v>
          </cell>
        </row>
        <row r="13">
          <cell r="L13">
            <v>-17687370.371356182</v>
          </cell>
        </row>
        <row r="14">
          <cell r="L14">
            <v>-15306876.983461281</v>
          </cell>
        </row>
        <row r="15">
          <cell r="L15">
            <v>-12390596.071672451</v>
          </cell>
        </row>
        <row r="16">
          <cell r="L16">
            <v>-9328454.3494528625</v>
          </cell>
        </row>
        <row r="17">
          <cell r="L17">
            <v>-8056794.6031108005</v>
          </cell>
        </row>
        <row r="18">
          <cell r="L18">
            <v>-7081022.4628984118</v>
          </cell>
        </row>
        <row r="19">
          <cell r="L19">
            <v>-6421670.6972385729</v>
          </cell>
        </row>
        <row r="20">
          <cell r="L20">
            <v>-5495414.7957005659</v>
          </cell>
        </row>
        <row r="21">
          <cell r="L21">
            <v>-4694345.207257309</v>
          </cell>
        </row>
        <row r="22">
          <cell r="L22">
            <v>-3957281.2232167013</v>
          </cell>
        </row>
        <row r="23">
          <cell r="L23">
            <v>-3349298.4023447423</v>
          </cell>
        </row>
        <row r="24">
          <cell r="L24">
            <v>-3000174.4738639593</v>
          </cell>
        </row>
        <row r="25">
          <cell r="L25">
            <v>-2592655.3461945285</v>
          </cell>
        </row>
        <row r="26">
          <cell r="L26">
            <v>-2225910.9597484022</v>
          </cell>
        </row>
        <row r="27">
          <cell r="L27">
            <v>-1890458.9746624578</v>
          </cell>
        </row>
        <row r="28">
          <cell r="L28">
            <v>-1610602.1758844741</v>
          </cell>
        </row>
        <row r="29">
          <cell r="L29">
            <v>-1416250.05750589</v>
          </cell>
        </row>
        <row r="30">
          <cell r="L30">
            <v>-1128927.2459539161</v>
          </cell>
        </row>
        <row r="31">
          <cell r="L31">
            <v>-870297.4756838769</v>
          </cell>
        </row>
        <row r="32">
          <cell r="L32">
            <v>-638297.0482077268</v>
          </cell>
        </row>
        <row r="33">
          <cell r="L33">
            <v>-471378.34718957852</v>
          </cell>
        </row>
        <row r="34">
          <cell r="L34">
            <v>-494216.78725635784</v>
          </cell>
        </row>
        <row r="35">
          <cell r="L35">
            <v>-281307.04179014836</v>
          </cell>
        </row>
        <row r="36">
          <cell r="L36">
            <v>-171416.89690077261</v>
          </cell>
        </row>
        <row r="37">
          <cell r="L37">
            <v>-122010.59837319028</v>
          </cell>
        </row>
        <row r="38">
          <cell r="L38">
            <v>-102040.15119655791</v>
          </cell>
        </row>
        <row r="39">
          <cell r="L39">
            <v>-83850.062950062362</v>
          </cell>
        </row>
        <row r="40">
          <cell r="L40">
            <v>-58208.782723055891</v>
          </cell>
        </row>
        <row r="41">
          <cell r="L41">
            <v>-42850.997455033634</v>
          </cell>
        </row>
        <row r="42">
          <cell r="L42">
            <v>-33508.139041651033</v>
          </cell>
        </row>
        <row r="43">
          <cell r="L43">
            <v>-30631.270322038941</v>
          </cell>
        </row>
        <row r="44">
          <cell r="L44">
            <v>-25107.345636600981</v>
          </cell>
        </row>
        <row r="45">
          <cell r="L45">
            <v>-10330.270501460576</v>
          </cell>
        </row>
        <row r="46">
          <cell r="L46">
            <v>-4345.7647109164582</v>
          </cell>
        </row>
        <row r="47">
          <cell r="L47">
            <v>-2247.7539742395365</v>
          </cell>
        </row>
        <row r="48">
          <cell r="L48">
            <v>-1370.7656215021145</v>
          </cell>
        </row>
        <row r="49">
          <cell r="L49">
            <v>-783.02277338053375</v>
          </cell>
        </row>
        <row r="50">
          <cell r="L50">
            <v>-439.49065664601306</v>
          </cell>
        </row>
        <row r="51">
          <cell r="L51">
            <v>-234.21458037811101</v>
          </cell>
        </row>
        <row r="52">
          <cell r="L52">
            <v>-108.71119017222405</v>
          </cell>
        </row>
        <row r="53">
          <cell r="L53">
            <v>-41.184322737764781</v>
          </cell>
        </row>
        <row r="54">
          <cell r="L54">
            <v>-11.016512418472226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2.7753077540930295</v>
          </cell>
          <cell r="P4">
            <v>-267276.14800729218</v>
          </cell>
        </row>
        <row r="5">
          <cell r="C5">
            <v>-406460348.649409</v>
          </cell>
          <cell r="D5">
            <v>-20110.214613331562</v>
          </cell>
          <cell r="G5">
            <v>-403555796.15146947</v>
          </cell>
          <cell r="H5">
            <v>2904552.497939527</v>
          </cell>
          <cell r="J5">
            <v>0.5</v>
          </cell>
          <cell r="K5">
            <v>-409668502.25602406</v>
          </cell>
          <cell r="L5">
            <v>-3208153.6066150665</v>
          </cell>
        </row>
        <row r="6">
          <cell r="C6">
            <v>-214769900.22254267</v>
          </cell>
          <cell r="D6">
            <v>-31724.881739756689</v>
          </cell>
          <cell r="G6">
            <v>-210294300.85191023</v>
          </cell>
          <cell r="H6">
            <v>4475599.3706324399</v>
          </cell>
          <cell r="J6">
            <v>1.5</v>
          </cell>
          <cell r="K6">
            <v>-219312225.13753405</v>
          </cell>
          <cell r="L6">
            <v>-4542324.9149913788</v>
          </cell>
        </row>
        <row r="7">
          <cell r="C7">
            <v>-104885840.65743843</v>
          </cell>
          <cell r="D7">
            <v>-25786.278248806117</v>
          </cell>
          <cell r="G7">
            <v>-101506070.38153677</v>
          </cell>
          <cell r="H7">
            <v>3379770.2759016603</v>
          </cell>
          <cell r="J7">
            <v>2.5</v>
          </cell>
          <cell r="K7">
            <v>-108058577.55110247</v>
          </cell>
          <cell r="L7">
            <v>-3172736.8936640471</v>
          </cell>
        </row>
        <row r="8">
          <cell r="C8">
            <v>-57364379.304232955</v>
          </cell>
          <cell r="G8">
            <v>-54976441.00740625</v>
          </cell>
          <cell r="H8">
            <v>2387938.2968267053</v>
          </cell>
          <cell r="K8">
            <v>-59526465.471630722</v>
          </cell>
          <cell r="L8">
            <v>-2162086.1673977673</v>
          </cell>
        </row>
        <row r="9">
          <cell r="C9">
            <v>-40704579.916200504</v>
          </cell>
          <cell r="G9">
            <v>-38668238.997679226</v>
          </cell>
          <cell r="H9">
            <v>2036340.9185212776</v>
          </cell>
          <cell r="K9">
            <v>-42521556.965269253</v>
          </cell>
          <cell r="L9">
            <v>-1816977.049068749</v>
          </cell>
        </row>
        <row r="10">
          <cell r="C10">
            <v>-31551581.315808576</v>
          </cell>
          <cell r="G10">
            <v>-29725117.951755848</v>
          </cell>
          <cell r="H10">
            <v>1826463.3640527278</v>
          </cell>
          <cell r="K10">
            <v>-33152122.649020441</v>
          </cell>
          <cell r="L10">
            <v>-1600541.3332118653</v>
          </cell>
        </row>
        <row r="11">
          <cell r="C11">
            <v>-24303703.492700286</v>
          </cell>
          <cell r="G11">
            <v>-22716042.383182801</v>
          </cell>
          <cell r="H11">
            <v>1587661.1095174849</v>
          </cell>
          <cell r="K11">
            <v>-25669109.448420282</v>
          </cell>
          <cell r="L11">
            <v>-1365405.9557199962</v>
          </cell>
        </row>
        <row r="12">
          <cell r="C12">
            <v>-18900604.606831633</v>
          </cell>
          <cell r="G12">
            <v>-17530221.970931225</v>
          </cell>
          <cell r="H12">
            <v>1370382.635900408</v>
          </cell>
          <cell r="K12">
            <v>-20053774.027692568</v>
          </cell>
          <cell r="L12">
            <v>-1153169.420860935</v>
          </cell>
        </row>
        <row r="13">
          <cell r="C13">
            <v>-14724272.025630783</v>
          </cell>
          <cell r="G13">
            <v>-13545810.769032395</v>
          </cell>
          <cell r="H13">
            <v>1178461.2565983888</v>
          </cell>
          <cell r="K13">
            <v>-15676071.194383131</v>
          </cell>
          <cell r="L13">
            <v>-951799.16875234805</v>
          </cell>
        </row>
        <row r="14">
          <cell r="C14">
            <v>-12438417.644992815</v>
          </cell>
          <cell r="G14">
            <v>-11340330.511274228</v>
          </cell>
          <cell r="H14">
            <v>1098087.1337185875</v>
          </cell>
          <cell r="K14">
            <v>-13284836.680320194</v>
          </cell>
          <cell r="L14">
            <v>-846419.03532737866</v>
          </cell>
        </row>
        <row r="15">
          <cell r="C15">
            <v>-9823754.4155704584</v>
          </cell>
          <cell r="G15">
            <v>-8869972.3749155905</v>
          </cell>
          <cell r="H15">
            <v>953782.04065486789</v>
          </cell>
          <cell r="K15">
            <v>-10538318.934051093</v>
          </cell>
          <cell r="L15">
            <v>-714564.51848063432</v>
          </cell>
        </row>
        <row r="16">
          <cell r="C16">
            <v>-7214057.3902788972</v>
          </cell>
          <cell r="G16">
            <v>-6450722.9448054796</v>
          </cell>
          <cell r="H16">
            <v>763334.44547341764</v>
          </cell>
          <cell r="K16">
            <v>-7777389.1879304564</v>
          </cell>
          <cell r="L16">
            <v>-563331.79765155911</v>
          </cell>
        </row>
        <row r="17">
          <cell r="C17">
            <v>-6076918.9238533415</v>
          </cell>
          <cell r="G17">
            <v>-5381428.0058957962</v>
          </cell>
          <cell r="H17">
            <v>695490.91795754526</v>
          </cell>
          <cell r="K17">
            <v>-6580977.8532077502</v>
          </cell>
          <cell r="L17">
            <v>-504058.92935440876</v>
          </cell>
        </row>
        <row r="18">
          <cell r="C18">
            <v>-5209462.1719169375</v>
          </cell>
          <cell r="G18">
            <v>-4568680.4521022346</v>
          </cell>
          <cell r="H18">
            <v>640781.71981470287</v>
          </cell>
          <cell r="K18">
            <v>-5672920.2522131437</v>
          </cell>
          <cell r="L18">
            <v>-463458.08029620629</v>
          </cell>
        </row>
        <row r="19">
          <cell r="C19">
            <v>-4611353.7694644881</v>
          </cell>
          <cell r="G19">
            <v>-4005041.915218167</v>
          </cell>
          <cell r="H19">
            <v>606311.85424632113</v>
          </cell>
          <cell r="K19">
            <v>-5047026.8135027634</v>
          </cell>
          <cell r="L19">
            <v>-435673.04403827526</v>
          </cell>
        </row>
        <row r="20">
          <cell r="C20">
            <v>-3853906.2331468347</v>
          </cell>
          <cell r="G20">
            <v>-3314810.0337066138</v>
          </cell>
          <cell r="H20">
            <v>539096.19944022084</v>
          </cell>
          <cell r="K20">
            <v>-4245680.2411745302</v>
          </cell>
          <cell r="L20">
            <v>-391774.00802769559</v>
          </cell>
        </row>
        <row r="21">
          <cell r="C21">
            <v>-3216847.6716578519</v>
          </cell>
          <cell r="G21">
            <v>-2740085.810257664</v>
          </cell>
          <cell r="H21">
            <v>476761.86140018795</v>
          </cell>
          <cell r="K21">
            <v>-3572850.1333792554</v>
          </cell>
          <cell r="L21">
            <v>-356002.46172140352</v>
          </cell>
        </row>
        <row r="22">
          <cell r="C22">
            <v>-2652182.2995219692</v>
          </cell>
          <cell r="G22">
            <v>-2237221.7542444719</v>
          </cell>
          <cell r="H22">
            <v>414960.54527749727</v>
          </cell>
          <cell r="K22">
            <v>-2963995.5613024058</v>
          </cell>
          <cell r="L22">
            <v>-311813.26178043662</v>
          </cell>
        </row>
        <row r="23">
          <cell r="C23">
            <v>-2198143.8856598563</v>
          </cell>
          <cell r="G23">
            <v>-1836234.3927338971</v>
          </cell>
          <cell r="H23">
            <v>361909.49292595917</v>
          </cell>
          <cell r="K23">
            <v>-2476196.1552298288</v>
          </cell>
          <cell r="L23">
            <v>-278052.26956997253</v>
          </cell>
        </row>
        <row r="24">
          <cell r="C24">
            <v>-1930950.4839555856</v>
          </cell>
          <cell r="G24">
            <v>-1597362.1783808221</v>
          </cell>
          <cell r="H24">
            <v>333588.30557476357</v>
          </cell>
          <cell r="K24">
            <v>-2191931.7717563366</v>
          </cell>
          <cell r="L24">
            <v>-260981.28780075093</v>
          </cell>
        </row>
        <row r="25">
          <cell r="C25">
            <v>-1636590.775005863</v>
          </cell>
          <cell r="G25">
            <v>-1340710.4050161086</v>
          </cell>
          <cell r="H25">
            <v>295880.3699897544</v>
          </cell>
          <cell r="K25">
            <v>-1867682.1609113482</v>
          </cell>
          <cell r="L25">
            <v>-231091.38590548513</v>
          </cell>
        </row>
        <row r="26">
          <cell r="C26">
            <v>-1376195.473548111</v>
          </cell>
          <cell r="G26">
            <v>-1116461.1593237533</v>
          </cell>
          <cell r="H26">
            <v>259734.31422435772</v>
          </cell>
          <cell r="K26">
            <v>-1579021.0940761236</v>
          </cell>
          <cell r="L26">
            <v>-202825.62052801251</v>
          </cell>
        </row>
        <row r="27">
          <cell r="C27">
            <v>-1143187.7302155865</v>
          </cell>
          <cell r="G27">
            <v>-918449.40101879835</v>
          </cell>
          <cell r="H27">
            <v>224738.32919678814</v>
          </cell>
          <cell r="K27">
            <v>-1319068.1231175258</v>
          </cell>
          <cell r="L27">
            <v>-175880.39290193934</v>
          </cell>
        </row>
        <row r="28">
          <cell r="C28">
            <v>-951430.82905073161</v>
          </cell>
          <cell r="G28">
            <v>-756997.15427420044</v>
          </cell>
          <cell r="H28">
            <v>194433.67477653117</v>
          </cell>
          <cell r="K28">
            <v>-1104298.8250210232</v>
          </cell>
          <cell r="L28">
            <v>-152867.99597029155</v>
          </cell>
        </row>
        <row r="29">
          <cell r="C29">
            <v>-816421.66078018444</v>
          </cell>
          <cell r="G29">
            <v>-643302.02697285847</v>
          </cell>
          <cell r="H29">
            <v>173119.63380732597</v>
          </cell>
          <cell r="K29">
            <v>-953498.87715667265</v>
          </cell>
          <cell r="L29">
            <v>-137077.21637648821</v>
          </cell>
        </row>
        <row r="30">
          <cell r="C30">
            <v>-634417.41566486226</v>
          </cell>
          <cell r="G30">
            <v>-495066.56187965616</v>
          </cell>
          <cell r="H30">
            <v>139350.8537852061</v>
          </cell>
          <cell r="K30">
            <v>-745724.69314421504</v>
          </cell>
          <cell r="L30">
            <v>-111307.27747935278</v>
          </cell>
        </row>
        <row r="31">
          <cell r="C31">
            <v>-476353.96902256395</v>
          </cell>
          <cell r="G31">
            <v>-368136.91687958554</v>
          </cell>
          <cell r="H31">
            <v>108217.05214297841</v>
          </cell>
          <cell r="K31">
            <v>-563697.88345953729</v>
          </cell>
          <cell r="L31">
            <v>-87343.91443697334</v>
          </cell>
        </row>
        <row r="32">
          <cell r="C32">
            <v>-340093.4995581847</v>
          </cell>
          <cell r="G32">
            <v>-260298.30793103605</v>
          </cell>
          <cell r="H32">
            <v>79795.191627148655</v>
          </cell>
          <cell r="K32">
            <v>-405171.00101688859</v>
          </cell>
          <cell r="L32">
            <v>-65077.50145870389</v>
          </cell>
        </row>
        <row r="33">
          <cell r="C33">
            <v>-244312.53112732136</v>
          </cell>
          <cell r="G33">
            <v>-185189.14979275604</v>
          </cell>
          <cell r="H33">
            <v>59123.381334565318</v>
          </cell>
          <cell r="K33">
            <v>-293035.76197054697</v>
          </cell>
          <cell r="L33">
            <v>-48723.23084322561</v>
          </cell>
        </row>
        <row r="34">
          <cell r="C34">
            <v>-249015.08181583084</v>
          </cell>
          <cell r="G34">
            <v>-186936.57138067912</v>
          </cell>
          <cell r="H34">
            <v>62078.510435151722</v>
          </cell>
          <cell r="K34">
            <v>-300752.56273211929</v>
          </cell>
          <cell r="L34">
            <v>-51737.480916288448</v>
          </cell>
        </row>
        <row r="35">
          <cell r="C35">
            <v>-137722.10753499789</v>
          </cell>
          <cell r="G35">
            <v>-102393.76687702784</v>
          </cell>
          <cell r="H35">
            <v>35328.340657970053</v>
          </cell>
          <cell r="K35">
            <v>-167498.73035777104</v>
          </cell>
          <cell r="L35">
            <v>-29776.622822773148</v>
          </cell>
        </row>
        <row r="36">
          <cell r="C36">
            <v>-81514.580477403011</v>
          </cell>
          <cell r="G36">
            <v>-60021.560827478083</v>
          </cell>
          <cell r="H36">
            <v>21493.019649924929</v>
          </cell>
          <cell r="K36">
            <v>-99835.217890677261</v>
          </cell>
          <cell r="L36">
            <v>-18320.637413274249</v>
          </cell>
        </row>
        <row r="37">
          <cell r="C37">
            <v>-56335.377108664659</v>
          </cell>
          <cell r="G37">
            <v>-41082.557272336591</v>
          </cell>
          <cell r="H37">
            <v>15252.819836328068</v>
          </cell>
          <cell r="K37">
            <v>-69484.156572641077</v>
          </cell>
          <cell r="L37">
            <v>-13148.779463976418</v>
          </cell>
        </row>
        <row r="38">
          <cell r="C38">
            <v>-45722.435333248381</v>
          </cell>
          <cell r="G38">
            <v>-33022.638767394055</v>
          </cell>
          <cell r="H38">
            <v>12699.796565854325</v>
          </cell>
          <cell r="K38">
            <v>-56794.435584132523</v>
          </cell>
          <cell r="L38">
            <v>-11072.000250884143</v>
          </cell>
        </row>
        <row r="39">
          <cell r="C39">
            <v>-36454.295703688709</v>
          </cell>
          <cell r="G39">
            <v>-26075.808008050768</v>
          </cell>
          <cell r="H39">
            <v>10378.487695637941</v>
          </cell>
          <cell r="K39">
            <v>-45605.126453188423</v>
          </cell>
          <cell r="L39">
            <v>-9150.8307494997134</v>
          </cell>
        </row>
        <row r="40">
          <cell r="C40">
            <v>-24549.337244879298</v>
          </cell>
          <cell r="G40">
            <v>-17391.482003710928</v>
          </cell>
          <cell r="H40">
            <v>7157.8552411683704</v>
          </cell>
          <cell r="K40">
            <v>-30932.101922478159</v>
          </cell>
          <cell r="L40">
            <v>-6382.7646775988615</v>
          </cell>
        </row>
        <row r="41">
          <cell r="C41">
            <v>-17525.322778278623</v>
          </cell>
          <cell r="G41">
            <v>-12296.232533620245</v>
          </cell>
          <cell r="H41">
            <v>5229.0902446583787</v>
          </cell>
          <cell r="K41">
            <v>-22237.11286100759</v>
          </cell>
          <cell r="L41">
            <v>-4711.7900827289668</v>
          </cell>
        </row>
        <row r="42">
          <cell r="C42">
            <v>-13287.290228230377</v>
          </cell>
          <cell r="G42">
            <v>-9233.1948382182272</v>
          </cell>
          <cell r="H42">
            <v>4054.0953900121494</v>
          </cell>
          <cell r="K42">
            <v>-16978.695032559182</v>
          </cell>
          <cell r="L42">
            <v>-3691.4048043288058</v>
          </cell>
        </row>
        <row r="43">
          <cell r="C43">
            <v>-11775.137846018008</v>
          </cell>
          <cell r="G43">
            <v>-8103.8634494963535</v>
          </cell>
          <cell r="H43">
            <v>3671.2743965216541</v>
          </cell>
          <cell r="K43">
            <v>-15153.090102750364</v>
          </cell>
          <cell r="L43">
            <v>-3377.9522567323565</v>
          </cell>
        </row>
        <row r="44">
          <cell r="C44">
            <v>-9355.273440356219</v>
          </cell>
          <cell r="G44">
            <v>-6376.660697251381</v>
          </cell>
          <cell r="H44">
            <v>2978.612743104838</v>
          </cell>
          <cell r="K44">
            <v>-12122.370133162016</v>
          </cell>
          <cell r="L44">
            <v>-2767.0966928057969</v>
          </cell>
        </row>
        <row r="45">
          <cell r="C45">
            <v>-3730.5142435092393</v>
          </cell>
          <cell r="G45">
            <v>-2518.3560377021563</v>
          </cell>
          <cell r="H45">
            <v>1212.158205807083</v>
          </cell>
          <cell r="K45">
            <v>-4867.471886858656</v>
          </cell>
          <cell r="L45">
            <v>-1136.9576433494167</v>
          </cell>
        </row>
        <row r="46">
          <cell r="C46">
            <v>-1520.8170415163149</v>
          </cell>
          <cell r="G46">
            <v>-1016.8034991119055</v>
          </cell>
          <cell r="H46">
            <v>504.01354240440946</v>
          </cell>
          <cell r="K46">
            <v>-1998.1306794905502</v>
          </cell>
          <cell r="L46">
            <v>-477.31363797423523</v>
          </cell>
        </row>
        <row r="47">
          <cell r="C47">
            <v>-762.20655947521732</v>
          </cell>
          <cell r="G47">
            <v>-504.7137901584091</v>
          </cell>
          <cell r="H47">
            <v>257.49276931680822</v>
          </cell>
          <cell r="K47">
            <v>-1008.2058165910148</v>
          </cell>
          <cell r="L47">
            <v>-245.99925711579749</v>
          </cell>
        </row>
        <row r="48">
          <cell r="C48">
            <v>-450.27065814168861</v>
          </cell>
          <cell r="G48">
            <v>-295.29750798677043</v>
          </cell>
          <cell r="H48">
            <v>154.97315015491819</v>
          </cell>
          <cell r="K48">
            <v>-599.62954873080309</v>
          </cell>
          <cell r="L48">
            <v>-149.35889058911448</v>
          </cell>
        </row>
        <row r="49">
          <cell r="C49">
            <v>-249.13714918360404</v>
          </cell>
          <cell r="G49">
            <v>-161.82221094247743</v>
          </cell>
          <cell r="H49">
            <v>87.314938241126612</v>
          </cell>
          <cell r="K49">
            <v>-334.02985352503492</v>
          </cell>
          <cell r="L49">
            <v>-84.892704341430886</v>
          </cell>
        </row>
        <row r="50">
          <cell r="C50">
            <v>-135.46824290135481</v>
          </cell>
          <cell r="G50">
            <v>-87.146496595085651</v>
          </cell>
          <cell r="H50">
            <v>48.321746306269162</v>
          </cell>
          <cell r="K50">
            <v>-182.82240367615668</v>
          </cell>
          <cell r="L50">
            <v>-47.354160774801869</v>
          </cell>
        </row>
        <row r="51">
          <cell r="C51">
            <v>-69.9217967858267</v>
          </cell>
          <cell r="G51">
            <v>-44.549190290710008</v>
          </cell>
          <cell r="H51">
            <v>25.372606495116692</v>
          </cell>
          <cell r="K51">
            <v>-94.983516032547954</v>
          </cell>
          <cell r="L51">
            <v>-25.061719246721253</v>
          </cell>
        </row>
        <row r="52">
          <cell r="C52">
            <v>-31.431757877249865</v>
          </cell>
          <cell r="G52">
            <v>-19.833959605434305</v>
          </cell>
          <cell r="H52">
            <v>11.597798271815559</v>
          </cell>
          <cell r="K52">
            <v>-42.97827333419837</v>
          </cell>
          <cell r="L52">
            <v>-11.546515456948505</v>
          </cell>
        </row>
        <row r="53">
          <cell r="C53">
            <v>-11.532319100248507</v>
          </cell>
          <cell r="G53">
            <v>-7.2072966274158174</v>
          </cell>
          <cell r="H53">
            <v>4.32502247283269</v>
          </cell>
          <cell r="K53">
            <v>-15.872325395534803</v>
          </cell>
          <cell r="L53">
            <v>-4.3400062952862957</v>
          </cell>
        </row>
        <row r="54">
          <cell r="C54">
            <v>-2.9868438242360571</v>
          </cell>
          <cell r="G54">
            <v>-1.8487717620227389</v>
          </cell>
          <cell r="H54">
            <v>1.1380720622133182</v>
          </cell>
          <cell r="K54">
            <v>-4.1368992634428796</v>
          </cell>
          <cell r="L54">
            <v>-1.1500554392068225</v>
          </cell>
        </row>
      </sheetData>
      <sheetData sheetId="2">
        <row r="3">
          <cell r="D3">
            <v>-848703625.03893054</v>
          </cell>
          <cell r="G3">
            <v>-824185048.74982357</v>
          </cell>
          <cell r="J3">
            <v>-809000847.39000189</v>
          </cell>
          <cell r="M3">
            <v>-839087327.38156056</v>
          </cell>
        </row>
        <row r="4">
          <cell r="D4">
            <v>-118361602.41586424</v>
          </cell>
          <cell r="G4">
            <v>-101918579.08596408</v>
          </cell>
          <cell r="J4">
            <v>-94857523.5861765</v>
          </cell>
          <cell r="M4">
            <v>-107835913.99983661</v>
          </cell>
        </row>
        <row r="5">
          <cell r="D5">
            <v>-63775052.286756374</v>
          </cell>
          <cell r="G5">
            <v>-46787577.245026223</v>
          </cell>
          <cell r="J5">
            <v>-41001559.862260737</v>
          </cell>
          <cell r="M5">
            <v>-51067286.903747573</v>
          </cell>
        </row>
        <row r="6">
          <cell r="D6">
            <v>-13338994.418287208</v>
          </cell>
          <cell r="G6">
            <v>-7868018.965789238</v>
          </cell>
          <cell r="J6">
            <v>-6271547.6544694332</v>
          </cell>
          <cell r="M6">
            <v>-9131950.9826059993</v>
          </cell>
        </row>
        <row r="7">
          <cell r="D7">
            <v>-970843.48123296374</v>
          </cell>
          <cell r="G7">
            <v>-441205.44430808019</v>
          </cell>
          <cell r="J7">
            <v>-320655.34403536684</v>
          </cell>
          <cell r="M7">
            <v>-545789.29811326554</v>
          </cell>
        </row>
      </sheetData>
      <sheetData sheetId="3">
        <row r="3">
          <cell r="D3">
            <v>15184201.35982161</v>
          </cell>
          <cell r="G3">
            <v>-14902278.631737009</v>
          </cell>
          <cell r="J3">
            <v>-115330.41091961565</v>
          </cell>
        </row>
        <row r="4">
          <cell r="D4">
            <v>7061055.499787597</v>
          </cell>
          <cell r="G4">
            <v>-5917334.9138725232</v>
          </cell>
          <cell r="J4">
            <v>-70253.500062941457</v>
          </cell>
        </row>
        <row r="5">
          <cell r="D5">
            <v>5786017.3827654831</v>
          </cell>
          <cell r="G5">
            <v>-4279709.6587213427</v>
          </cell>
          <cell r="J5">
            <v>-62307.384591273934</v>
          </cell>
        </row>
        <row r="6">
          <cell r="D6">
            <v>1596471.3113198075</v>
          </cell>
          <cell r="G6">
            <v>-1263932.0168167606</v>
          </cell>
          <cell r="J6">
            <v>-17967.615750039258</v>
          </cell>
        </row>
        <row r="7">
          <cell r="D7">
            <v>120550.1002727133</v>
          </cell>
          <cell r="G7">
            <v>-104583.85380518541</v>
          </cell>
          <cell r="J7">
            <v>-1417.2366834219506</v>
          </cell>
        </row>
      </sheetData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Marzo25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-411777909.20632553</v>
          </cell>
        </row>
        <row r="6">
          <cell r="L6">
            <v>-261908193.95837164</v>
          </cell>
        </row>
        <row r="7">
          <cell r="L7">
            <v>-111275047.21821414</v>
          </cell>
        </row>
        <row r="8">
          <cell r="L8">
            <v>-63006264.026363127</v>
          </cell>
        </row>
        <row r="9">
          <cell r="L9">
            <v>-44430665.938940234</v>
          </cell>
        </row>
        <row r="10">
          <cell r="L10">
            <v>-34891813.537727728</v>
          </cell>
        </row>
        <row r="11">
          <cell r="L11">
            <v>-27477124.858067438</v>
          </cell>
        </row>
        <row r="12">
          <cell r="L12">
            <v>-21819803.244795237</v>
          </cell>
        </row>
        <row r="13">
          <cell r="L13">
            <v>-16770198.96276848</v>
          </cell>
        </row>
        <row r="14">
          <cell r="L14">
            <v>-14731635.203349624</v>
          </cell>
        </row>
        <row r="15">
          <cell r="L15">
            <v>-11655204.958503354</v>
          </cell>
        </row>
        <row r="16">
          <cell r="L16">
            <v>-8435297.1572369467</v>
          </cell>
        </row>
        <row r="17">
          <cell r="L17">
            <v>-7306616.4948640792</v>
          </cell>
        </row>
        <row r="18">
          <cell r="L18">
            <v>-6468465.4787296858</v>
          </cell>
        </row>
        <row r="19">
          <cell r="L19">
            <v>-5905599.0002543479</v>
          </cell>
        </row>
        <row r="20">
          <cell r="L20">
            <v>-5065739.7587623931</v>
          </cell>
        </row>
        <row r="21">
          <cell r="L21">
            <v>-4343641.9536301</v>
          </cell>
        </row>
        <row r="22">
          <cell r="L22">
            <v>-3696308.7812472349</v>
          </cell>
        </row>
        <row r="23">
          <cell r="L23">
            <v>-3177604.6269785906</v>
          </cell>
        </row>
        <row r="24">
          <cell r="L24">
            <v>-2843559.703274474</v>
          </cell>
        </row>
        <row r="25">
          <cell r="L25">
            <v>-2452944.2473372761</v>
          </cell>
        </row>
        <row r="26">
          <cell r="L26">
            <v>-2102952.0926433806</v>
          </cell>
        </row>
        <row r="27">
          <cell r="L27">
            <v>-1792049.0184774357</v>
          </cell>
        </row>
        <row r="28">
          <cell r="L28">
            <v>-1542449.8353099083</v>
          </cell>
        </row>
        <row r="29">
          <cell r="L29">
            <v>-1360090.4747221987</v>
          </cell>
        </row>
        <row r="30">
          <cell r="L30">
            <v>-1081722.0163567548</v>
          </cell>
        </row>
        <row r="31">
          <cell r="L31">
            <v>-839087.83657669497</v>
          </cell>
        </row>
        <row r="32">
          <cell r="L32">
            <v>-619766.60830088321</v>
          </cell>
        </row>
        <row r="33">
          <cell r="L33">
            <v>-497604.47380028397</v>
          </cell>
        </row>
        <row r="34">
          <cell r="L34">
            <v>-519335.82839641394</v>
          </cell>
        </row>
        <row r="35">
          <cell r="L35">
            <v>-293092.47706498561</v>
          </cell>
        </row>
        <row r="36">
          <cell r="L36">
            <v>-176065.85845723216</v>
          </cell>
        </row>
        <row r="37">
          <cell r="L37">
            <v>-125918.26249155083</v>
          </cell>
        </row>
        <row r="38">
          <cell r="L38">
            <v>-106077.91701313858</v>
          </cell>
        </row>
        <row r="39">
          <cell r="L39">
            <v>-84939.060421409333</v>
          </cell>
        </row>
        <row r="40">
          <cell r="L40">
            <v>-59437.809091827345</v>
          </cell>
        </row>
        <row r="41">
          <cell r="L41">
            <v>-44467.8291646699</v>
          </cell>
        </row>
        <row r="42">
          <cell r="L42">
            <v>-35712.177915205248</v>
          </cell>
        </row>
        <row r="43">
          <cell r="L43">
            <v>-32857.085868326561</v>
          </cell>
        </row>
        <row r="44">
          <cell r="L44">
            <v>-24542.982245016221</v>
          </cell>
        </row>
        <row r="45">
          <cell r="L45">
            <v>-10297.462700877515</v>
          </cell>
        </row>
        <row r="46">
          <cell r="L46">
            <v>-4395.3899880581157</v>
          </cell>
        </row>
        <row r="47">
          <cell r="L47">
            <v>-2316.0393990583561</v>
          </cell>
        </row>
        <row r="48">
          <cell r="L48">
            <v>-1396.1147781590391</v>
          </cell>
        </row>
        <row r="49">
          <cell r="L49">
            <v>-806.659245458442</v>
          </cell>
        </row>
        <row r="50">
          <cell r="L50">
            <v>-451.39044130132487</v>
          </cell>
        </row>
        <row r="51">
          <cell r="L51">
            <v>-241.10901589147616</v>
          </cell>
        </row>
        <row r="52">
          <cell r="L52">
            <v>-108.3669233012069</v>
          </cell>
        </row>
        <row r="53">
          <cell r="L53">
            <v>-39.986952229971827</v>
          </cell>
        </row>
        <row r="54">
          <cell r="L54">
            <v>-9.9802857346089286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2.6214552953640671</v>
          </cell>
          <cell r="P4">
            <v>-259754.72190271452</v>
          </cell>
        </row>
        <row r="5">
          <cell r="C5">
            <v>-407456305.20932937</v>
          </cell>
          <cell r="D5">
            <v>-20159.00281960631</v>
          </cell>
          <cell r="G5">
            <v>-404537181.34170562</v>
          </cell>
          <cell r="H5">
            <v>2919123.8676237464</v>
          </cell>
          <cell r="J5">
            <v>0.5</v>
          </cell>
          <cell r="K5">
            <v>-410680227.98102021</v>
          </cell>
          <cell r="L5">
            <v>-3223922.7716908455</v>
          </cell>
        </row>
        <row r="6">
          <cell r="C6">
            <v>-253850073.98798481</v>
          </cell>
          <cell r="D6">
            <v>-37487.170168287717</v>
          </cell>
          <cell r="G6">
            <v>-248465917.2008346</v>
          </cell>
          <cell r="H6">
            <v>5384156.7871502042</v>
          </cell>
          <cell r="J6">
            <v>1.5</v>
          </cell>
          <cell r="K6">
            <v>-259313701.13443306</v>
          </cell>
          <cell r="L6">
            <v>-5463627.1464482546</v>
          </cell>
        </row>
        <row r="7">
          <cell r="C7">
            <v>-105565821.75520958</v>
          </cell>
          <cell r="D7">
            <v>-25932.149891824585</v>
          </cell>
          <cell r="G7">
            <v>-102005336.9414472</v>
          </cell>
          <cell r="H7">
            <v>3560484.8137623817</v>
          </cell>
          <cell r="J7">
            <v>2.5</v>
          </cell>
          <cell r="K7">
            <v>-108913358.93339667</v>
          </cell>
          <cell r="L7">
            <v>-3347537.1781870872</v>
          </cell>
        </row>
        <row r="8">
          <cell r="C8">
            <v>-58380546.355761454</v>
          </cell>
          <cell r="G8">
            <v>-55769871.667952679</v>
          </cell>
          <cell r="H8">
            <v>2610674.6878087744</v>
          </cell>
          <cell r="K8">
            <v>-60752526.474339604</v>
          </cell>
          <cell r="L8">
            <v>-2371980.1185781509</v>
          </cell>
        </row>
        <row r="9">
          <cell r="C9">
            <v>-40145573.226212926</v>
          </cell>
          <cell r="G9">
            <v>-37939951.975465924</v>
          </cell>
          <cell r="H9">
            <v>2205621.2507470027</v>
          </cell>
          <cell r="K9">
            <v>-42124801.114448957</v>
          </cell>
          <cell r="L9">
            <v>-1979227.8882360309</v>
          </cell>
        </row>
        <row r="10">
          <cell r="C10">
            <v>-30710093.721975312</v>
          </cell>
          <cell r="G10">
            <v>-28723890.282719571</v>
          </cell>
          <cell r="H10">
            <v>1986203.4392557405</v>
          </cell>
          <cell r="K10">
            <v>-32463929.08966646</v>
          </cell>
          <cell r="L10">
            <v>-1753835.3676911481</v>
          </cell>
        </row>
        <row r="11">
          <cell r="C11">
            <v>-23538600.609099794</v>
          </cell>
          <cell r="G11">
            <v>-21804662.325792648</v>
          </cell>
          <cell r="H11">
            <v>1733938.2833071463</v>
          </cell>
          <cell r="K11">
            <v>-25043909.174875207</v>
          </cell>
          <cell r="L11">
            <v>-1505308.5657754131</v>
          </cell>
        </row>
        <row r="12">
          <cell r="C12">
            <v>-18178263.17677144</v>
          </cell>
          <cell r="G12">
            <v>-16681581.191556422</v>
          </cell>
          <cell r="H12">
            <v>1496681.9852150176</v>
          </cell>
          <cell r="K12">
            <v>-19452316.810035195</v>
          </cell>
          <cell r="L12">
            <v>-1274053.6332637556</v>
          </cell>
        </row>
        <row r="13">
          <cell r="C13">
            <v>-13578116.42511081</v>
          </cell>
          <cell r="G13">
            <v>-12358138.901861824</v>
          </cell>
          <cell r="H13">
            <v>1219977.5232489854</v>
          </cell>
          <cell r="K13">
            <v>-14592751.473241407</v>
          </cell>
          <cell r="L13">
            <v>-1014635.0481305979</v>
          </cell>
        </row>
        <row r="14">
          <cell r="C14">
            <v>-11591761.469892373</v>
          </cell>
          <cell r="G14">
            <v>-10477460.036109133</v>
          </cell>
          <cell r="H14">
            <v>1114301.4337832406</v>
          </cell>
          <cell r="K14">
            <v>-12505859.114131227</v>
          </cell>
          <cell r="L14">
            <v>-914097.64423885383</v>
          </cell>
        </row>
        <row r="15">
          <cell r="C15">
            <v>-8905807.3530354947</v>
          </cell>
          <cell r="G15">
            <v>-8003790.8039303543</v>
          </cell>
          <cell r="H15">
            <v>902016.54910514038</v>
          </cell>
          <cell r="K15">
            <v>-9659581.4156151898</v>
          </cell>
          <cell r="L15">
            <v>-753774.06257969514</v>
          </cell>
        </row>
        <row r="16">
          <cell r="C16">
            <v>-6254477.5038796635</v>
          </cell>
          <cell r="G16">
            <v>-5588669.5667367736</v>
          </cell>
          <cell r="H16">
            <v>665807.93714288995</v>
          </cell>
          <cell r="K16">
            <v>-6825500.2941064071</v>
          </cell>
          <cell r="L16">
            <v>-571022.79022674356</v>
          </cell>
        </row>
        <row r="17">
          <cell r="C17">
            <v>-5259966.0393875306</v>
          </cell>
          <cell r="G17">
            <v>-4660119.2936280174</v>
          </cell>
          <cell r="H17">
            <v>599846.74575951323</v>
          </cell>
          <cell r="K17">
            <v>-5771090.2267179117</v>
          </cell>
          <cell r="L17">
            <v>-511124.18733038101</v>
          </cell>
        </row>
        <row r="18">
          <cell r="C18">
            <v>-4524511.705873223</v>
          </cell>
          <cell r="G18">
            <v>-3969951.7828242052</v>
          </cell>
          <cell r="H18">
            <v>554559.92304901779</v>
          </cell>
          <cell r="K18">
            <v>-4995983.3258505156</v>
          </cell>
          <cell r="L18">
            <v>-471471.6199772926</v>
          </cell>
        </row>
        <row r="19">
          <cell r="C19">
            <v>-4016635.2803870793</v>
          </cell>
          <cell r="G19">
            <v>-3490382.791536117</v>
          </cell>
          <cell r="H19">
            <v>526252.48885096237</v>
          </cell>
          <cell r="K19">
            <v>-4460969.4073235551</v>
          </cell>
          <cell r="L19">
            <v>-444334.12693647575</v>
          </cell>
        </row>
        <row r="20">
          <cell r="C20">
            <v>-3350205.1084550237</v>
          </cell>
          <cell r="G20">
            <v>-2883233.8567356826</v>
          </cell>
          <cell r="H20">
            <v>466971.25171934115</v>
          </cell>
          <cell r="K20">
            <v>-3749871.9419608228</v>
          </cell>
          <cell r="L20">
            <v>-399666.83350579906</v>
          </cell>
        </row>
        <row r="21">
          <cell r="C21">
            <v>-2793215.1844161227</v>
          </cell>
          <cell r="G21">
            <v>-2380729.7542009396</v>
          </cell>
          <cell r="H21">
            <v>412485.43021518318</v>
          </cell>
          <cell r="K21">
            <v>-3156965.7755602277</v>
          </cell>
          <cell r="L21">
            <v>-363750.59114410495</v>
          </cell>
        </row>
        <row r="22">
          <cell r="C22">
            <v>-2313212.8442273675</v>
          </cell>
          <cell r="G22">
            <v>-1952602.0018043383</v>
          </cell>
          <cell r="H22">
            <v>360610.84242302924</v>
          </cell>
          <cell r="K22">
            <v>-2634151.5145020373</v>
          </cell>
          <cell r="L22">
            <v>-320938.67027466977</v>
          </cell>
        </row>
        <row r="23">
          <cell r="C23">
            <v>-1939033.5113775153</v>
          </cell>
          <cell r="G23">
            <v>-1620939.1803418398</v>
          </cell>
          <cell r="H23">
            <v>318094.33103567548</v>
          </cell>
          <cell r="K23">
            <v>-2229292.6823960459</v>
          </cell>
          <cell r="L23">
            <v>-290259.17101853061</v>
          </cell>
        </row>
        <row r="24">
          <cell r="C24">
            <v>-1696242.3028809899</v>
          </cell>
          <cell r="G24">
            <v>-1404241.2797719839</v>
          </cell>
          <cell r="H24">
            <v>292001.023109006</v>
          </cell>
          <cell r="K24">
            <v>-1967698.1640423869</v>
          </cell>
          <cell r="L24">
            <v>-271455.86116139707</v>
          </cell>
        </row>
        <row r="25">
          <cell r="C25">
            <v>-1431793.7778284522</v>
          </cell>
          <cell r="G25">
            <v>-1173832.4668420632</v>
          </cell>
          <cell r="H25">
            <v>257961.31098638894</v>
          </cell>
          <cell r="K25">
            <v>-1670652.5691941474</v>
          </cell>
          <cell r="L25">
            <v>-238858.79136569519</v>
          </cell>
        </row>
        <row r="26">
          <cell r="C26">
            <v>-1200056.3127438158</v>
          </cell>
          <cell r="G26">
            <v>-974323.59198698669</v>
          </cell>
          <cell r="H26">
            <v>225732.72075682913</v>
          </cell>
          <cell r="K26">
            <v>-1408353.2504790484</v>
          </cell>
          <cell r="L26">
            <v>-208296.93773523252</v>
          </cell>
        </row>
        <row r="27">
          <cell r="C27">
            <v>-998693.46431677928</v>
          </cell>
          <cell r="G27">
            <v>-802997.60943825368</v>
          </cell>
          <cell r="H27">
            <v>195695.8548785256</v>
          </cell>
          <cell r="K27">
            <v>-1179127.285407111</v>
          </cell>
          <cell r="L27">
            <v>-180433.82109033177</v>
          </cell>
        </row>
        <row r="28">
          <cell r="C28">
            <v>-838591.99756181927</v>
          </cell>
          <cell r="G28">
            <v>-667755.56522892101</v>
          </cell>
          <cell r="H28">
            <v>170836.43233289826</v>
          </cell>
          <cell r="K28">
            <v>-996298.95372076612</v>
          </cell>
          <cell r="L28">
            <v>-157706.95615894685</v>
          </cell>
        </row>
        <row r="29">
          <cell r="C29">
            <v>-720685.38802104245</v>
          </cell>
          <cell r="G29">
            <v>-568330.833843139</v>
          </cell>
          <cell r="H29">
            <v>152354.55417790345</v>
          </cell>
          <cell r="K29">
            <v>-861797.89076052164</v>
          </cell>
          <cell r="L29">
            <v>-141112.50273947918</v>
          </cell>
        </row>
        <row r="30">
          <cell r="C30">
            <v>-558235.74806917703</v>
          </cell>
          <cell r="G30">
            <v>-435977.89537320973</v>
          </cell>
          <cell r="H30">
            <v>122257.8526959673</v>
          </cell>
          <cell r="K30">
            <v>-671923.77626391465</v>
          </cell>
          <cell r="L30">
            <v>-113688.02819473762</v>
          </cell>
        </row>
        <row r="31">
          <cell r="C31">
            <v>-421440.35980320035</v>
          </cell>
          <cell r="G31">
            <v>-325969.88429583336</v>
          </cell>
          <cell r="H31">
            <v>95470.475507366995</v>
          </cell>
          <cell r="K31">
            <v>-510701.44923995523</v>
          </cell>
          <cell r="L31">
            <v>-89261.089436754875</v>
          </cell>
        </row>
        <row r="32">
          <cell r="C32">
            <v>-302770.53230302059</v>
          </cell>
          <cell r="G32">
            <v>-231927.16234298257</v>
          </cell>
          <cell r="H32">
            <v>70843.369960038021</v>
          </cell>
          <cell r="K32">
            <v>-369412.54644298513</v>
          </cell>
          <cell r="L32">
            <v>-66642.014139964536</v>
          </cell>
        </row>
        <row r="33">
          <cell r="C33">
            <v>-236314.58827624502</v>
          </cell>
          <cell r="G33">
            <v>-179278.32988517825</v>
          </cell>
          <cell r="H33">
            <v>57036.258391066774</v>
          </cell>
          <cell r="K33">
            <v>-290296.51690831187</v>
          </cell>
          <cell r="L33">
            <v>-53981.928632066847</v>
          </cell>
        </row>
        <row r="34">
          <cell r="C34">
            <v>-239653.31964162237</v>
          </cell>
          <cell r="G34">
            <v>-180061.66979761617</v>
          </cell>
          <cell r="H34">
            <v>59591.649844006199</v>
          </cell>
          <cell r="K34">
            <v>-296439.89558175183</v>
          </cell>
          <cell r="L34">
            <v>-56786.575940129464</v>
          </cell>
        </row>
        <row r="35">
          <cell r="C35">
            <v>-131360.10463322376</v>
          </cell>
          <cell r="G35">
            <v>-97747.233596084814</v>
          </cell>
          <cell r="H35">
            <v>33612.871037138946</v>
          </cell>
          <cell r="K35">
            <v>-163633.96585479501</v>
          </cell>
          <cell r="L35">
            <v>-32273.861221571249</v>
          </cell>
        </row>
        <row r="36">
          <cell r="C36">
            <v>-76613.781504529004</v>
          </cell>
          <cell r="G36">
            <v>-56461.393830696237</v>
          </cell>
          <cell r="H36">
            <v>20152.387673832767</v>
          </cell>
          <cell r="K36">
            <v>-96109.939378647541</v>
          </cell>
          <cell r="L36">
            <v>-19496.157874118537</v>
          </cell>
        </row>
        <row r="37">
          <cell r="C37">
            <v>-53186.890228914985</v>
          </cell>
          <cell r="G37">
            <v>-38819.907309522539</v>
          </cell>
          <cell r="H37">
            <v>14366.982919392445</v>
          </cell>
          <cell r="K37">
            <v>-67191.244531712</v>
          </cell>
          <cell r="L37">
            <v>-14004.354302797015</v>
          </cell>
        </row>
        <row r="38">
          <cell r="C38">
            <v>-43470.514270396518</v>
          </cell>
          <cell r="G38">
            <v>-31423.323873366044</v>
          </cell>
          <cell r="H38">
            <v>12047.190397030474</v>
          </cell>
          <cell r="K38">
            <v>-55311.398994276664</v>
          </cell>
          <cell r="L38">
            <v>-11840.884723880146</v>
          </cell>
        </row>
        <row r="39">
          <cell r="C39">
            <v>-33762.457129006609</v>
          </cell>
          <cell r="G39">
            <v>-24171.249149852611</v>
          </cell>
          <cell r="H39">
            <v>9591.2079791539982</v>
          </cell>
          <cell r="K39">
            <v>-43260.531279917384</v>
          </cell>
          <cell r="L39">
            <v>-9498.0741509107756</v>
          </cell>
        </row>
        <row r="40">
          <cell r="C40">
            <v>-22915.227676036942</v>
          </cell>
          <cell r="G40">
            <v>-16247.908897557498</v>
          </cell>
          <cell r="H40">
            <v>6667.3187784794445</v>
          </cell>
          <cell r="K40">
            <v>-29567.572116214218</v>
          </cell>
          <cell r="L40">
            <v>-6652.3444401772758</v>
          </cell>
        </row>
        <row r="41">
          <cell r="C41">
            <v>-16624.525991813585</v>
          </cell>
          <cell r="G41">
            <v>-11674.323208835525</v>
          </cell>
          <cell r="H41">
            <v>4950.20278297806</v>
          </cell>
          <cell r="K41">
            <v>-21600.768606838188</v>
          </cell>
          <cell r="L41">
            <v>-4976.2426150246029</v>
          </cell>
        </row>
        <row r="42">
          <cell r="C42">
            <v>-12944.009450476451</v>
          </cell>
          <cell r="G42">
            <v>-9002.4620346827196</v>
          </cell>
          <cell r="H42">
            <v>3941.5474157937315</v>
          </cell>
          <cell r="K42">
            <v>-16936.066707798676</v>
          </cell>
          <cell r="L42">
            <v>-3992.0572573222253</v>
          </cell>
        </row>
        <row r="43">
          <cell r="C43">
            <v>-11543.509577092174</v>
          </cell>
          <cell r="G43">
            <v>-7951.3573717072013</v>
          </cell>
          <cell r="H43">
            <v>3592.1522053849731</v>
          </cell>
          <cell r="K43">
            <v>-15208.987509046176</v>
          </cell>
          <cell r="L43">
            <v>-3665.4779319540012</v>
          </cell>
        </row>
        <row r="44">
          <cell r="C44">
            <v>-8356.0246217555286</v>
          </cell>
          <cell r="G44">
            <v>-5700.5260851376079</v>
          </cell>
          <cell r="H44">
            <v>2655.4985366179208</v>
          </cell>
          <cell r="K44">
            <v>-11083.884461962331</v>
          </cell>
          <cell r="L44">
            <v>-2727.8598402068019</v>
          </cell>
        </row>
        <row r="45">
          <cell r="C45">
            <v>-3397.4935582154299</v>
          </cell>
          <cell r="G45">
            <v>-2295.542544352505</v>
          </cell>
          <cell r="H45">
            <v>1101.9510138629248</v>
          </cell>
          <cell r="K45">
            <v>-4537.0391788752149</v>
          </cell>
          <cell r="L45">
            <v>-1139.5456206597851</v>
          </cell>
        </row>
        <row r="46">
          <cell r="C46">
            <v>-1405.0568874677729</v>
          </cell>
          <cell r="G46">
            <v>-940.22923938370604</v>
          </cell>
          <cell r="H46">
            <v>464.82764808406682</v>
          </cell>
          <cell r="K46">
            <v>-1889.3306288251406</v>
          </cell>
          <cell r="L46">
            <v>-484.27374135736773</v>
          </cell>
        </row>
        <row r="47">
          <cell r="C47">
            <v>-717.1686574862033</v>
          </cell>
          <cell r="G47">
            <v>-475.30710619168195</v>
          </cell>
          <cell r="H47">
            <v>241.86155129452135</v>
          </cell>
          <cell r="K47">
            <v>-971.02706755381894</v>
          </cell>
          <cell r="L47">
            <v>-253.85841006761564</v>
          </cell>
        </row>
        <row r="48">
          <cell r="C48">
            <v>-418.86153913100105</v>
          </cell>
          <cell r="G48">
            <v>-274.93859141017401</v>
          </cell>
          <cell r="H48">
            <v>143.92294772082704</v>
          </cell>
          <cell r="J48">
            <v>43.5</v>
          </cell>
          <cell r="K48">
            <v>-570.80526287158148</v>
          </cell>
          <cell r="L48">
            <v>-151.94372374058042</v>
          </cell>
        </row>
        <row r="49">
          <cell r="C49">
            <v>-234.44133614261602</v>
          </cell>
          <cell r="G49">
            <v>-152.40992842196931</v>
          </cell>
          <cell r="H49">
            <v>82.031407720646712</v>
          </cell>
          <cell r="K49">
            <v>-321.54742481031695</v>
          </cell>
          <cell r="L49">
            <v>-87.106088667700931</v>
          </cell>
        </row>
        <row r="50">
          <cell r="C50">
            <v>-127.06038352212131</v>
          </cell>
          <cell r="G50">
            <v>-81.809354666455619</v>
          </cell>
          <cell r="H50">
            <v>45.251028855665695</v>
          </cell>
          <cell r="K50">
            <v>-175.42786449407686</v>
          </cell>
          <cell r="L50">
            <v>-48.367480971955544</v>
          </cell>
        </row>
        <row r="51">
          <cell r="C51">
            <v>-65.736038593704549</v>
          </cell>
          <cell r="G51">
            <v>-41.918943734050927</v>
          </cell>
          <cell r="H51">
            <v>23.817094859653622</v>
          </cell>
          <cell r="K51">
            <v>-91.361004134959643</v>
          </cell>
          <cell r="L51">
            <v>-25.624965541255094</v>
          </cell>
        </row>
        <row r="52">
          <cell r="C52">
            <v>-28.611671900662198</v>
          </cell>
          <cell r="G52">
            <v>-18.070275093211801</v>
          </cell>
          <cell r="H52">
            <v>10.541396807450397</v>
          </cell>
          <cell r="K52">
            <v>-40.018401959583464</v>
          </cell>
          <cell r="L52">
            <v>-11.406730058921266</v>
          </cell>
        </row>
        <row r="53">
          <cell r="C53">
            <v>-10.224619289912912</v>
          </cell>
          <cell r="G53">
            <v>-6.3956200506690886</v>
          </cell>
          <cell r="H53">
            <v>3.8289992392438235</v>
          </cell>
          <cell r="K53">
            <v>-14.391635515658445</v>
          </cell>
          <cell r="L53">
            <v>-4.1670162257455328</v>
          </cell>
        </row>
        <row r="54">
          <cell r="C54">
            <v>-2.471653368288818</v>
          </cell>
          <cell r="G54">
            <v>-1.5312186322361376</v>
          </cell>
          <cell r="H54">
            <v>0.94043473605268035</v>
          </cell>
          <cell r="K54">
            <v>-3.5009412417624013</v>
          </cell>
          <cell r="L54">
            <v>-1.0292878734735833</v>
          </cell>
        </row>
      </sheetData>
      <sheetData sheetId="2">
        <row r="3">
          <cell r="D3">
            <v>-892398080.34821475</v>
          </cell>
          <cell r="G3">
            <v>-865398320.5344981</v>
          </cell>
          <cell r="J3">
            <v>-848718259.12740588</v>
          </cell>
          <cell r="M3">
            <v>-881784615.63763845</v>
          </cell>
        </row>
        <row r="4">
          <cell r="D4">
            <v>-115690575.8067085</v>
          </cell>
          <cell r="G4">
            <v>-97596835.402849719</v>
          </cell>
          <cell r="J4">
            <v>-90045732.738039598</v>
          </cell>
          <cell r="M4">
            <v>-104058765.6619495</v>
          </cell>
        </row>
        <row r="5">
          <cell r="D5">
            <v>-58898037.913481206</v>
          </cell>
          <cell r="G5">
            <v>-41053306.833920009</v>
          </cell>
          <cell r="J5">
            <v>-35954660.31151025</v>
          </cell>
          <cell r="M5">
            <v>-45451104.74807509</v>
          </cell>
        </row>
        <row r="6">
          <cell r="D6">
            <v>-12808002.431921231</v>
          </cell>
          <cell r="G6">
            <v>-6948235.4885651749</v>
          </cell>
          <cell r="J6">
            <v>-5540455.0090341829</v>
          </cell>
          <cell r="M6">
            <v>-8255004.1339985142</v>
          </cell>
        </row>
        <row r="7">
          <cell r="D7">
            <v>-1003173.9594634318</v>
          </cell>
          <cell r="G7">
            <v>-417184.1714283633</v>
          </cell>
          <cell r="J7">
            <v>-303487.83817937947</v>
          </cell>
          <cell r="M7">
            <v>-528518.80885149038</v>
          </cell>
        </row>
      </sheetData>
      <sheetData sheetId="3">
        <row r="3">
          <cell r="D3">
            <v>16680061.407092109</v>
          </cell>
          <cell r="G3">
            <v>-16386295.103140369</v>
          </cell>
          <cell r="J3">
            <v>-121328.45494246425</v>
          </cell>
        </row>
        <row r="4">
          <cell r="D4">
            <v>7551102.6648101304</v>
          </cell>
          <cell r="G4">
            <v>-6461930.2590997685</v>
          </cell>
          <cell r="J4">
            <v>-66851.79049853317</v>
          </cell>
        </row>
        <row r="5">
          <cell r="D5">
            <v>5098646.5224097585</v>
          </cell>
          <cell r="G5">
            <v>-4397797.9141550893</v>
          </cell>
          <cell r="J5">
            <v>-54395.574619738749</v>
          </cell>
        </row>
        <row r="6">
          <cell r="D6">
            <v>1407780.4795309904</v>
          </cell>
          <cell r="G6">
            <v>-1306768.6454333388</v>
          </cell>
          <cell r="J6">
            <v>-15842.806445676726</v>
          </cell>
        </row>
        <row r="7">
          <cell r="D7">
            <v>113696.33324898381</v>
          </cell>
          <cell r="G7">
            <v>-111334.63742312703</v>
          </cell>
          <cell r="J7">
            <v>-1336.0953963016243</v>
          </cell>
        </row>
      </sheetData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Aprile25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-411777909.20632553</v>
          </cell>
        </row>
        <row r="6">
          <cell r="L6">
            <v>-261908193.95837164</v>
          </cell>
        </row>
        <row r="7">
          <cell r="L7">
            <v>-111275047.21821414</v>
          </cell>
        </row>
        <row r="8">
          <cell r="L8">
            <v>-63006264.026363127</v>
          </cell>
        </row>
        <row r="9">
          <cell r="L9">
            <v>-44430665.938940234</v>
          </cell>
        </row>
        <row r="10">
          <cell r="L10">
            <v>-34891813.537727728</v>
          </cell>
        </row>
        <row r="11">
          <cell r="L11">
            <v>-27477124.858067438</v>
          </cell>
        </row>
        <row r="12">
          <cell r="L12">
            <v>-21819803.244795237</v>
          </cell>
        </row>
        <row r="13">
          <cell r="L13">
            <v>-16770198.96276848</v>
          </cell>
        </row>
        <row r="14">
          <cell r="L14">
            <v>-14731635.203349624</v>
          </cell>
        </row>
        <row r="15">
          <cell r="L15">
            <v>-11655204.958503354</v>
          </cell>
        </row>
        <row r="16">
          <cell r="L16">
            <v>-8435297.1572369467</v>
          </cell>
        </row>
        <row r="17">
          <cell r="L17">
            <v>-7306616.4948640792</v>
          </cell>
        </row>
        <row r="18">
          <cell r="L18">
            <v>-6468465.4787296858</v>
          </cell>
        </row>
        <row r="19">
          <cell r="L19">
            <v>-5905599.0002543479</v>
          </cell>
        </row>
        <row r="20">
          <cell r="L20">
            <v>-5065739.7587623931</v>
          </cell>
        </row>
        <row r="21">
          <cell r="L21">
            <v>-4343641.9536301</v>
          </cell>
        </row>
        <row r="22">
          <cell r="L22">
            <v>-3696308.7812472349</v>
          </cell>
        </row>
        <row r="23">
          <cell r="L23">
            <v>-3177604.6269785906</v>
          </cell>
        </row>
        <row r="24">
          <cell r="L24">
            <v>-2843559.703274474</v>
          </cell>
        </row>
        <row r="25">
          <cell r="L25">
            <v>-2452944.2473372761</v>
          </cell>
        </row>
        <row r="26">
          <cell r="L26">
            <v>-2102952.0926433806</v>
          </cell>
        </row>
        <row r="27">
          <cell r="L27">
            <v>-1792049.0184774357</v>
          </cell>
        </row>
        <row r="28">
          <cell r="L28">
            <v>-1542449.8353099083</v>
          </cell>
        </row>
        <row r="29">
          <cell r="L29">
            <v>-1360090.4747221987</v>
          </cell>
        </row>
        <row r="30">
          <cell r="L30">
            <v>-1081722.0163567548</v>
          </cell>
        </row>
        <row r="31">
          <cell r="L31">
            <v>-839087.83657669497</v>
          </cell>
        </row>
        <row r="32">
          <cell r="L32">
            <v>-619766.60830088321</v>
          </cell>
        </row>
        <row r="33">
          <cell r="L33">
            <v>-497604.47380028397</v>
          </cell>
        </row>
        <row r="34">
          <cell r="L34">
            <v>-519335.82839641394</v>
          </cell>
        </row>
        <row r="35">
          <cell r="L35">
            <v>-293092.47706498561</v>
          </cell>
        </row>
        <row r="36">
          <cell r="L36">
            <v>-176065.85845723216</v>
          </cell>
        </row>
        <row r="37">
          <cell r="L37">
            <v>-125918.26249155083</v>
          </cell>
        </row>
        <row r="38">
          <cell r="L38">
            <v>-106077.91701313858</v>
          </cell>
        </row>
        <row r="39">
          <cell r="L39">
            <v>-84939.060421409333</v>
          </cell>
        </row>
        <row r="40">
          <cell r="L40">
            <v>-59437.809091827345</v>
          </cell>
        </row>
        <row r="41">
          <cell r="L41">
            <v>-44467.8291646699</v>
          </cell>
        </row>
        <row r="42">
          <cell r="L42">
            <v>-35712.177915205248</v>
          </cell>
        </row>
        <row r="43">
          <cell r="L43">
            <v>-32857.085868326561</v>
          </cell>
        </row>
        <row r="44">
          <cell r="L44">
            <v>-24542.982245016221</v>
          </cell>
        </row>
        <row r="45">
          <cell r="L45">
            <v>-10297.462700877515</v>
          </cell>
        </row>
        <row r="46">
          <cell r="L46">
            <v>-4395.3899880581157</v>
          </cell>
        </row>
        <row r="47">
          <cell r="L47">
            <v>-2316.0393990583561</v>
          </cell>
        </row>
        <row r="48">
          <cell r="L48">
            <v>-1396.1147781590391</v>
          </cell>
        </row>
        <row r="49">
          <cell r="L49">
            <v>-806.659245458442</v>
          </cell>
        </row>
        <row r="50">
          <cell r="L50">
            <v>-451.39044130132487</v>
          </cell>
        </row>
        <row r="51">
          <cell r="L51">
            <v>-241.10901589147616</v>
          </cell>
        </row>
        <row r="52">
          <cell r="L52">
            <v>-108.3669233012069</v>
          </cell>
        </row>
        <row r="53">
          <cell r="L53">
            <v>-39.986952229971827</v>
          </cell>
        </row>
        <row r="54">
          <cell r="L54">
            <v>-9.9802857346089286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2.6473572386580559</v>
          </cell>
          <cell r="P4">
            <v>-264663.42950019619</v>
          </cell>
        </row>
        <row r="5">
          <cell r="C5">
            <v>-408020287.7236163</v>
          </cell>
          <cell r="D5">
            <v>-20214.847794402427</v>
          </cell>
          <cell r="G5">
            <v>-405471113.00095528</v>
          </cell>
          <cell r="H5">
            <v>2549174.7226610184</v>
          </cell>
          <cell r="J5">
            <v>0.5</v>
          </cell>
          <cell r="K5">
            <v>-410824956.79612827</v>
          </cell>
          <cell r="L5">
            <v>-2804669.072511971</v>
          </cell>
        </row>
        <row r="6">
          <cell r="C6">
            <v>-254965386.93674061</v>
          </cell>
          <cell r="D6">
            <v>-37734.496174425207</v>
          </cell>
          <cell r="G6">
            <v>-250295657.17636359</v>
          </cell>
          <cell r="H6">
            <v>4669729.7603770196</v>
          </cell>
          <cell r="J6">
            <v>1.5</v>
          </cell>
          <cell r="K6">
            <v>-259680368.93439272</v>
          </cell>
          <cell r="L6">
            <v>-4714981.9976521134</v>
          </cell>
        </row>
        <row r="7">
          <cell r="C7">
            <v>-106351266.2647834</v>
          </cell>
          <cell r="D7">
            <v>-26189.726704088629</v>
          </cell>
          <cell r="G7">
            <v>-103254657.35691471</v>
          </cell>
          <cell r="H7">
            <v>3096608.9078686833</v>
          </cell>
          <cell r="J7">
            <v>2.5</v>
          </cell>
          <cell r="K7">
            <v>-109242735.66114226</v>
          </cell>
          <cell r="L7">
            <v>-2891469.3963588625</v>
          </cell>
        </row>
        <row r="8">
          <cell r="C8">
            <v>-58984184.081899561</v>
          </cell>
          <cell r="G8">
            <v>-56690484.048399903</v>
          </cell>
          <cell r="H8">
            <v>2293700.0334996581</v>
          </cell>
          <cell r="K8">
            <v>-61052408.874852911</v>
          </cell>
          <cell r="L8">
            <v>-2068224.7929533496</v>
          </cell>
        </row>
        <row r="9">
          <cell r="C9">
            <v>-40679025.865179092</v>
          </cell>
          <cell r="G9">
            <v>-38723671.387170911</v>
          </cell>
          <cell r="H9">
            <v>1955354.4780081809</v>
          </cell>
          <cell r="K9">
            <v>-42419166.456523091</v>
          </cell>
          <cell r="L9">
            <v>-1740140.5913439989</v>
          </cell>
        </row>
        <row r="10">
          <cell r="C10">
            <v>-31196670.094101746</v>
          </cell>
          <cell r="G10">
            <v>-29417022.746683251</v>
          </cell>
          <cell r="H10">
            <v>1779647.3474184945</v>
          </cell>
          <cell r="K10">
            <v>-32754497.179564428</v>
          </cell>
          <cell r="L10">
            <v>-1557827.0854626819</v>
          </cell>
        </row>
        <row r="11">
          <cell r="C11">
            <v>-23956179.3367645</v>
          </cell>
          <cell r="G11">
            <v>-22382906.126072716</v>
          </cell>
          <cell r="H11">
            <v>1573273.2106917836</v>
          </cell>
          <cell r="K11">
            <v>-25310871.19519116</v>
          </cell>
          <cell r="L11">
            <v>-1354691.8584266603</v>
          </cell>
        </row>
        <row r="12">
          <cell r="C12">
            <v>-18529863.37190662</v>
          </cell>
          <cell r="G12">
            <v>-17156100.744794037</v>
          </cell>
          <cell r="H12">
            <v>1373762.6271125823</v>
          </cell>
          <cell r="K12">
            <v>-19689310.521064464</v>
          </cell>
          <cell r="L12">
            <v>-1159447.1491578445</v>
          </cell>
        </row>
        <row r="13">
          <cell r="C13">
            <v>-13860560.027828779</v>
          </cell>
          <cell r="G13">
            <v>-12729640.95733441</v>
          </cell>
          <cell r="H13">
            <v>1130919.0704943687</v>
          </cell>
          <cell r="K13">
            <v>-14792382.62062004</v>
          </cell>
          <cell r="L13">
            <v>-931822.59279126115</v>
          </cell>
        </row>
        <row r="14">
          <cell r="C14">
            <v>-11843250.271031342</v>
          </cell>
          <cell r="G14">
            <v>-10793654.494587308</v>
          </cell>
          <cell r="H14">
            <v>1049595.7764440347</v>
          </cell>
          <cell r="K14">
            <v>-12690950.001083922</v>
          </cell>
          <cell r="L14">
            <v>-847699.73005257919</v>
          </cell>
        </row>
        <row r="15">
          <cell r="C15">
            <v>-9111991.5135631133</v>
          </cell>
          <cell r="G15">
            <v>-8228487.909977545</v>
          </cell>
          <cell r="H15">
            <v>883503.60358556826</v>
          </cell>
          <cell r="K15">
            <v>-9815351.4060959555</v>
          </cell>
          <cell r="L15">
            <v>-703359.89253284223</v>
          </cell>
        </row>
        <row r="16">
          <cell r="C16">
            <v>-6412755.0413827924</v>
          </cell>
          <cell r="G16">
            <v>-5735202.0334209921</v>
          </cell>
          <cell r="H16">
            <v>677553.00796180032</v>
          </cell>
          <cell r="K16">
            <v>-6947597.0797675224</v>
          </cell>
          <cell r="L16">
            <v>-534842.03838473</v>
          </cell>
        </row>
        <row r="17">
          <cell r="C17">
            <v>-5401806.6293785572</v>
          </cell>
          <cell r="G17">
            <v>-4784537.4710855335</v>
          </cell>
          <cell r="H17">
            <v>617269.15829302371</v>
          </cell>
          <cell r="K17">
            <v>-5882598.2304029856</v>
          </cell>
          <cell r="L17">
            <v>-480791.60102442838</v>
          </cell>
        </row>
        <row r="18">
          <cell r="C18">
            <v>-4652403.659819819</v>
          </cell>
          <cell r="G18">
            <v>-4081059.9903228199</v>
          </cell>
          <cell r="H18">
            <v>571343.66949699912</v>
          </cell>
          <cell r="K18">
            <v>-5097907.6954934914</v>
          </cell>
          <cell r="L18">
            <v>-445504.03567367233</v>
          </cell>
        </row>
        <row r="19">
          <cell r="C19">
            <v>-4134622.7214817405</v>
          </cell>
          <cell r="G19">
            <v>-3591897.8575628051</v>
          </cell>
          <cell r="H19">
            <v>542724.86391893541</v>
          </cell>
          <cell r="K19">
            <v>-4556195.46980571</v>
          </cell>
          <cell r="L19">
            <v>-421572.74832396954</v>
          </cell>
        </row>
        <row r="20">
          <cell r="C20">
            <v>-3455032.8832262144</v>
          </cell>
          <cell r="G20">
            <v>-2972547.5101904552</v>
          </cell>
          <cell r="H20">
            <v>482485.3730357592</v>
          </cell>
          <cell r="K20">
            <v>-3834953.1751663727</v>
          </cell>
          <cell r="L20">
            <v>-379920.29194015823</v>
          </cell>
        </row>
        <row r="21">
          <cell r="C21">
            <v>-2888907.8467784291</v>
          </cell>
          <cell r="G21">
            <v>-2461471.9769299915</v>
          </cell>
          <cell r="H21">
            <v>427435.86984843761</v>
          </cell>
          <cell r="K21">
            <v>-3235133.5665141679</v>
          </cell>
          <cell r="L21">
            <v>-346225.71973573882</v>
          </cell>
        </row>
        <row r="22">
          <cell r="C22">
            <v>-2399383.6063289233</v>
          </cell>
          <cell r="G22">
            <v>-2024611.9522164781</v>
          </cell>
          <cell r="H22">
            <v>374771.65411244519</v>
          </cell>
          <cell r="K22">
            <v>-2704981.5218755412</v>
          </cell>
          <cell r="L22">
            <v>-305597.91554661794</v>
          </cell>
        </row>
        <row r="23">
          <cell r="C23">
            <v>-2015281.5636604752</v>
          </cell>
          <cell r="G23">
            <v>-1684046.2753914632</v>
          </cell>
          <cell r="H23">
            <v>331235.288269012</v>
          </cell>
          <cell r="K23">
            <v>-2291869.8571867114</v>
          </cell>
          <cell r="L23">
            <v>-276588.2935262362</v>
          </cell>
        </row>
        <row r="24">
          <cell r="C24">
            <v>-1763593.0907515138</v>
          </cell>
          <cell r="G24">
            <v>-1459451.4928637638</v>
          </cell>
          <cell r="H24">
            <v>304141.59788775002</v>
          </cell>
          <cell r="K24">
            <v>-2023052.5129341797</v>
          </cell>
          <cell r="L24">
            <v>-259459.4221826659</v>
          </cell>
        </row>
        <row r="25">
          <cell r="C25">
            <v>-1487466.8409898733</v>
          </cell>
          <cell r="G25">
            <v>-1219028.7537774213</v>
          </cell>
          <cell r="H25">
            <v>268438.08721245197</v>
          </cell>
          <cell r="K25">
            <v>-1716820.7862810614</v>
          </cell>
          <cell r="L25">
            <v>-229353.94529118808</v>
          </cell>
        </row>
        <row r="26">
          <cell r="C26">
            <v>-1245653.5877997763</v>
          </cell>
          <cell r="G26">
            <v>-1010981.6931009853</v>
          </cell>
          <cell r="H26">
            <v>234671.89469879109</v>
          </cell>
          <cell r="K26">
            <v>-1446606.6688839907</v>
          </cell>
          <cell r="L26">
            <v>-200953.08108421438</v>
          </cell>
        </row>
        <row r="27">
          <cell r="C27">
            <v>-1035828.6189600568</v>
          </cell>
          <cell r="G27">
            <v>-832564.04685762932</v>
          </cell>
          <cell r="H27">
            <v>203264.57210242748</v>
          </cell>
          <cell r="K27">
            <v>-1210525.4238513422</v>
          </cell>
          <cell r="L27">
            <v>-174696.80489128537</v>
          </cell>
        </row>
        <row r="28">
          <cell r="C28">
            <v>-869196.34280755126</v>
          </cell>
          <cell r="G28">
            <v>-691886.59530619415</v>
          </cell>
          <cell r="H28">
            <v>177309.74750135711</v>
          </cell>
          <cell r="K28">
            <v>-1022374.5123212648</v>
          </cell>
          <cell r="L28">
            <v>-153178.16951371357</v>
          </cell>
        </row>
        <row r="29">
          <cell r="C29">
            <v>-746610.62443113979</v>
          </cell>
          <cell r="G29">
            <v>-588575.17156456271</v>
          </cell>
          <cell r="H29">
            <v>158035.45286657708</v>
          </cell>
          <cell r="K29">
            <v>-884048.65250644484</v>
          </cell>
          <cell r="L29">
            <v>-137438.02807530505</v>
          </cell>
        </row>
        <row r="30">
          <cell r="C30">
            <v>-578073.26628467359</v>
          </cell>
          <cell r="G30">
            <v>-451319.04246379482</v>
          </cell>
          <cell r="H30">
            <v>126754.22382087877</v>
          </cell>
          <cell r="K30">
            <v>-689127.41674012411</v>
          </cell>
          <cell r="L30">
            <v>-111054.15045545052</v>
          </cell>
        </row>
        <row r="31">
          <cell r="C31">
            <v>-436281.19316810532</v>
          </cell>
          <cell r="G31">
            <v>-337336.22040204593</v>
          </cell>
          <cell r="H31">
            <v>98944.972766059393</v>
          </cell>
          <cell r="K31">
            <v>-523681.88930947095</v>
          </cell>
          <cell r="L31">
            <v>-87400.696141365624</v>
          </cell>
        </row>
        <row r="32">
          <cell r="C32">
            <v>-313337.0142939341</v>
          </cell>
          <cell r="G32">
            <v>-239941.98713733806</v>
          </cell>
          <cell r="H32">
            <v>73395.027156596043</v>
          </cell>
          <cell r="K32">
            <v>-378700.1666709967</v>
          </cell>
          <cell r="L32">
            <v>-65363.152377062594</v>
          </cell>
        </row>
        <row r="33">
          <cell r="C33">
            <v>-244492.71413946871</v>
          </cell>
          <cell r="G33">
            <v>-185421.78383174838</v>
          </cell>
          <cell r="H33">
            <v>59070.930307720322</v>
          </cell>
          <cell r="K33">
            <v>-297571.97834164294</v>
          </cell>
          <cell r="L33">
            <v>-53079.264202174236</v>
          </cell>
        </row>
        <row r="34">
          <cell r="C34">
            <v>-247850.08502572356</v>
          </cell>
          <cell r="G34">
            <v>-186160.06596357052</v>
          </cell>
          <cell r="H34">
            <v>61690.019062153035</v>
          </cell>
          <cell r="K34">
            <v>-303824.31326362607</v>
          </cell>
          <cell r="L34">
            <v>-55974.228237902513</v>
          </cell>
        </row>
        <row r="35">
          <cell r="C35">
            <v>-135825.81511771758</v>
          </cell>
          <cell r="G35">
            <v>-101037.58832776239</v>
          </cell>
          <cell r="H35">
            <v>34788.226789955181</v>
          </cell>
          <cell r="K35">
            <v>-167674.05334450991</v>
          </cell>
          <cell r="L35">
            <v>-31848.238226792339</v>
          </cell>
        </row>
        <row r="36">
          <cell r="C36">
            <v>-79207.61238392751</v>
          </cell>
          <cell r="G36">
            <v>-58354.260992966658</v>
          </cell>
          <cell r="H36">
            <v>20853.351390960852</v>
          </cell>
          <cell r="K36">
            <v>-98470.049108259598</v>
          </cell>
          <cell r="L36">
            <v>-19262.436724332088</v>
          </cell>
        </row>
        <row r="37">
          <cell r="C37">
            <v>-54967.176934454095</v>
          </cell>
          <cell r="G37">
            <v>-40106.579341497432</v>
          </cell>
          <cell r="H37">
            <v>14860.597592956663</v>
          </cell>
          <cell r="K37">
            <v>-68828.202746136711</v>
          </cell>
          <cell r="L37">
            <v>-13861.025811682615</v>
          </cell>
        </row>
        <row r="38">
          <cell r="C38">
            <v>-44926.935473877536</v>
          </cell>
          <cell r="G38">
            <v>-32465.770743114903</v>
          </cell>
          <cell r="H38">
            <v>12461.164730762634</v>
          </cell>
          <cell r="K38">
            <v>-56663.568226145937</v>
          </cell>
          <cell r="L38">
            <v>-11736.632752268401</v>
          </cell>
        </row>
        <row r="39">
          <cell r="C39">
            <v>-34892.650337022744</v>
          </cell>
          <cell r="G39">
            <v>-24972.468140270983</v>
          </cell>
          <cell r="H39">
            <v>9920.1821967517608</v>
          </cell>
          <cell r="K39">
            <v>-44319.886267130387</v>
          </cell>
          <cell r="L39">
            <v>-9427.2359301076431</v>
          </cell>
        </row>
        <row r="40">
          <cell r="C40">
            <v>-23676.168784817593</v>
          </cell>
          <cell r="G40">
            <v>-16782.165774789009</v>
          </cell>
          <cell r="H40">
            <v>6894.003010028584</v>
          </cell>
          <cell r="K40">
            <v>-30286.42116325154</v>
          </cell>
          <cell r="L40">
            <v>-6610.2523784339464</v>
          </cell>
        </row>
        <row r="41">
          <cell r="C41">
            <v>-17174.003835760748</v>
          </cell>
          <cell r="G41">
            <v>-12056.409244264132</v>
          </cell>
          <cell r="H41">
            <v>5117.594591496616</v>
          </cell>
          <cell r="K41">
            <v>-22125.000366326207</v>
          </cell>
          <cell r="L41">
            <v>-4950.9965305654587</v>
          </cell>
        </row>
        <row r="42">
          <cell r="C42">
            <v>-13371.493293004283</v>
          </cell>
          <cell r="G42">
            <v>-9296.8574738274565</v>
          </cell>
          <cell r="H42">
            <v>4074.6358191768268</v>
          </cell>
          <cell r="K42">
            <v>-17345.682478117425</v>
          </cell>
          <cell r="L42">
            <v>-3974.1891851131422</v>
          </cell>
        </row>
        <row r="43">
          <cell r="C43">
            <v>-11926.09261054456</v>
          </cell>
          <cell r="G43">
            <v>-8212.3027158513451</v>
          </cell>
          <cell r="H43">
            <v>3713.7898946932146</v>
          </cell>
          <cell r="K43">
            <v>-15577.900325591254</v>
          </cell>
          <cell r="L43">
            <v>-3651.8077150466943</v>
          </cell>
        </row>
        <row r="44">
          <cell r="C44">
            <v>-8633.6078883792361</v>
          </cell>
          <cell r="G44">
            <v>-5888.0387320931823</v>
          </cell>
          <cell r="H44">
            <v>2745.5691562860538</v>
          </cell>
          <cell r="K44">
            <v>-11355.377161059558</v>
          </cell>
          <cell r="L44">
            <v>-2721.7692726803216</v>
          </cell>
        </row>
        <row r="45">
          <cell r="C45">
            <v>-3509.7920038803227</v>
          </cell>
          <cell r="G45">
            <v>-2370.676740224576</v>
          </cell>
          <cell r="H45">
            <v>1139.1152636557467</v>
          </cell>
          <cell r="K45">
            <v>-4648.2380507719909</v>
          </cell>
          <cell r="L45">
            <v>-1138.4460468916682</v>
          </cell>
        </row>
        <row r="46">
          <cell r="C46">
            <v>-1451.4846589889933</v>
          </cell>
          <cell r="G46">
            <v>-970.99237106758039</v>
          </cell>
          <cell r="H46">
            <v>480.49228792141287</v>
          </cell>
          <cell r="K46">
            <v>-1935.6076276175963</v>
          </cell>
          <cell r="L46">
            <v>-484.12296862860308</v>
          </cell>
        </row>
        <row r="47">
          <cell r="C47">
            <v>-740.98522236402164</v>
          </cell>
          <cell r="G47">
            <v>-490.93712229671564</v>
          </cell>
          <cell r="H47">
            <v>250.048100067306</v>
          </cell>
          <cell r="K47">
            <v>-994.76737919614447</v>
          </cell>
          <cell r="L47">
            <v>-253.78215683212284</v>
          </cell>
        </row>
        <row r="48">
          <cell r="C48">
            <v>-432.6453907831733</v>
          </cell>
          <cell r="G48">
            <v>-283.89800357403197</v>
          </cell>
          <cell r="H48">
            <v>148.74738720914132</v>
          </cell>
          <cell r="J48">
            <v>43.5</v>
          </cell>
          <cell r="K48">
            <v>-584.71750167116681</v>
          </cell>
          <cell r="L48">
            <v>-152.07211088799352</v>
          </cell>
        </row>
        <row r="49">
          <cell r="C49">
            <v>-242.12565540178153</v>
          </cell>
          <cell r="G49">
            <v>-157.35647391634504</v>
          </cell>
          <cell r="H49">
            <v>84.769181485436491</v>
          </cell>
          <cell r="K49">
            <v>-329.4223767821764</v>
          </cell>
          <cell r="L49">
            <v>-87.296721380394871</v>
          </cell>
        </row>
        <row r="50">
          <cell r="C50">
            <v>-131.23278981539545</v>
          </cell>
          <cell r="G50">
            <v>-84.469544367206538</v>
          </cell>
          <cell r="H50">
            <v>46.763245448188911</v>
          </cell>
          <cell r="K50">
            <v>-179.74139524840189</v>
          </cell>
          <cell r="L50">
            <v>-48.508605433006437</v>
          </cell>
        </row>
        <row r="51">
          <cell r="C51">
            <v>-67.896553540079339</v>
          </cell>
          <cell r="G51">
            <v>-43.283162040803198</v>
          </cell>
          <cell r="H51">
            <v>24.61339149927614</v>
          </cell>
          <cell r="K51">
            <v>-93.614559523645838</v>
          </cell>
          <cell r="L51">
            <v>-25.718005983566499</v>
          </cell>
        </row>
        <row r="52">
          <cell r="C52">
            <v>-29.558853574156629</v>
          </cell>
          <cell r="G52">
            <v>-18.662620750234034</v>
          </cell>
          <cell r="H52">
            <v>10.896232823922595</v>
          </cell>
          <cell r="K52">
            <v>-41.01734139743585</v>
          </cell>
          <cell r="L52">
            <v>-11.458487823279221</v>
          </cell>
        </row>
        <row r="53">
          <cell r="C53">
            <v>-10.56285685043842</v>
          </cell>
          <cell r="G53">
            <v>-6.6051250345913299</v>
          </cell>
          <cell r="H53">
            <v>3.9577318158470902</v>
          </cell>
          <cell r="K53">
            <v>-14.751511381835584</v>
          </cell>
          <cell r="L53">
            <v>-4.1886545313971641</v>
          </cell>
        </row>
        <row r="54">
          <cell r="C54">
            <v>-2.5526660912688182</v>
          </cell>
          <cell r="G54">
            <v>-1.5809170131525101</v>
          </cell>
          <cell r="H54">
            <v>0.97174907811630806</v>
          </cell>
          <cell r="K54">
            <v>-3.586826250020672</v>
          </cell>
          <cell r="L54">
            <v>-1.0341601587518539</v>
          </cell>
        </row>
      </sheetData>
      <sheetData sheetId="2">
        <row r="3">
          <cell r="D3">
            <v>-892398080.34821475</v>
          </cell>
          <cell r="G3">
            <v>-869000150.87221885</v>
          </cell>
          <cell r="J3">
            <v>-854435582.96980441</v>
          </cell>
          <cell r="M3">
            <v>-883219636.72303915</v>
          </cell>
        </row>
        <row r="4">
          <cell r="D4">
            <v>-115690575.8067085</v>
          </cell>
          <cell r="G4">
            <v>-99386523.101632982</v>
          </cell>
          <cell r="J4">
            <v>-92479325.069471717</v>
          </cell>
          <cell r="M4">
            <v>-105238011.51752402</v>
          </cell>
        </row>
        <row r="5">
          <cell r="D5">
            <v>-58898037.913481206</v>
          </cell>
          <cell r="G5">
            <v>-42235778.55637157</v>
          </cell>
          <cell r="J5">
            <v>-37023314.469961844</v>
          </cell>
          <cell r="M5">
            <v>-46389640.515242636</v>
          </cell>
        </row>
        <row r="6">
          <cell r="D6">
            <v>-12808002.431921231</v>
          </cell>
          <cell r="G6">
            <v>-7204790.2879003026</v>
          </cell>
          <cell r="J6">
            <v>-5743215.3604052914</v>
          </cell>
          <cell r="M6">
            <v>-8473281.8081699628</v>
          </cell>
        </row>
        <row r="7">
          <cell r="D7">
            <v>-1003173.9594634318</v>
          </cell>
          <cell r="G7">
            <v>-431220.39331079554</v>
          </cell>
          <cell r="J7">
            <v>-313600.90356672276</v>
          </cell>
          <cell r="M7">
            <v>-541471.60575636895</v>
          </cell>
        </row>
      </sheetData>
      <sheetData sheetId="3">
        <row r="3">
          <cell r="D3">
            <v>14564567.90241456</v>
          </cell>
          <cell r="G3">
            <v>-14219485.850820296</v>
          </cell>
          <cell r="J3">
            <v>-122431.29569334075</v>
          </cell>
        </row>
        <row r="4">
          <cell r="D4">
            <v>6907198.0321612637</v>
          </cell>
          <cell r="G4">
            <v>-5851488.4158910271</v>
          </cell>
          <cell r="J4">
            <v>-68269.683287668144</v>
          </cell>
        </row>
        <row r="5">
          <cell r="D5">
            <v>5212464.0864097308</v>
          </cell>
          <cell r="G5">
            <v>-4153861.9588710601</v>
          </cell>
          <cell r="J5">
            <v>-56129.750198825823</v>
          </cell>
        </row>
        <row r="6">
          <cell r="D6">
            <v>1461574.9274950125</v>
          </cell>
          <cell r="G6">
            <v>-1268491.5202696619</v>
          </cell>
          <cell r="J6">
            <v>-16450.314000970026</v>
          </cell>
        </row>
        <row r="7">
          <cell r="D7">
            <v>117619.48974407277</v>
          </cell>
          <cell r="G7">
            <v>-110251.21244557343</v>
          </cell>
          <cell r="J7">
            <v>-1382.3863193914528</v>
          </cell>
        </row>
      </sheetData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Maggio25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-411777909.20632553</v>
          </cell>
        </row>
        <row r="6">
          <cell r="L6">
            <v>-261908193.95837164</v>
          </cell>
        </row>
        <row r="7">
          <cell r="L7">
            <v>-111275047.21821414</v>
          </cell>
        </row>
        <row r="8">
          <cell r="L8">
            <v>-63006264.026363127</v>
          </cell>
        </row>
        <row r="9">
          <cell r="L9">
            <v>-44430665.938940234</v>
          </cell>
        </row>
        <row r="10">
          <cell r="L10">
            <v>-34891813.537727728</v>
          </cell>
        </row>
        <row r="11">
          <cell r="L11">
            <v>-27477124.858067438</v>
          </cell>
        </row>
        <row r="12">
          <cell r="L12">
            <v>-21819803.244795237</v>
          </cell>
        </row>
        <row r="13">
          <cell r="L13">
            <v>-16770198.96276848</v>
          </cell>
        </row>
        <row r="14">
          <cell r="L14">
            <v>-14731635.203349624</v>
          </cell>
        </row>
        <row r="15">
          <cell r="L15">
            <v>-11655204.958503354</v>
          </cell>
        </row>
        <row r="16">
          <cell r="L16">
            <v>-8435297.1572369467</v>
          </cell>
        </row>
        <row r="17">
          <cell r="L17">
            <v>-7306616.4948640792</v>
          </cell>
        </row>
        <row r="18">
          <cell r="L18">
            <v>-6468465.4787296858</v>
          </cell>
        </row>
        <row r="19">
          <cell r="L19">
            <v>-5905599.0002543479</v>
          </cell>
        </row>
        <row r="20">
          <cell r="L20">
            <v>-5065739.7587623931</v>
          </cell>
        </row>
        <row r="21">
          <cell r="L21">
            <v>-4343641.9536301</v>
          </cell>
        </row>
        <row r="22">
          <cell r="L22">
            <v>-3696308.7812472349</v>
          </cell>
        </row>
        <row r="23">
          <cell r="L23">
            <v>-3177604.6269785906</v>
          </cell>
        </row>
        <row r="24">
          <cell r="L24">
            <v>-2843559.703274474</v>
          </cell>
        </row>
        <row r="25">
          <cell r="L25">
            <v>-2452944.2473372761</v>
          </cell>
        </row>
        <row r="26">
          <cell r="L26">
            <v>-2102952.0926433806</v>
          </cell>
        </row>
        <row r="27">
          <cell r="L27">
            <v>-1792049.0184774357</v>
          </cell>
        </row>
        <row r="28">
          <cell r="L28">
            <v>-1542449.8353099083</v>
          </cell>
        </row>
        <row r="29">
          <cell r="L29">
            <v>-1360090.4747221987</v>
          </cell>
        </row>
        <row r="30">
          <cell r="L30">
            <v>-1081722.0163567548</v>
          </cell>
        </row>
        <row r="31">
          <cell r="L31">
            <v>-839087.83657669497</v>
          </cell>
        </row>
        <row r="32">
          <cell r="L32">
            <v>-619766.60830088321</v>
          </cell>
        </row>
        <row r="33">
          <cell r="L33">
            <v>-497604.47380028397</v>
          </cell>
        </row>
        <row r="34">
          <cell r="L34">
            <v>-519335.82839641394</v>
          </cell>
        </row>
        <row r="35">
          <cell r="L35">
            <v>-293092.47706498561</v>
          </cell>
        </row>
        <row r="36">
          <cell r="L36">
            <v>-176065.85845723216</v>
          </cell>
        </row>
        <row r="37">
          <cell r="L37">
            <v>-125918.26249155083</v>
          </cell>
        </row>
        <row r="38">
          <cell r="L38">
            <v>-106077.91701313858</v>
          </cell>
        </row>
        <row r="39">
          <cell r="L39">
            <v>-84939.060421409333</v>
          </cell>
        </row>
        <row r="40">
          <cell r="L40">
            <v>-59437.809091827345</v>
          </cell>
        </row>
        <row r="41">
          <cell r="L41">
            <v>-44467.8291646699</v>
          </cell>
        </row>
        <row r="42">
          <cell r="L42">
            <v>-35712.177915205248</v>
          </cell>
        </row>
        <row r="43">
          <cell r="L43">
            <v>-32857.085868326561</v>
          </cell>
        </row>
        <row r="44">
          <cell r="L44">
            <v>-24542.982245016221</v>
          </cell>
        </row>
        <row r="45">
          <cell r="L45">
            <v>-10297.462700877515</v>
          </cell>
        </row>
        <row r="46">
          <cell r="L46">
            <v>-4395.3899880581157</v>
          </cell>
        </row>
        <row r="47">
          <cell r="L47">
            <v>-2316.0393990583561</v>
          </cell>
        </row>
        <row r="48">
          <cell r="L48">
            <v>-1396.1147781590391</v>
          </cell>
        </row>
        <row r="49">
          <cell r="L49">
            <v>-806.659245458442</v>
          </cell>
        </row>
        <row r="50">
          <cell r="L50">
            <v>-451.39044130132487</v>
          </cell>
        </row>
        <row r="51">
          <cell r="L51">
            <v>-241.10901589147616</v>
          </cell>
        </row>
        <row r="52">
          <cell r="L52">
            <v>-108.3669233012069</v>
          </cell>
        </row>
        <row r="53">
          <cell r="L53">
            <v>-39.986952229971827</v>
          </cell>
        </row>
        <row r="54">
          <cell r="L54">
            <v>-9.9802857346089286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2.6332351865040566</v>
          </cell>
          <cell r="P4">
            <v>-262598.27534711722</v>
          </cell>
        </row>
        <row r="5">
          <cell r="C5">
            <v>-407988541.94369066</v>
          </cell>
          <cell r="D5">
            <v>-20211.702307946642</v>
          </cell>
          <cell r="G5">
            <v>-405416956.50567353</v>
          </cell>
          <cell r="H5">
            <v>2571585.4380171299</v>
          </cell>
          <cell r="J5">
            <v>0.5</v>
          </cell>
          <cell r="K5">
            <v>-410816797.62256449</v>
          </cell>
          <cell r="L5">
            <v>-2828255.678873837</v>
          </cell>
        </row>
        <row r="6">
          <cell r="C6">
            <v>-254808702.85593623</v>
          </cell>
          <cell r="D6">
            <v>-37699.718004208618</v>
          </cell>
          <cell r="G6">
            <v>-250038834.27168781</v>
          </cell>
          <cell r="H6">
            <v>4769868.5842484236</v>
          </cell>
          <cell r="J6">
            <v>1.5</v>
          </cell>
          <cell r="K6">
            <v>-259626352.13247922</v>
          </cell>
          <cell r="L6">
            <v>-4817649.2765429914</v>
          </cell>
        </row>
        <row r="7">
          <cell r="C7">
            <v>-106195706.67872909</v>
          </cell>
          <cell r="D7">
            <v>-26138.662343767144</v>
          </cell>
          <cell r="G7">
            <v>-103008011.74224646</v>
          </cell>
          <cell r="H7">
            <v>3187694.9364826232</v>
          </cell>
          <cell r="J7">
            <v>2.5</v>
          </cell>
          <cell r="K7">
            <v>-109178392.65490758</v>
          </cell>
          <cell r="L7">
            <v>-2982685.9761784971</v>
          </cell>
        </row>
        <row r="8">
          <cell r="C8">
            <v>-58848943.098917149</v>
          </cell>
          <cell r="G8">
            <v>-56484475.858904809</v>
          </cell>
          <cell r="H8">
            <v>2364467.2400123402</v>
          </cell>
          <cell r="K8">
            <v>-60985732.903801881</v>
          </cell>
          <cell r="L8">
            <v>-2136789.8048847318</v>
          </cell>
        </row>
        <row r="9">
          <cell r="C9">
            <v>-40553774.493376926</v>
          </cell>
          <cell r="G9">
            <v>-38538801.396786913</v>
          </cell>
          <cell r="H9">
            <v>2014973.0965900123</v>
          </cell>
          <cell r="K9">
            <v>-42350045.049325161</v>
          </cell>
          <cell r="L9">
            <v>-1796270.5559482351</v>
          </cell>
        </row>
        <row r="10">
          <cell r="C10">
            <v>-31077576.048749566</v>
          </cell>
          <cell r="G10">
            <v>-29246078.714192908</v>
          </cell>
          <cell r="H10">
            <v>1831497.3345566578</v>
          </cell>
          <cell r="K10">
            <v>-32683124.695696812</v>
          </cell>
          <cell r="L10">
            <v>-1605548.646947246</v>
          </cell>
        </row>
        <row r="11">
          <cell r="C11">
            <v>-23847611.012576174</v>
          </cell>
          <cell r="G11">
            <v>-22231625.413900208</v>
          </cell>
          <cell r="H11">
            <v>1615985.5986759663</v>
          </cell>
          <cell r="K11">
            <v>-25241072.076671153</v>
          </cell>
          <cell r="L11">
            <v>-1393461.0640949793</v>
          </cell>
        </row>
        <row r="12">
          <cell r="C12">
            <v>-18431558.476244681</v>
          </cell>
          <cell r="G12">
            <v>-17022811.359254494</v>
          </cell>
          <cell r="H12">
            <v>1408747.1169901863</v>
          </cell>
          <cell r="K12">
            <v>-19623089.9276205</v>
          </cell>
          <cell r="L12">
            <v>-1191531.4513758197</v>
          </cell>
        </row>
        <row r="13">
          <cell r="C13">
            <v>-13774478.163747534</v>
          </cell>
          <cell r="G13">
            <v>-12616151.8060655</v>
          </cell>
          <cell r="H13">
            <v>1158326.3576820344</v>
          </cell>
          <cell r="K13">
            <v>-14731743.441062931</v>
          </cell>
          <cell r="L13">
            <v>-957265.27731539682</v>
          </cell>
        </row>
        <row r="14">
          <cell r="C14">
            <v>-11758939.513279777</v>
          </cell>
          <cell r="G14">
            <v>-10691766.25098376</v>
          </cell>
          <cell r="H14">
            <v>1067173.2622960173</v>
          </cell>
          <cell r="K14">
            <v>-12629389.551482195</v>
          </cell>
          <cell r="L14">
            <v>-870450.03820241801</v>
          </cell>
        </row>
        <row r="15">
          <cell r="C15">
            <v>-9037548.6910562031</v>
          </cell>
          <cell r="G15">
            <v>-8153897.7518821433</v>
          </cell>
          <cell r="H15">
            <v>883650.93917405978</v>
          </cell>
          <cell r="K15">
            <v>-9759717.6821691003</v>
          </cell>
          <cell r="L15">
            <v>-722168.99111289717</v>
          </cell>
        </row>
        <row r="16">
          <cell r="C16">
            <v>-6352205.983597408</v>
          </cell>
          <cell r="G16">
            <v>-5681590.183243921</v>
          </cell>
          <cell r="H16">
            <v>670615.80035348702</v>
          </cell>
          <cell r="K16">
            <v>-6900985.6399222612</v>
          </cell>
          <cell r="L16">
            <v>-548779.65632485319</v>
          </cell>
        </row>
        <row r="17">
          <cell r="C17">
            <v>-5343155.1232931679</v>
          </cell>
          <cell r="G17">
            <v>-4733104.1462828219</v>
          </cell>
          <cell r="H17">
            <v>610050.97701034602</v>
          </cell>
          <cell r="K17">
            <v>-5836523.9467426566</v>
          </cell>
          <cell r="L17">
            <v>-493368.82344948873</v>
          </cell>
        </row>
        <row r="18">
          <cell r="C18">
            <v>-4594244.6413703207</v>
          </cell>
          <cell r="G18">
            <v>-4030550.8734299676</v>
          </cell>
          <cell r="H18">
            <v>563693.76794035314</v>
          </cell>
          <cell r="K18">
            <v>-5051786.7232829304</v>
          </cell>
          <cell r="L18">
            <v>-457542.08191260975</v>
          </cell>
        </row>
        <row r="19">
          <cell r="C19">
            <v>-4075700.9255283605</v>
          </cell>
          <cell r="G19">
            <v>-3541215.5847583418</v>
          </cell>
          <cell r="H19">
            <v>534485.34077001875</v>
          </cell>
          <cell r="K19">
            <v>-4508748.0709397402</v>
          </cell>
          <cell r="L19">
            <v>-433047.14541137964</v>
          </cell>
        </row>
        <row r="20">
          <cell r="C20">
            <v>-3399340.3675602837</v>
          </cell>
          <cell r="G20">
            <v>-2925106.0541380206</v>
          </cell>
          <cell r="H20">
            <v>474234.31342226313</v>
          </cell>
          <cell r="K20">
            <v>-3789683.2412266405</v>
          </cell>
          <cell r="L20">
            <v>-390342.87366635678</v>
          </cell>
        </row>
        <row r="21">
          <cell r="C21">
            <v>-2836171.5060330783</v>
          </cell>
          <cell r="G21">
            <v>-2416981.3278810652</v>
          </cell>
          <cell r="H21">
            <v>419190.1781520131</v>
          </cell>
          <cell r="K21">
            <v>-3192165.0373523417</v>
          </cell>
          <cell r="L21">
            <v>-355993.53131926339</v>
          </cell>
        </row>
        <row r="22">
          <cell r="C22">
            <v>-2350351.1200374435</v>
          </cell>
          <cell r="G22">
            <v>-1983644.0391200201</v>
          </cell>
          <cell r="H22">
            <v>366707.08091742336</v>
          </cell>
          <cell r="K22">
            <v>-2664837.0181965292</v>
          </cell>
          <cell r="L22">
            <v>-314485.89815908577</v>
          </cell>
        </row>
        <row r="23">
          <cell r="C23">
            <v>-1969455.6959361203</v>
          </cell>
          <cell r="G23">
            <v>-1646127.9501662394</v>
          </cell>
          <cell r="H23">
            <v>323327.74576988094</v>
          </cell>
          <cell r="K23">
            <v>-2254279.3927715612</v>
          </cell>
          <cell r="L23">
            <v>-284823.69683544082</v>
          </cell>
        </row>
        <row r="24">
          <cell r="C24">
            <v>-1719222.1229198256</v>
          </cell>
          <cell r="G24">
            <v>-1423091.0955075503</v>
          </cell>
          <cell r="H24">
            <v>296131.02741227532</v>
          </cell>
          <cell r="K24">
            <v>-1986568.6961757252</v>
          </cell>
          <cell r="L24">
            <v>-267346.5732558996</v>
          </cell>
        </row>
        <row r="25">
          <cell r="C25">
            <v>-1446851.2758843689</v>
          </cell>
          <cell r="G25">
            <v>-1186065.601228314</v>
          </cell>
          <cell r="H25">
            <v>260785.67465605494</v>
          </cell>
          <cell r="K25">
            <v>-1683275.3651094141</v>
          </cell>
          <cell r="L25">
            <v>-236424.08922504517</v>
          </cell>
        </row>
        <row r="26">
          <cell r="C26">
            <v>-1209244.4221977952</v>
          </cell>
          <cell r="G26">
            <v>-981717.71671869047</v>
          </cell>
          <cell r="H26">
            <v>227526.70547910477</v>
          </cell>
          <cell r="K26">
            <v>-1416227.2164688297</v>
          </cell>
          <cell r="L26">
            <v>-206982.79427103442</v>
          </cell>
        </row>
        <row r="27">
          <cell r="C27">
            <v>-1003839.4117957099</v>
          </cell>
          <cell r="G27">
            <v>-807099.39824202622</v>
          </cell>
          <cell r="H27">
            <v>196740.01355368365</v>
          </cell>
          <cell r="K27">
            <v>-1183548.7508984983</v>
          </cell>
          <cell r="L27">
            <v>-179709.33910278848</v>
          </cell>
        </row>
        <row r="28">
          <cell r="C28">
            <v>-841180.69791188941</v>
          </cell>
          <cell r="G28">
            <v>-669800.07786961203</v>
          </cell>
          <cell r="H28">
            <v>171380.62004227738</v>
          </cell>
          <cell r="K28">
            <v>-998475.00256914762</v>
          </cell>
          <cell r="L28">
            <v>-157294.30465725821</v>
          </cell>
        </row>
        <row r="29">
          <cell r="C29">
            <v>-721627.88305312023</v>
          </cell>
          <cell r="G29">
            <v>-569069.11310965894</v>
          </cell>
          <cell r="H29">
            <v>152558.76994346129</v>
          </cell>
          <cell r="K29">
            <v>-862518.07754276658</v>
          </cell>
          <cell r="L29">
            <v>-140890.19448964635</v>
          </cell>
        </row>
        <row r="30">
          <cell r="C30">
            <v>-558094.66168788797</v>
          </cell>
          <cell r="G30">
            <v>-435870.33849615138</v>
          </cell>
          <cell r="H30">
            <v>122224.32319173659</v>
          </cell>
          <cell r="K30">
            <v>-671837.3691754652</v>
          </cell>
          <cell r="L30">
            <v>-113742.70748757722</v>
          </cell>
        </row>
        <row r="31">
          <cell r="C31">
            <v>-420732.57409328723</v>
          </cell>
          <cell r="G31">
            <v>-325428.76917945041</v>
          </cell>
          <cell r="H31">
            <v>95303.804913836822</v>
          </cell>
          <cell r="K31">
            <v>-510101.50430518994</v>
          </cell>
          <cell r="L31">
            <v>-89368.930211902712</v>
          </cell>
        </row>
        <row r="32">
          <cell r="C32">
            <v>-301879.16888527013</v>
          </cell>
          <cell r="G32">
            <v>-231251.59409691719</v>
          </cell>
          <cell r="H32">
            <v>70627.57478835294</v>
          </cell>
          <cell r="K32">
            <v>-368615.30452908325</v>
          </cell>
          <cell r="L32">
            <v>-66736.135643813119</v>
          </cell>
        </row>
        <row r="33">
          <cell r="C33">
            <v>-235397.8937845327</v>
          </cell>
          <cell r="G33">
            <v>-178589.87805368478</v>
          </cell>
          <cell r="H33">
            <v>56808.015730847925</v>
          </cell>
          <cell r="K33">
            <v>-289526.20476595784</v>
          </cell>
          <cell r="L33">
            <v>-54128.310981425137</v>
          </cell>
        </row>
        <row r="34">
          <cell r="C34">
            <v>-238519.82485183503</v>
          </cell>
          <cell r="G34">
            <v>-179218.66153298403</v>
          </cell>
          <cell r="H34">
            <v>59301.163318851002</v>
          </cell>
          <cell r="K34">
            <v>-295454.31082774146</v>
          </cell>
          <cell r="L34">
            <v>-56934.485975906427</v>
          </cell>
        </row>
        <row r="35">
          <cell r="C35">
            <v>-130640.34878674126</v>
          </cell>
          <cell r="G35">
            <v>-97216.913992785121</v>
          </cell>
          <cell r="H35">
            <v>33423.434793956141</v>
          </cell>
          <cell r="K35">
            <v>-162974.33367965225</v>
          </cell>
          <cell r="L35">
            <v>-32333.984892910987</v>
          </cell>
        </row>
        <row r="36">
          <cell r="C36">
            <v>-76145.273878351407</v>
          </cell>
          <cell r="G36">
            <v>-56119.550015707653</v>
          </cell>
          <cell r="H36">
            <v>20025.723862643754</v>
          </cell>
          <cell r="K36">
            <v>-95680.320142417884</v>
          </cell>
          <cell r="L36">
            <v>-19535.046264066477</v>
          </cell>
        </row>
        <row r="37">
          <cell r="C37">
            <v>-52826.321561152785</v>
          </cell>
          <cell r="G37">
            <v>-38559.314093509274</v>
          </cell>
          <cell r="H37">
            <v>14267.007467643511</v>
          </cell>
          <cell r="K37">
            <v>-66860.109784034546</v>
          </cell>
          <cell r="L37">
            <v>-14033.788222881762</v>
          </cell>
        </row>
        <row r="38">
          <cell r="C38">
            <v>-43159.777006377728</v>
          </cell>
          <cell r="G38">
            <v>-31200.876781652052</v>
          </cell>
          <cell r="H38">
            <v>11958.900224725676</v>
          </cell>
          <cell r="K38">
            <v>-55021.473821771004</v>
          </cell>
          <cell r="L38">
            <v>-11861.696815393276</v>
          </cell>
        </row>
        <row r="39">
          <cell r="C39">
            <v>-33513.963522848491</v>
          </cell>
          <cell r="G39">
            <v>-23995.068533467918</v>
          </cell>
          <cell r="H39">
            <v>9518.894989380573</v>
          </cell>
          <cell r="K39">
            <v>-43027.049018947626</v>
          </cell>
          <cell r="L39">
            <v>-9513.0854960991346</v>
          </cell>
        </row>
        <row r="40">
          <cell r="C40">
            <v>-22737.796116739199</v>
          </cell>
          <cell r="G40">
            <v>-16123.331921741856</v>
          </cell>
          <cell r="H40">
            <v>6614.4641949973429</v>
          </cell>
          <cell r="K40">
            <v>-29398.271155175662</v>
          </cell>
          <cell r="L40">
            <v>-6660.4750384364634</v>
          </cell>
        </row>
        <row r="41">
          <cell r="C41">
            <v>-16489.272428630797</v>
          </cell>
          <cell r="G41">
            <v>-11580.261418322707</v>
          </cell>
          <cell r="H41">
            <v>4909.0110103080897</v>
          </cell>
          <cell r="K41">
            <v>-21469.792755970007</v>
          </cell>
          <cell r="L41">
            <v>-4980.5203273392108</v>
          </cell>
        </row>
        <row r="42">
          <cell r="C42">
            <v>-12835.837744550927</v>
          </cell>
          <cell r="G42">
            <v>-8927.9562618781383</v>
          </cell>
          <cell r="H42">
            <v>3907.8814826727885</v>
          </cell>
          <cell r="K42">
            <v>-16830.581794718015</v>
          </cell>
          <cell r="L42">
            <v>-3994.7440501670881</v>
          </cell>
        </row>
        <row r="43">
          <cell r="C43">
            <v>-11444.490444317467</v>
          </cell>
          <cell r="G43">
            <v>-7883.8100810198475</v>
          </cell>
          <cell r="H43">
            <v>3560.6803632976198</v>
          </cell>
          <cell r="K43">
            <v>-15111.752478052091</v>
          </cell>
          <cell r="L43">
            <v>-3667.2620337346234</v>
          </cell>
        </row>
        <row r="44">
          <cell r="C44">
            <v>-8282.5014577977818</v>
          </cell>
          <cell r="G44">
            <v>-5650.8523943323871</v>
          </cell>
          <cell r="H44">
            <v>2631.6490634653946</v>
          </cell>
          <cell r="K44">
            <v>-11011.196099200195</v>
          </cell>
          <cell r="L44">
            <v>-2728.6946414024133</v>
          </cell>
        </row>
        <row r="45">
          <cell r="C45">
            <v>-3366.8491670607127</v>
          </cell>
          <cell r="G45">
            <v>-2275.0372387163493</v>
          </cell>
          <cell r="H45">
            <v>1091.8119283443634</v>
          </cell>
          <cell r="K45">
            <v>-4506.5377222674097</v>
          </cell>
          <cell r="L45">
            <v>-1139.6885552066969</v>
          </cell>
        </row>
        <row r="46">
          <cell r="C46">
            <v>-1392.3533461107775</v>
          </cell>
          <cell r="G46">
            <v>-931.80946240949493</v>
          </cell>
          <cell r="H46">
            <v>460.54388370128254</v>
          </cell>
          <cell r="K46">
            <v>-1876.3179307294258</v>
          </cell>
          <cell r="L46">
            <v>-483.96458461864836</v>
          </cell>
        </row>
        <row r="47">
          <cell r="C47">
            <v>-710.67705710689381</v>
          </cell>
          <cell r="G47">
            <v>-471.04626401728501</v>
          </cell>
          <cell r="H47">
            <v>239.6307930896088</v>
          </cell>
          <cell r="K47">
            <v>-964.17928772613243</v>
          </cell>
          <cell r="L47">
            <v>-253.50223061923862</v>
          </cell>
        </row>
        <row r="48">
          <cell r="C48">
            <v>-414.98166718759001</v>
          </cell>
          <cell r="G48">
            <v>-272.4164196691388</v>
          </cell>
          <cell r="H48">
            <v>142.5652475184512</v>
          </cell>
          <cell r="K48">
            <v>-566.80653003519092</v>
          </cell>
          <cell r="L48">
            <v>-151.82486284760091</v>
          </cell>
        </row>
        <row r="49">
          <cell r="C49">
            <v>-232.27024342031686</v>
          </cell>
          <cell r="G49">
            <v>-151.01195522577015</v>
          </cell>
          <cell r="H49">
            <v>81.258288194546708</v>
          </cell>
          <cell r="K49">
            <v>-319.38261459865174</v>
          </cell>
          <cell r="L49">
            <v>-87.112371178334882</v>
          </cell>
        </row>
        <row r="50">
          <cell r="C50">
            <v>-125.88547559526197</v>
          </cell>
          <cell r="G50">
            <v>-81.060167275102231</v>
          </cell>
          <cell r="H50">
            <v>44.825308320159735</v>
          </cell>
          <cell r="K50">
            <v>-174.2206009281357</v>
          </cell>
          <cell r="L50">
            <v>-48.33512533287373</v>
          </cell>
        </row>
        <row r="51">
          <cell r="C51">
            <v>-65.114943789328123</v>
          </cell>
          <cell r="G51">
            <v>-41.526696575909952</v>
          </cell>
          <cell r="H51">
            <v>23.588247213418171</v>
          </cell>
          <cell r="K51">
            <v>-90.697879223168101</v>
          </cell>
          <cell r="L51">
            <v>-25.582935433839978</v>
          </cell>
        </row>
        <row r="52">
          <cell r="C52">
            <v>-28.342082992628704</v>
          </cell>
          <cell r="G52">
            <v>-17.901631359955974</v>
          </cell>
          <cell r="H52">
            <v>10.44045163267273</v>
          </cell>
          <cell r="K52">
            <v>-39.73095701639032</v>
          </cell>
          <cell r="L52">
            <v>-11.388874023761616</v>
          </cell>
        </row>
        <row r="53">
          <cell r="C53">
            <v>-10.128668926561344</v>
          </cell>
          <cell r="G53">
            <v>-6.3361800639507528</v>
          </cell>
          <cell r="H53">
            <v>3.7924888626105915</v>
          </cell>
          <cell r="K53">
            <v>-14.289504506600366</v>
          </cell>
          <cell r="L53">
            <v>-4.1608355800390218</v>
          </cell>
        </row>
        <row r="54">
          <cell r="C54">
            <v>-2.4479845896867496</v>
          </cell>
          <cell r="G54">
            <v>-1.516696739466431</v>
          </cell>
          <cell r="H54">
            <v>0.93128785022031857</v>
          </cell>
          <cell r="K54">
            <v>-3.4755885913918227</v>
          </cell>
          <cell r="L54">
            <v>-1.0276040017050732</v>
          </cell>
        </row>
      </sheetData>
      <sheetData sheetId="2">
        <row r="3">
          <cell r="D3">
            <v>-892398080.34821475</v>
          </cell>
          <cell r="G3">
            <v>-868395669.07064998</v>
          </cell>
          <cell r="J3">
            <v>-853487079.77529967</v>
          </cell>
          <cell r="M3">
            <v>-882957320.36307836</v>
          </cell>
        </row>
        <row r="4">
          <cell r="D4">
            <v>-115690575.8067085</v>
          </cell>
          <cell r="G4">
            <v>-98890163.214597732</v>
          </cell>
          <cell r="J4">
            <v>-91808433.544396862</v>
          </cell>
          <cell r="M4">
            <v>-104908419.6925336</v>
          </cell>
        </row>
        <row r="5">
          <cell r="D5">
            <v>-58898037.913481206</v>
          </cell>
          <cell r="G5">
            <v>-41677396.177332215</v>
          </cell>
          <cell r="J5">
            <v>-36535309.006410085</v>
          </cell>
          <cell r="M5">
            <v>-45945295.448779486</v>
          </cell>
        </row>
        <row r="6">
          <cell r="D6">
            <v>-12808002.431921231</v>
          </cell>
          <cell r="G6">
            <v>-6977367.8141456963</v>
          </cell>
          <cell r="J6">
            <v>-5564111.1485274881</v>
          </cell>
          <cell r="M6">
            <v>-8279579.1061920933</v>
          </cell>
        </row>
        <row r="7">
          <cell r="D7">
            <v>-1003173.9594634318</v>
          </cell>
          <cell r="G7">
            <v>-414424.6335842876</v>
          </cell>
          <cell r="J7">
            <v>-301507.59820646938</v>
          </cell>
          <cell r="M7">
            <v>-525940.51934556186</v>
          </cell>
        </row>
      </sheetData>
      <sheetData sheetId="3">
        <row r="3">
          <cell r="D3">
            <v>14908589.295350529</v>
          </cell>
          <cell r="G3">
            <v>-14561651.292428292</v>
          </cell>
          <cell r="J3">
            <v>-122217.69178463142</v>
          </cell>
        </row>
        <row r="4">
          <cell r="D4">
            <v>7081729.670200862</v>
          </cell>
          <cell r="G4">
            <v>-6018256.4779358599</v>
          </cell>
          <cell r="J4">
            <v>-67868.659169573773</v>
          </cell>
        </row>
        <row r="5">
          <cell r="D5">
            <v>5142087.170922121</v>
          </cell>
          <cell r="G5">
            <v>-4267899.2714472748</v>
          </cell>
          <cell r="J5">
            <v>-55281.004895292222</v>
          </cell>
        </row>
        <row r="6">
          <cell r="D6">
            <v>1413256.6656182073</v>
          </cell>
          <cell r="G6">
            <v>-1302211.2920463972</v>
          </cell>
          <cell r="J6">
            <v>-15904.033237854923</v>
          </cell>
        </row>
        <row r="7">
          <cell r="D7">
            <v>112917.03537781822</v>
          </cell>
          <cell r="G7">
            <v>-111515.88576127417</v>
          </cell>
          <cell r="J7">
            <v>-1326.8862597649036</v>
          </cell>
        </row>
      </sheetData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Giugno25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-374212928.40653694</v>
          </cell>
        </row>
        <row r="6">
          <cell r="L6">
            <v>-268052026.57223928</v>
          </cell>
        </row>
        <row r="7">
          <cell r="L7">
            <v>-110763984.31681129</v>
          </cell>
        </row>
        <row r="8">
          <cell r="L8">
            <v>-63139606.880741552</v>
          </cell>
        </row>
        <row r="9">
          <cell r="L9">
            <v>-44638269.139373422</v>
          </cell>
        </row>
        <row r="10">
          <cell r="L10">
            <v>-34926978.922364578</v>
          </cell>
        </row>
        <row r="11">
          <cell r="L11">
            <v>-27654800.359843358</v>
          </cell>
        </row>
        <row r="12">
          <cell r="L12">
            <v>-22060019.97249347</v>
          </cell>
        </row>
        <row r="13">
          <cell r="L13">
            <v>-16837065.004563823</v>
          </cell>
        </row>
        <row r="14">
          <cell r="L14">
            <v>-14979656.071028402</v>
          </cell>
        </row>
        <row r="15">
          <cell r="L15">
            <v>-11821214.948433835</v>
          </cell>
        </row>
        <row r="16">
          <cell r="L16">
            <v>-8453429.9385734275</v>
          </cell>
        </row>
        <row r="17">
          <cell r="L17">
            <v>-7294907.9311235389</v>
          </cell>
        </row>
        <row r="18">
          <cell r="L18">
            <v>-6493235.8802903844</v>
          </cell>
        </row>
        <row r="19">
          <cell r="L19">
            <v>-5883775.4488386372</v>
          </cell>
        </row>
        <row r="20">
          <cell r="L20">
            <v>-5017589.1464011502</v>
          </cell>
        </row>
        <row r="21">
          <cell r="L21">
            <v>-4294854.050860527</v>
          </cell>
        </row>
        <row r="22">
          <cell r="L22">
            <v>-3649946.2591088656</v>
          </cell>
        </row>
        <row r="23">
          <cell r="L23">
            <v>-3155524.2158895386</v>
          </cell>
        </row>
        <row r="24">
          <cell r="L24">
            <v>-2808556.4364615818</v>
          </cell>
        </row>
        <row r="25">
          <cell r="L25">
            <v>-2417359.8332712562</v>
          </cell>
        </row>
        <row r="26">
          <cell r="L26">
            <v>-2069958.1247803648</v>
          </cell>
        </row>
        <row r="27">
          <cell r="L27">
            <v>-1767520.9839817875</v>
          </cell>
        </row>
        <row r="28">
          <cell r="L28">
            <v>-1547665.1258954904</v>
          </cell>
        </row>
        <row r="29">
          <cell r="L29">
            <v>-1360185.4295902159</v>
          </cell>
        </row>
        <row r="30">
          <cell r="L30">
            <v>-1074485.7427859332</v>
          </cell>
        </row>
        <row r="31">
          <cell r="L31">
            <v>-833852.86955576087</v>
          </cell>
        </row>
        <row r="32">
          <cell r="L32">
            <v>-617917.04019556718</v>
          </cell>
        </row>
        <row r="33">
          <cell r="L33">
            <v>-545785.54369810212</v>
          </cell>
        </row>
        <row r="34">
          <cell r="L34">
            <v>-566135.33868115465</v>
          </cell>
        </row>
        <row r="35">
          <cell r="L35">
            <v>-313199.16393291316</v>
          </cell>
        </row>
        <row r="36">
          <cell r="L36">
            <v>-185208.0783838057</v>
          </cell>
        </row>
        <row r="37">
          <cell r="L37">
            <v>-132480.29987885413</v>
          </cell>
        </row>
        <row r="38">
          <cell r="L38">
            <v>-112090.05249232556</v>
          </cell>
        </row>
        <row r="39">
          <cell r="L39">
            <v>-88715.670038761076</v>
          </cell>
        </row>
        <row r="40">
          <cell r="L40">
            <v>-62884.756194408306</v>
          </cell>
        </row>
        <row r="41">
          <cell r="L41">
            <v>-47547.215588404513</v>
          </cell>
        </row>
        <row r="42">
          <cell r="L42">
            <v>-38818.110421017191</v>
          </cell>
        </row>
        <row r="43">
          <cell r="L43">
            <v>-35129.278610010668</v>
          </cell>
        </row>
        <row r="44">
          <cell r="L44">
            <v>-26759.476222749683</v>
          </cell>
        </row>
        <row r="45">
          <cell r="L45">
            <v>-11284.668532797419</v>
          </cell>
        </row>
        <row r="46">
          <cell r="L46">
            <v>-4821.2716531788337</v>
          </cell>
        </row>
        <row r="47">
          <cell r="L47">
            <v>-2515.6841534049013</v>
          </cell>
        </row>
        <row r="48">
          <cell r="L48">
            <v>-1503.2522665881791</v>
          </cell>
        </row>
        <row r="49">
          <cell r="L49">
            <v>-875.03512294072141</v>
          </cell>
        </row>
        <row r="50">
          <cell r="L50">
            <v>-490.34668880642931</v>
          </cell>
        </row>
        <row r="51">
          <cell r="L51">
            <v>-264.81456325395709</v>
          </cell>
        </row>
        <row r="52">
          <cell r="L52">
            <v>-122.74125710355435</v>
          </cell>
        </row>
        <row r="53">
          <cell r="L53">
            <v>-43.200758370612327</v>
          </cell>
        </row>
        <row r="54">
          <cell r="L54">
            <v>-11.36844671892011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2.694947099391463</v>
          </cell>
          <cell r="P4">
            <v>-259830.97519437835</v>
          </cell>
        </row>
        <row r="5">
          <cell r="C5">
            <v>-370720587.77618015</v>
          </cell>
          <cell r="D5">
            <v>-18363.041970026672</v>
          </cell>
          <cell r="G5">
            <v>-368353220.76683676</v>
          </cell>
          <cell r="H5">
            <v>2367367.0093433857</v>
          </cell>
          <cell r="J5">
            <v>0.5</v>
          </cell>
          <cell r="K5">
            <v>-373326520.93648678</v>
          </cell>
          <cell r="L5">
            <v>-2605933.1603066325</v>
          </cell>
        </row>
        <row r="6">
          <cell r="C6">
            <v>-260591402.3017914</v>
          </cell>
          <cell r="D6">
            <v>-38540.898574809595</v>
          </cell>
          <cell r="G6">
            <v>-255586523.5527826</v>
          </cell>
          <cell r="H6">
            <v>5004878.7490088046</v>
          </cell>
          <cell r="J6">
            <v>1.5</v>
          </cell>
          <cell r="K6">
            <v>-265649535.92466536</v>
          </cell>
          <cell r="L6">
            <v>-5058133.6228739619</v>
          </cell>
        </row>
        <row r="7">
          <cell r="C7">
            <v>-105528194.18059124</v>
          </cell>
          <cell r="D7">
            <v>-25959.629756585564</v>
          </cell>
          <cell r="G7">
            <v>-102248401.9847286</v>
          </cell>
          <cell r="H7">
            <v>3279792.195862636</v>
          </cell>
          <cell r="J7">
            <v>2.5</v>
          </cell>
          <cell r="K7">
            <v>-108600084.99793562</v>
          </cell>
          <cell r="L7">
            <v>-3071890.8173443824</v>
          </cell>
        </row>
        <row r="8">
          <cell r="C8">
            <v>-58815075.16132959</v>
          </cell>
          <cell r="G8">
            <v>-56361278.583768383</v>
          </cell>
          <cell r="H8">
            <v>2453796.5775612071</v>
          </cell>
          <cell r="K8">
            <v>-61035400.21805653</v>
          </cell>
          <cell r="L8">
            <v>-2220325.05672694</v>
          </cell>
        </row>
        <row r="9">
          <cell r="C9">
            <v>-40593518.608701654</v>
          </cell>
          <cell r="G9">
            <v>-38498004.770055622</v>
          </cell>
          <cell r="H9">
            <v>2095513.8386460319</v>
          </cell>
          <cell r="K9">
            <v>-42465210.439925097</v>
          </cell>
          <cell r="L9">
            <v>-1871691.8312234432</v>
          </cell>
        </row>
        <row r="10">
          <cell r="C10">
            <v>-30964354.156462595</v>
          </cell>
          <cell r="G10">
            <v>-29069260.663079865</v>
          </cell>
          <cell r="H10">
            <v>1895093.4933827296</v>
          </cell>
          <cell r="K10">
            <v>-32629677.85170345</v>
          </cell>
          <cell r="L10">
            <v>-1665323.6952408552</v>
          </cell>
        </row>
        <row r="11">
          <cell r="C11">
            <v>-23864838.140046805</v>
          </cell>
          <cell r="G11">
            <v>-22185708.762829915</v>
          </cell>
          <cell r="H11">
            <v>1679129.3772168905</v>
          </cell>
          <cell r="K11">
            <v>-25317064.067437947</v>
          </cell>
          <cell r="L11">
            <v>-1452225.9273911417</v>
          </cell>
        </row>
        <row r="12">
          <cell r="C12">
            <v>-18508641.194475058</v>
          </cell>
          <cell r="G12">
            <v>-17040963.52810451</v>
          </cell>
          <cell r="H12">
            <v>1467677.6663705483</v>
          </cell>
          <cell r="K12">
            <v>-19754146.350089859</v>
          </cell>
          <cell r="L12">
            <v>-1245505.1556148008</v>
          </cell>
        </row>
        <row r="13">
          <cell r="C13">
            <v>-13721349.057034651</v>
          </cell>
          <cell r="G13">
            <v>-12524814.385180114</v>
          </cell>
          <cell r="H13">
            <v>1196534.671854537</v>
          </cell>
          <cell r="K13">
            <v>-14713881.369652154</v>
          </cell>
          <cell r="L13">
            <v>-992532.31261750311</v>
          </cell>
        </row>
        <row r="14">
          <cell r="C14">
            <v>-11853304.118518984</v>
          </cell>
          <cell r="G14">
            <v>-10739135.974489341</v>
          </cell>
          <cell r="H14">
            <v>1114168.1440296434</v>
          </cell>
          <cell r="K14">
            <v>-12765495.62525597</v>
          </cell>
          <cell r="L14">
            <v>-912191.50673698634</v>
          </cell>
        </row>
        <row r="15">
          <cell r="C15">
            <v>-9078914.257216135</v>
          </cell>
          <cell r="G15">
            <v>-8175434.9357083719</v>
          </cell>
          <cell r="H15">
            <v>903479.32150776312</v>
          </cell>
          <cell r="K15">
            <v>-9832022.1734768935</v>
          </cell>
          <cell r="L15">
            <v>-753107.91626075841</v>
          </cell>
        </row>
        <row r="16">
          <cell r="C16">
            <v>-6292646.0791515475</v>
          </cell>
          <cell r="G16">
            <v>-5628069.1345273079</v>
          </cell>
          <cell r="H16">
            <v>664576.94462423958</v>
          </cell>
          <cell r="K16">
            <v>-6858908.8884085789</v>
          </cell>
          <cell r="L16">
            <v>-566262.80925703142</v>
          </cell>
        </row>
        <row r="17">
          <cell r="C17">
            <v>-5261989.0194793306</v>
          </cell>
          <cell r="G17">
            <v>-4661838.0012715412</v>
          </cell>
          <cell r="H17">
            <v>600151.0182077894</v>
          </cell>
          <cell r="K17">
            <v>-5769884.996428486</v>
          </cell>
          <cell r="L17">
            <v>-507895.97694915533</v>
          </cell>
        </row>
        <row r="18">
          <cell r="C18">
            <v>-4542925.0321068568</v>
          </cell>
          <cell r="G18">
            <v>-3986118.8949965993</v>
          </cell>
          <cell r="H18">
            <v>556806.13711025752</v>
          </cell>
          <cell r="K18">
            <v>-5016014.6608093018</v>
          </cell>
          <cell r="L18">
            <v>-473089.62870244496</v>
          </cell>
        </row>
        <row r="19">
          <cell r="C19">
            <v>-3994953.5072737345</v>
          </cell>
          <cell r="G19">
            <v>-3471614.0280893086</v>
          </cell>
          <cell r="H19">
            <v>523339.4791844259</v>
          </cell>
          <cell r="K19">
            <v>-4439054.9251965238</v>
          </cell>
          <cell r="L19">
            <v>-444101.41792278923</v>
          </cell>
        </row>
        <row r="20">
          <cell r="C20">
            <v>-3308601.5524498727</v>
          </cell>
          <cell r="G20">
            <v>-2847514.4910745425</v>
          </cell>
          <cell r="H20">
            <v>461087.0613753302</v>
          </cell>
          <cell r="K20">
            <v>-3706033.0738172047</v>
          </cell>
          <cell r="L20">
            <v>-397431.52136733197</v>
          </cell>
        </row>
        <row r="21">
          <cell r="C21">
            <v>-2752545.249730208</v>
          </cell>
          <cell r="G21">
            <v>-2346143.1261111135</v>
          </cell>
          <cell r="H21">
            <v>406402.12361909449</v>
          </cell>
          <cell r="K21">
            <v>-3113694.2080651554</v>
          </cell>
          <cell r="L21">
            <v>-361148.95833494747</v>
          </cell>
        </row>
        <row r="22">
          <cell r="C22">
            <v>-2274864.6195710776</v>
          </cell>
          <cell r="G22">
            <v>-1920313.5332481759</v>
          </cell>
          <cell r="H22">
            <v>354551.08632290177</v>
          </cell>
          <cell r="K22">
            <v>-2593292.036627912</v>
          </cell>
          <cell r="L22">
            <v>-318427.41705683433</v>
          </cell>
        </row>
        <row r="23">
          <cell r="C23">
            <v>-1912901.9067135239</v>
          </cell>
          <cell r="G23">
            <v>-1599210.5910206216</v>
          </cell>
          <cell r="H23">
            <v>313691.31569290231</v>
          </cell>
          <cell r="K23">
            <v>-2203130.5793786836</v>
          </cell>
          <cell r="L23">
            <v>-290228.67266515968</v>
          </cell>
        </row>
        <row r="24">
          <cell r="C24">
            <v>-1655856.2484358449</v>
          </cell>
          <cell r="G24">
            <v>-1370983.6803190261</v>
          </cell>
          <cell r="H24">
            <v>284872.56811681879</v>
          </cell>
          <cell r="K24">
            <v>-1927120.7103001459</v>
          </cell>
          <cell r="L24">
            <v>-271264.461864301</v>
          </cell>
        </row>
        <row r="25">
          <cell r="C25">
            <v>-1385727.2618410569</v>
          </cell>
          <cell r="G25">
            <v>-1136280.8981008595</v>
          </cell>
          <cell r="H25">
            <v>249446.36374019738</v>
          </cell>
          <cell r="K25">
            <v>-1625153.9814948142</v>
          </cell>
          <cell r="L25">
            <v>-239426.71965375729</v>
          </cell>
        </row>
        <row r="26">
          <cell r="C26">
            <v>-1153354.665332888</v>
          </cell>
          <cell r="G26">
            <v>-936634.17722626776</v>
          </cell>
          <cell r="H26">
            <v>216720.48810662027</v>
          </cell>
          <cell r="K26">
            <v>-1362749.6406794924</v>
          </cell>
          <cell r="L26">
            <v>-209394.97534660436</v>
          </cell>
        </row>
        <row r="27">
          <cell r="C27">
            <v>-956939.03809264523</v>
          </cell>
          <cell r="G27">
            <v>-769648.54387421557</v>
          </cell>
          <cell r="H27">
            <v>187290.49421842967</v>
          </cell>
          <cell r="K27">
            <v>-1139091.2022237508</v>
          </cell>
          <cell r="L27">
            <v>-182152.16413110553</v>
          </cell>
        </row>
        <row r="28">
          <cell r="C28">
            <v>-813780.94623681426</v>
          </cell>
          <cell r="G28">
            <v>-648214.2447349123</v>
          </cell>
          <cell r="H28">
            <v>165566.70150190196</v>
          </cell>
          <cell r="K28">
            <v>-975864.76681213954</v>
          </cell>
          <cell r="L28">
            <v>-162083.82057532528</v>
          </cell>
        </row>
        <row r="29">
          <cell r="C29">
            <v>-694410.56206453638</v>
          </cell>
          <cell r="G29">
            <v>-547811.57963207166</v>
          </cell>
          <cell r="H29">
            <v>146598.98243246472</v>
          </cell>
          <cell r="K29">
            <v>-838966.10241826426</v>
          </cell>
          <cell r="L29">
            <v>-144555.54035372788</v>
          </cell>
        </row>
        <row r="30">
          <cell r="C30">
            <v>-532513.42848822905</v>
          </cell>
          <cell r="G30">
            <v>-416054.30695837724</v>
          </cell>
          <cell r="H30">
            <v>116459.12152985181</v>
          </cell>
          <cell r="K30">
            <v>-648179.88695850328</v>
          </cell>
          <cell r="L30">
            <v>-115666.45847027423</v>
          </cell>
        </row>
        <row r="31">
          <cell r="C31">
            <v>-401050.35687358223</v>
          </cell>
          <cell r="G31">
            <v>-310330.5121089897</v>
          </cell>
          <cell r="H31">
            <v>90719.844764592533</v>
          </cell>
          <cell r="K31">
            <v>-491802.86673666973</v>
          </cell>
          <cell r="L31">
            <v>-90752.5098630875</v>
          </cell>
        </row>
        <row r="32">
          <cell r="C32">
            <v>-288324.2961432063</v>
          </cell>
          <cell r="G32">
            <v>-220960.17233513578</v>
          </cell>
          <cell r="H32">
            <v>67364.123808070523</v>
          </cell>
          <cell r="K32">
            <v>-356246.08771079389</v>
          </cell>
          <cell r="L32">
            <v>-67921.791567587585</v>
          </cell>
        </row>
        <row r="33">
          <cell r="C33">
            <v>-247053.28273686222</v>
          </cell>
          <cell r="G33">
            <v>-187512.62559186114</v>
          </cell>
          <cell r="H33">
            <v>59540.657145001082</v>
          </cell>
          <cell r="K33">
            <v>-307560.96856166556</v>
          </cell>
          <cell r="L33">
            <v>-60507.685824803339</v>
          </cell>
        </row>
        <row r="34">
          <cell r="C34">
            <v>-248556.98984240094</v>
          </cell>
          <cell r="G34">
            <v>-186841.92879338143</v>
          </cell>
          <cell r="H34">
            <v>61715.06104901951</v>
          </cell>
          <cell r="K34">
            <v>-311724.27029408264</v>
          </cell>
          <cell r="L34">
            <v>-63167.280451681698</v>
          </cell>
        </row>
        <row r="35">
          <cell r="C35">
            <v>-133327.28810435469</v>
          </cell>
          <cell r="G35">
            <v>-99260.621194613312</v>
          </cell>
          <cell r="H35">
            <v>34066.666909741383</v>
          </cell>
          <cell r="K35">
            <v>-168445.08728168288</v>
          </cell>
          <cell r="L35">
            <v>-35117.799177328183</v>
          </cell>
        </row>
        <row r="36">
          <cell r="C36">
            <v>-76442.220355635334</v>
          </cell>
          <cell r="G36">
            <v>-56363.852036796699</v>
          </cell>
          <cell r="H36">
            <v>20078.368318838635</v>
          </cell>
          <cell r="K36">
            <v>-97287.914305177081</v>
          </cell>
          <cell r="L36">
            <v>-20845.693949541746</v>
          </cell>
        </row>
        <row r="37">
          <cell r="C37">
            <v>-53005.316646199317</v>
          </cell>
          <cell r="G37">
            <v>-38707.724549573104</v>
          </cell>
          <cell r="H37">
            <v>14297.592096626213</v>
          </cell>
          <cell r="K37">
            <v>-67955.050690870048</v>
          </cell>
          <cell r="L37">
            <v>-14949.734044670731</v>
          </cell>
        </row>
        <row r="38">
          <cell r="C38">
            <v>-43466.015749504208</v>
          </cell>
          <cell r="G38">
            <v>-31436.847798176896</v>
          </cell>
          <cell r="H38">
            <v>12029.167951327312</v>
          </cell>
          <cell r="K38">
            <v>-56124.025155942829</v>
          </cell>
          <cell r="L38">
            <v>-12658.009406438621</v>
          </cell>
        </row>
        <row r="39">
          <cell r="C39">
            <v>-33341.908925090589</v>
          </cell>
          <cell r="G39">
            <v>-23883.114593760947</v>
          </cell>
          <cell r="H39">
            <v>9458.7943313296419</v>
          </cell>
          <cell r="K39">
            <v>-43358.424070816014</v>
          </cell>
          <cell r="L39">
            <v>-10016.515145725425</v>
          </cell>
        </row>
        <row r="40">
          <cell r="C40">
            <v>-22905.605933961695</v>
          </cell>
          <cell r="G40">
            <v>-16249.996629713427</v>
          </cell>
          <cell r="H40">
            <v>6655.609304248268</v>
          </cell>
          <cell r="K40">
            <v>-30003.484502221105</v>
          </cell>
          <cell r="L40">
            <v>-7097.8785682594098</v>
          </cell>
        </row>
        <row r="41">
          <cell r="C41">
            <v>-16782.488887323627</v>
          </cell>
          <cell r="G41">
            <v>-11791.803924272943</v>
          </cell>
          <cell r="H41">
            <v>4990.684963050684</v>
          </cell>
          <cell r="K41">
            <v>-22138.382563290768</v>
          </cell>
          <cell r="L41">
            <v>-5355.8936759671415</v>
          </cell>
        </row>
        <row r="42">
          <cell r="C42">
            <v>-13274.818056217662</v>
          </cell>
          <cell r="G42">
            <v>-9237.7202228179922</v>
          </cell>
          <cell r="H42">
            <v>4037.09783339967</v>
          </cell>
          <cell r="K42">
            <v>-17634.583378007374</v>
          </cell>
          <cell r="L42">
            <v>-4359.7653217897114</v>
          </cell>
        </row>
        <row r="43">
          <cell r="C43">
            <v>-11639.546903360228</v>
          </cell>
          <cell r="G43">
            <v>-8022.0417282904418</v>
          </cell>
          <cell r="H43">
            <v>3617.5051750697858</v>
          </cell>
          <cell r="K43">
            <v>-15570.650053561394</v>
          </cell>
          <cell r="L43">
            <v>-3931.1031502011665</v>
          </cell>
        </row>
        <row r="44">
          <cell r="C44">
            <v>-8589.1401774371661</v>
          </cell>
          <cell r="G44">
            <v>-5862.8906605443581</v>
          </cell>
          <cell r="H44">
            <v>2726.2495168928081</v>
          </cell>
          <cell r="K44">
            <v>-11570.210876181978</v>
          </cell>
          <cell r="L44">
            <v>-2981.070698744812</v>
          </cell>
        </row>
        <row r="45">
          <cell r="C45">
            <v>-3508.3161114082377</v>
          </cell>
          <cell r="G45">
            <v>-2371.781799893939</v>
          </cell>
          <cell r="H45">
            <v>1136.5343115142987</v>
          </cell>
          <cell r="K45">
            <v>-4758.8056491300931</v>
          </cell>
          <cell r="L45">
            <v>-1250.4895377218554</v>
          </cell>
        </row>
        <row r="46">
          <cell r="C46">
            <v>-1451.8746519511105</v>
          </cell>
          <cell r="G46">
            <v>-972.11676544340344</v>
          </cell>
          <cell r="H46">
            <v>479.7578865077071</v>
          </cell>
          <cell r="K46">
            <v>-1982.6022642810985</v>
          </cell>
          <cell r="L46">
            <v>-530.72761232998801</v>
          </cell>
        </row>
        <row r="47">
          <cell r="C47">
            <v>-733.85117762261257</v>
          </cell>
          <cell r="G47">
            <v>-486.64329718383601</v>
          </cell>
          <cell r="H47">
            <v>247.20788043877656</v>
          </cell>
          <cell r="K47">
            <v>-1008.7990553054171</v>
          </cell>
          <cell r="L47">
            <v>-274.94787768280457</v>
          </cell>
        </row>
        <row r="48">
          <cell r="C48">
            <v>-424.7262790563737</v>
          </cell>
          <cell r="G48">
            <v>-278.94969459126236</v>
          </cell>
          <cell r="H48">
            <v>145.77658446511134</v>
          </cell>
          <cell r="K48">
            <v>-587.73102108174169</v>
          </cell>
          <cell r="L48">
            <v>-163.00474202536799</v>
          </cell>
        </row>
        <row r="49">
          <cell r="C49">
            <v>-239.42481726623197</v>
          </cell>
          <cell r="G49">
            <v>-155.74011653419811</v>
          </cell>
          <cell r="H49">
            <v>83.684700732033861</v>
          </cell>
          <cell r="K49">
            <v>-333.49864386998144</v>
          </cell>
          <cell r="L49">
            <v>-94.073826603749467</v>
          </cell>
        </row>
        <row r="50">
          <cell r="C50">
            <v>-129.91352749926313</v>
          </cell>
          <cell r="G50">
            <v>-83.695256664884567</v>
          </cell>
          <cell r="H50">
            <v>46.218270834378558</v>
          </cell>
          <cell r="K50">
            <v>-182.14503210237442</v>
          </cell>
          <cell r="L50">
            <v>-52.23150460311129</v>
          </cell>
        </row>
        <row r="51">
          <cell r="C51">
            <v>-67.942105529876073</v>
          </cell>
          <cell r="G51">
            <v>-43.351064585926466</v>
          </cell>
          <cell r="H51">
            <v>24.591040943949608</v>
          </cell>
          <cell r="K51">
            <v>-95.879040097177992</v>
          </cell>
          <cell r="L51">
            <v>-27.936934567301918</v>
          </cell>
        </row>
        <row r="52">
          <cell r="C52">
            <v>-30.498578520610582</v>
          </cell>
          <cell r="G52">
            <v>-19.273237338945108</v>
          </cell>
          <cell r="H52">
            <v>11.225341181665474</v>
          </cell>
          <cell r="K52">
            <v>-43.308031144815267</v>
          </cell>
          <cell r="L52">
            <v>-12.809452624204685</v>
          </cell>
        </row>
        <row r="53">
          <cell r="C53">
            <v>-10.394934532652972</v>
          </cell>
          <cell r="G53">
            <v>-6.5059634784094369</v>
          </cell>
          <cell r="H53">
            <v>3.8889710542435347</v>
          </cell>
          <cell r="K53">
            <v>-14.852266273648276</v>
          </cell>
          <cell r="L53">
            <v>-4.4573317409953042</v>
          </cell>
        </row>
        <row r="54">
          <cell r="C54">
            <v>-2.6486363873841596</v>
          </cell>
          <cell r="G54">
            <v>-1.641827328047182</v>
          </cell>
          <cell r="H54">
            <v>1.0068090593369776</v>
          </cell>
          <cell r="K54">
            <v>-3.808546549413196</v>
          </cell>
          <cell r="L54">
            <v>-1.1599101620290364</v>
          </cell>
        </row>
      </sheetData>
      <sheetData sheetId="2">
        <row r="3">
          <cell r="D3">
            <v>-860806815.31570256</v>
          </cell>
          <cell r="G3">
            <v>-836248778.02859414</v>
          </cell>
          <cell r="J3">
            <v>-821047429.65817201</v>
          </cell>
          <cell r="M3">
            <v>-851076752.51706946</v>
          </cell>
        </row>
        <row r="4">
          <cell r="D4">
            <v>-116458520.33029363</v>
          </cell>
          <cell r="G4">
            <v>-98912486.66653809</v>
          </cell>
          <cell r="J4">
            <v>-91559883.313683748</v>
          </cell>
          <cell r="M4">
            <v>-105180265.26413938</v>
          </cell>
        </row>
        <row r="5">
          <cell r="D5">
            <v>-58873034.255981483</v>
          </cell>
          <cell r="G5">
            <v>-41076197.47212813</v>
          </cell>
          <cell r="J5">
            <v>-36007240.416366607</v>
          </cell>
          <cell r="M5">
            <v>-45459156.252508886</v>
          </cell>
        </row>
        <row r="6">
          <cell r="D6">
            <v>-12800866.032435631</v>
          </cell>
          <cell r="G6">
            <v>-6721710.8276522206</v>
          </cell>
          <cell r="J6">
            <v>-5360288.9893560726</v>
          </cell>
          <cell r="M6">
            <v>-8057339.7738901759</v>
          </cell>
        </row>
        <row r="7">
          <cell r="D7">
            <v>-1064764.4852064135</v>
          </cell>
          <cell r="G7">
            <v>-419373.94055885891</v>
          </cell>
          <cell r="J7">
            <v>-305236.31236160296</v>
          </cell>
          <cell r="M7">
            <v>-539099.24242758728</v>
          </cell>
        </row>
      </sheetData>
      <sheetData sheetId="3">
        <row r="3">
          <cell r="D3">
            <v>15201348.370422065</v>
          </cell>
          <cell r="G3">
            <v>-14827974.48847536</v>
          </cell>
          <cell r="J3">
            <v>-121010.27987877329</v>
          </cell>
        </row>
        <row r="4">
          <cell r="D4">
            <v>7352603.3528543487</v>
          </cell>
          <cell r="G4">
            <v>-6267778.5976012871</v>
          </cell>
          <cell r="J4">
            <v>-67862.211269007545</v>
          </cell>
        </row>
        <row r="5">
          <cell r="D5">
            <v>5068957.0557615235</v>
          </cell>
          <cell r="G5">
            <v>-4382958.7803807538</v>
          </cell>
          <cell r="J5">
            <v>-54295.714918078229</v>
          </cell>
        </row>
        <row r="6">
          <cell r="D6">
            <v>1361421.8382961494</v>
          </cell>
          <cell r="G6">
            <v>-1335628.9462379545</v>
          </cell>
          <cell r="J6">
            <v>-15321.763155946701</v>
          </cell>
        </row>
        <row r="7">
          <cell r="D7">
            <v>114137.62819725589</v>
          </cell>
          <cell r="G7">
            <v>-119725.30186872836</v>
          </cell>
          <cell r="J7">
            <v>-1341.0059725725832</v>
          </cell>
        </row>
      </sheetData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Luglio25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-374212928.40653694</v>
          </cell>
        </row>
        <row r="6">
          <cell r="L6">
            <v>-268052026.57223928</v>
          </cell>
        </row>
        <row r="7">
          <cell r="L7">
            <v>-110763984.31681129</v>
          </cell>
        </row>
        <row r="8">
          <cell r="L8">
            <v>-63139606.880741552</v>
          </cell>
        </row>
        <row r="9">
          <cell r="L9">
            <v>-44638269.139373422</v>
          </cell>
        </row>
        <row r="10">
          <cell r="L10">
            <v>-34926978.922364578</v>
          </cell>
        </row>
        <row r="11">
          <cell r="L11">
            <v>-27654800.359843358</v>
          </cell>
        </row>
        <row r="12">
          <cell r="L12">
            <v>-22060019.97249347</v>
          </cell>
        </row>
        <row r="13">
          <cell r="L13">
            <v>-16837065.004563823</v>
          </cell>
        </row>
        <row r="14">
          <cell r="L14">
            <v>-14979656.071028402</v>
          </cell>
        </row>
        <row r="15">
          <cell r="L15">
            <v>-11821214.948433835</v>
          </cell>
        </row>
        <row r="16">
          <cell r="L16">
            <v>-8453429.9385734275</v>
          </cell>
        </row>
        <row r="17">
          <cell r="L17">
            <v>-7294907.9311235389</v>
          </cell>
        </row>
        <row r="18">
          <cell r="L18">
            <v>-6493235.8802903844</v>
          </cell>
        </row>
        <row r="19">
          <cell r="L19">
            <v>-5883775.4488386372</v>
          </cell>
        </row>
        <row r="20">
          <cell r="L20">
            <v>-5017589.1464011502</v>
          </cell>
        </row>
        <row r="21">
          <cell r="L21">
            <v>-4294854.050860527</v>
          </cell>
        </row>
        <row r="22">
          <cell r="L22">
            <v>-3649946.2591088656</v>
          </cell>
        </row>
        <row r="23">
          <cell r="L23">
            <v>-3155524.2158895386</v>
          </cell>
        </row>
        <row r="24">
          <cell r="L24">
            <v>-2808556.4364615818</v>
          </cell>
        </row>
        <row r="25">
          <cell r="L25">
            <v>-2417359.8332712562</v>
          </cell>
        </row>
        <row r="26">
          <cell r="L26">
            <v>-2069958.1247803648</v>
          </cell>
        </row>
        <row r="27">
          <cell r="L27">
            <v>-1767520.9839817875</v>
          </cell>
        </row>
        <row r="28">
          <cell r="L28">
            <v>-1547665.1258954904</v>
          </cell>
        </row>
        <row r="29">
          <cell r="L29">
            <v>-1360185.4295902159</v>
          </cell>
        </row>
        <row r="30">
          <cell r="L30">
            <v>-1074485.7427859332</v>
          </cell>
        </row>
        <row r="31">
          <cell r="L31">
            <v>-833852.86955576087</v>
          </cell>
        </row>
        <row r="32">
          <cell r="L32">
            <v>-617917.04019556718</v>
          </cell>
        </row>
        <row r="33">
          <cell r="L33">
            <v>-545785.54369810212</v>
          </cell>
        </row>
        <row r="34">
          <cell r="L34">
            <v>-566135.33868115465</v>
          </cell>
        </row>
        <row r="35">
          <cell r="L35">
            <v>-313199.16393291316</v>
          </cell>
        </row>
        <row r="36">
          <cell r="L36">
            <v>-185208.0783838057</v>
          </cell>
        </row>
        <row r="37">
          <cell r="L37">
            <v>-132480.29987885413</v>
          </cell>
        </row>
        <row r="38">
          <cell r="L38">
            <v>-112090.05249232556</v>
          </cell>
        </row>
        <row r="39">
          <cell r="L39">
            <v>-88715.670038761076</v>
          </cell>
        </row>
        <row r="40">
          <cell r="L40">
            <v>-62884.756194408306</v>
          </cell>
        </row>
        <row r="41">
          <cell r="L41">
            <v>-47547.215588404513</v>
          </cell>
        </row>
        <row r="42">
          <cell r="L42">
            <v>-38818.110421017191</v>
          </cell>
        </row>
        <row r="43">
          <cell r="L43">
            <v>-35129.278610010668</v>
          </cell>
        </row>
        <row r="44">
          <cell r="L44">
            <v>-26759.476222749683</v>
          </cell>
        </row>
        <row r="45">
          <cell r="L45">
            <v>-11284.668532797419</v>
          </cell>
        </row>
        <row r="46">
          <cell r="L46">
            <v>-4821.2716531788337</v>
          </cell>
        </row>
        <row r="47">
          <cell r="L47">
            <v>-2515.6841534049013</v>
          </cell>
        </row>
        <row r="48">
          <cell r="L48">
            <v>-1503.2522665881791</v>
          </cell>
        </row>
        <row r="49">
          <cell r="L49">
            <v>-875.03512294072141</v>
          </cell>
        </row>
        <row r="50">
          <cell r="L50">
            <v>-490.34668880642931</v>
          </cell>
        </row>
        <row r="51">
          <cell r="L51">
            <v>-264.81456325395709</v>
          </cell>
        </row>
        <row r="52">
          <cell r="L52">
            <v>-122.74125710355435</v>
          </cell>
        </row>
        <row r="53">
          <cell r="L53">
            <v>-43.200758370612327</v>
          </cell>
        </row>
        <row r="54">
          <cell r="L54">
            <v>-11.36844671892011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2.6849560816031026</v>
          </cell>
          <cell r="P4">
            <v>-258099.13559649407</v>
          </cell>
        </row>
        <row r="5">
          <cell r="C5">
            <v>-370598142.34710336</v>
          </cell>
          <cell r="D5">
            <v>-18350.913702521444</v>
          </cell>
          <cell r="G5">
            <v>-368149787.50902712</v>
          </cell>
          <cell r="H5">
            <v>2448354.8380762339</v>
          </cell>
          <cell r="J5">
            <v>0.5</v>
          </cell>
          <cell r="K5">
            <v>-373295018.8322162</v>
          </cell>
          <cell r="L5">
            <v>-2696876.4851128459</v>
          </cell>
        </row>
        <row r="6">
          <cell r="C6">
            <v>-260255804.06464103</v>
          </cell>
          <cell r="D6">
            <v>-38466.471182040012</v>
          </cell>
          <cell r="G6">
            <v>-255034918.58340946</v>
          </cell>
          <cell r="H6">
            <v>5220885.4812315702</v>
          </cell>
          <cell r="J6">
            <v>1.5</v>
          </cell>
          <cell r="K6">
            <v>-265537675.18478703</v>
          </cell>
          <cell r="L6">
            <v>-5281871.1201460063</v>
          </cell>
        </row>
        <row r="7">
          <cell r="C7">
            <v>-105261835.85019356</v>
          </cell>
          <cell r="D7">
            <v>-25872.302026750051</v>
          </cell>
          <cell r="G7">
            <v>-101825925.64740789</v>
          </cell>
          <cell r="H7">
            <v>3435910.2027856708</v>
          </cell>
          <cell r="J7">
            <v>2.5</v>
          </cell>
          <cell r="K7">
            <v>-108487851.38391623</v>
          </cell>
          <cell r="L7">
            <v>-3226015.5337226689</v>
          </cell>
        </row>
        <row r="8">
          <cell r="C8">
            <v>-58606910.374663688</v>
          </cell>
          <cell r="G8">
            <v>-56045155.847965717</v>
          </cell>
          <cell r="H8">
            <v>2561754.5266979709</v>
          </cell>
          <cell r="K8">
            <v>-60932591.930353567</v>
          </cell>
          <cell r="L8">
            <v>-2325681.5556898788</v>
          </cell>
        </row>
        <row r="9">
          <cell r="C9">
            <v>-40415567.732043639</v>
          </cell>
          <cell r="G9">
            <v>-38237802.584788144</v>
          </cell>
          <cell r="H9">
            <v>2177765.1472554952</v>
          </cell>
          <cell r="K9">
            <v>-42367822.190022685</v>
          </cell>
          <cell r="L9">
            <v>-1952254.4579790458</v>
          </cell>
        </row>
        <row r="10">
          <cell r="C10">
            <v>-30806358.863499515</v>
          </cell>
          <cell r="G10">
            <v>-28845685.316742398</v>
          </cell>
          <cell r="H10">
            <v>1960673.5467571169</v>
          </cell>
          <cell r="K10">
            <v>-32535976.282515075</v>
          </cell>
          <cell r="L10">
            <v>-1729617.4190155603</v>
          </cell>
        </row>
        <row r="11">
          <cell r="C11">
            <v>-23733141.736575015</v>
          </cell>
          <cell r="G11">
            <v>-22004133.618116211</v>
          </cell>
          <cell r="H11">
            <v>1729008.1184588037</v>
          </cell>
          <cell r="K11">
            <v>-25232984.34162667</v>
          </cell>
          <cell r="L11">
            <v>-1499842.6050516553</v>
          </cell>
        </row>
        <row r="12">
          <cell r="C12">
            <v>-18399416.489268858</v>
          </cell>
          <cell r="G12">
            <v>-16893295.308012258</v>
          </cell>
          <cell r="H12">
            <v>1506121.1812565997</v>
          </cell>
          <cell r="K12">
            <v>-19680673.629669435</v>
          </cell>
          <cell r="L12">
            <v>-1281257.1404005773</v>
          </cell>
        </row>
        <row r="13">
          <cell r="C13">
            <v>-13634756.153772444</v>
          </cell>
          <cell r="G13">
            <v>-12410577.346760834</v>
          </cell>
          <cell r="H13">
            <v>1224178.8070116099</v>
          </cell>
          <cell r="K13">
            <v>-14652521.432114251</v>
          </cell>
          <cell r="L13">
            <v>-1017765.2783418074</v>
          </cell>
        </row>
        <row r="14">
          <cell r="C14">
            <v>-11766726.603130316</v>
          </cell>
          <cell r="G14">
            <v>-10627870.220572734</v>
          </cell>
          <cell r="H14">
            <v>1138856.3825575821</v>
          </cell>
          <cell r="K14">
            <v>-12701136.760131648</v>
          </cell>
          <cell r="L14">
            <v>-934410.15700133145</v>
          </cell>
        </row>
        <row r="15">
          <cell r="C15">
            <v>-9004099.3116890322</v>
          </cell>
          <cell r="G15">
            <v>-8081774.7812799904</v>
          </cell>
          <cell r="H15">
            <v>922324.53040904179</v>
          </cell>
          <cell r="K15">
            <v>-9775498.4674829859</v>
          </cell>
          <cell r="L15">
            <v>-771399.15579395369</v>
          </cell>
        </row>
        <row r="16">
          <cell r="C16">
            <v>-6241517.3137775166</v>
          </cell>
          <cell r="G16">
            <v>-5573721.1946661361</v>
          </cell>
          <cell r="H16">
            <v>667796.11911138054</v>
          </cell>
          <cell r="K16">
            <v>-6819621.4001841955</v>
          </cell>
          <cell r="L16">
            <v>-578104.08640667889</v>
          </cell>
        </row>
        <row r="17">
          <cell r="C17">
            <v>-5219937.532675813</v>
          </cell>
          <cell r="G17">
            <v>-4624942.247414927</v>
          </cell>
          <cell r="H17">
            <v>594995.28526088595</v>
          </cell>
          <cell r="K17">
            <v>-5736756.2513767257</v>
          </cell>
          <cell r="L17">
            <v>-516818.71870091278</v>
          </cell>
        </row>
        <row r="18">
          <cell r="C18">
            <v>-4503382.8310443526</v>
          </cell>
          <cell r="G18">
            <v>-3951768.573511255</v>
          </cell>
          <cell r="H18">
            <v>551614.25753309764</v>
          </cell>
          <cell r="K18">
            <v>-4984214.3709649602</v>
          </cell>
          <cell r="L18">
            <v>-480831.53992060758</v>
          </cell>
        </row>
        <row r="19">
          <cell r="C19">
            <v>-3953702.2538957587</v>
          </cell>
          <cell r="G19">
            <v>-3436126.7340828367</v>
          </cell>
          <cell r="H19">
            <v>517575.51981292199</v>
          </cell>
          <cell r="K19">
            <v>-4405387.3738962607</v>
          </cell>
          <cell r="L19">
            <v>-451685.12000050209</v>
          </cell>
        </row>
        <row r="20">
          <cell r="C20">
            <v>-3268669.2261583162</v>
          </cell>
          <cell r="G20">
            <v>-2813486.6892903452</v>
          </cell>
          <cell r="H20">
            <v>455182.53686797107</v>
          </cell>
          <cell r="K20">
            <v>-3673509.5855277581</v>
          </cell>
          <cell r="L20">
            <v>-404840.35936944187</v>
          </cell>
        </row>
        <row r="21">
          <cell r="C21">
            <v>-2715462.190317302</v>
          </cell>
          <cell r="G21">
            <v>-2314844.9845991074</v>
          </cell>
          <cell r="H21">
            <v>400617.2057181946</v>
          </cell>
          <cell r="K21">
            <v>-3083364.1716700019</v>
          </cell>
          <cell r="L21">
            <v>-367901.98135269992</v>
          </cell>
        </row>
        <row r="22">
          <cell r="C22">
            <v>-2241617.0747095812</v>
          </cell>
          <cell r="G22">
            <v>-1892520.8595091307</v>
          </cell>
          <cell r="H22">
            <v>349096.2152004505</v>
          </cell>
          <cell r="K22">
            <v>-2565861.6041851765</v>
          </cell>
          <cell r="L22">
            <v>-324244.52947559534</v>
          </cell>
        </row>
        <row r="23">
          <cell r="C23">
            <v>-1883364.4483408278</v>
          </cell>
          <cell r="G23">
            <v>-1574755.4887658041</v>
          </cell>
          <cell r="H23">
            <v>308608.95957502373</v>
          </cell>
          <cell r="K23">
            <v>-2178699.4291339004</v>
          </cell>
          <cell r="L23">
            <v>-295334.98079307261</v>
          </cell>
        </row>
        <row r="24">
          <cell r="C24">
            <v>-1629382.4251681441</v>
          </cell>
          <cell r="G24">
            <v>-1349275.3520058466</v>
          </cell>
          <cell r="H24">
            <v>280107.07316229749</v>
          </cell>
          <cell r="K24">
            <v>-1905148.9208291247</v>
          </cell>
          <cell r="L24">
            <v>-275766.4956609807</v>
          </cell>
        </row>
        <row r="25">
          <cell r="C25">
            <v>-1362989.2641060196</v>
          </cell>
          <cell r="G25">
            <v>-1117815.2517355764</v>
          </cell>
          <cell r="H25">
            <v>245174.0123704432</v>
          </cell>
          <cell r="K25">
            <v>-1606162.7362024677</v>
          </cell>
          <cell r="L25">
            <v>-243173.47209644807</v>
          </cell>
        </row>
        <row r="26">
          <cell r="C26">
            <v>-1133869.345454684</v>
          </cell>
          <cell r="G26">
            <v>-920962.68608008313</v>
          </cell>
          <cell r="H26">
            <v>212906.65937460086</v>
          </cell>
          <cell r="K26">
            <v>-1346193.6391666019</v>
          </cell>
          <cell r="L26">
            <v>-212324.29371191794</v>
          </cell>
        </row>
        <row r="27">
          <cell r="C27">
            <v>-940336.84504928172</v>
          </cell>
          <cell r="G27">
            <v>-756423.84030632884</v>
          </cell>
          <cell r="H27">
            <v>183913.00474295288</v>
          </cell>
          <cell r="K27">
            <v>-1124864.7708555926</v>
          </cell>
          <cell r="L27">
            <v>-184527.92580631084</v>
          </cell>
        </row>
        <row r="28">
          <cell r="C28">
            <v>-799498.5192043765</v>
          </cell>
          <cell r="G28">
            <v>-636946.36168753891</v>
          </cell>
          <cell r="H28">
            <v>162552.15751683759</v>
          </cell>
          <cell r="K28">
            <v>-963583.31676996476</v>
          </cell>
          <cell r="L28">
            <v>-164084.79756558826</v>
          </cell>
        </row>
        <row r="29">
          <cell r="C29">
            <v>-682033.90434023098</v>
          </cell>
          <cell r="G29">
            <v>-538141.63955379801</v>
          </cell>
          <cell r="H29">
            <v>143892.26478643296</v>
          </cell>
          <cell r="K29">
            <v>-828259.24852046277</v>
          </cell>
          <cell r="L29">
            <v>-146225.3441802318</v>
          </cell>
        </row>
        <row r="30">
          <cell r="C30">
            <v>-522833.83441889228</v>
          </cell>
          <cell r="G30">
            <v>-408564.00745372614</v>
          </cell>
          <cell r="H30">
            <v>114269.82696516614</v>
          </cell>
          <cell r="K30">
            <v>-639732.9540596439</v>
          </cell>
          <cell r="L30">
            <v>-116899.11964075163</v>
          </cell>
        </row>
        <row r="31">
          <cell r="C31">
            <v>-393680.48024040664</v>
          </cell>
          <cell r="G31">
            <v>-304682.29388795333</v>
          </cell>
          <cell r="H31">
            <v>88998.186352453311</v>
          </cell>
          <cell r="K31">
            <v>-485270.72131952178</v>
          </cell>
          <cell r="L31">
            <v>-91590.241079115134</v>
          </cell>
        </row>
        <row r="32">
          <cell r="C32">
            <v>-282979.52123980742</v>
          </cell>
          <cell r="G32">
            <v>-216903.30493886632</v>
          </cell>
          <cell r="H32">
            <v>66076.216300941102</v>
          </cell>
          <cell r="K32">
            <v>-351432.17195626168</v>
          </cell>
          <cell r="L32">
            <v>-68452.650716454256</v>
          </cell>
        </row>
        <row r="33">
          <cell r="C33">
            <v>-242409.57988661717</v>
          </cell>
          <cell r="G33">
            <v>-184021.86023457791</v>
          </cell>
          <cell r="H33">
            <v>58387.719652039261</v>
          </cell>
          <cell r="K33">
            <v>-303297.30569357245</v>
          </cell>
          <cell r="L33">
            <v>-60887.725806955277</v>
          </cell>
        </row>
        <row r="34">
          <cell r="C34">
            <v>-243827.94129023791</v>
          </cell>
          <cell r="G34">
            <v>-183321.00684449633</v>
          </cell>
          <cell r="H34">
            <v>60506.934445741586</v>
          </cell>
          <cell r="K34">
            <v>-307342.0315066239</v>
          </cell>
          <cell r="L34">
            <v>-63514.090216385986</v>
          </cell>
        </row>
        <row r="35">
          <cell r="C35">
            <v>-130783.15399994284</v>
          </cell>
          <cell r="G35">
            <v>-97384.612727503321</v>
          </cell>
          <cell r="H35">
            <v>33398.541272439514</v>
          </cell>
          <cell r="K35">
            <v>-166071.87774927841</v>
          </cell>
          <cell r="L35">
            <v>-35288.723749335579</v>
          </cell>
        </row>
        <row r="36">
          <cell r="C36">
            <v>-74970.723353977635</v>
          </cell>
          <cell r="G36">
            <v>-55289.244686591985</v>
          </cell>
          <cell r="H36">
            <v>19681.478667385651</v>
          </cell>
          <cell r="K36">
            <v>-95902.322678244615</v>
          </cell>
          <cell r="L36">
            <v>-20931.599324266979</v>
          </cell>
        </row>
        <row r="37">
          <cell r="C37">
            <v>-51985.801424325291</v>
          </cell>
          <cell r="G37">
            <v>-37970.277981588988</v>
          </cell>
          <cell r="H37">
            <v>14015.523442736303</v>
          </cell>
          <cell r="K37">
            <v>-66988.817731676274</v>
          </cell>
          <cell r="L37">
            <v>-15003.016307350983</v>
          </cell>
        </row>
        <row r="38">
          <cell r="C38">
            <v>-42632.32246988533</v>
          </cell>
          <cell r="G38">
            <v>-30839.644609400515</v>
          </cell>
          <cell r="H38">
            <v>11792.677860484815</v>
          </cell>
          <cell r="K38">
            <v>-55337.999758270736</v>
          </cell>
          <cell r="L38">
            <v>-12705.677288385406</v>
          </cell>
        </row>
        <row r="39">
          <cell r="C39">
            <v>-32694.503444548398</v>
          </cell>
          <cell r="G39">
            <v>-23423.804940350336</v>
          </cell>
          <cell r="H39">
            <v>9270.6985041980624</v>
          </cell>
          <cell r="K39">
            <v>-42747.642506727498</v>
          </cell>
          <cell r="L39">
            <v>-10053.1390621791</v>
          </cell>
        </row>
        <row r="40">
          <cell r="C40">
            <v>-22455.855371807866</v>
          </cell>
          <cell r="G40">
            <v>-15933.977165587965</v>
          </cell>
          <cell r="H40">
            <v>6521.8782062199007</v>
          </cell>
          <cell r="K40">
            <v>-29568.707236171431</v>
          </cell>
          <cell r="L40">
            <v>-7112.8518643635653</v>
          </cell>
        </row>
        <row r="41">
          <cell r="C41">
            <v>-16452.541226222842</v>
          </cell>
          <cell r="G41">
            <v>-11562.178630470915</v>
          </cell>
          <cell r="H41">
            <v>4890.3625957519271</v>
          </cell>
          <cell r="K41">
            <v>-21816.442380537861</v>
          </cell>
          <cell r="L41">
            <v>-5363.9011543150191</v>
          </cell>
        </row>
        <row r="42">
          <cell r="C42">
            <v>-13013.885560498849</v>
          </cell>
          <cell r="G42">
            <v>-9057.8752743133064</v>
          </cell>
          <cell r="H42">
            <v>3956.010286185543</v>
          </cell>
          <cell r="K42">
            <v>-17377.557080019127</v>
          </cell>
          <cell r="L42">
            <v>-4363.6715195202778</v>
          </cell>
        </row>
        <row r="43">
          <cell r="C43">
            <v>-11408.998952801972</v>
          </cell>
          <cell r="G43">
            <v>-7864.6631373766413</v>
          </cell>
          <cell r="H43">
            <v>3544.335815425331</v>
          </cell>
          <cell r="K43">
            <v>-15340.611411138019</v>
          </cell>
          <cell r="L43">
            <v>-3931.612458336047</v>
          </cell>
        </row>
        <row r="44">
          <cell r="C44">
            <v>-8419.4878055018507</v>
          </cell>
          <cell r="G44">
            <v>-5748.186566064378</v>
          </cell>
          <cell r="H44">
            <v>2671.3012394374728</v>
          </cell>
          <cell r="K44">
            <v>-11399.287741051137</v>
          </cell>
          <cell r="L44">
            <v>-2979.7999355492866</v>
          </cell>
        </row>
        <row r="45">
          <cell r="C45">
            <v>-3439.3186067921106</v>
          </cell>
          <cell r="G45">
            <v>-2325.5811899486239</v>
          </cell>
          <cell r="H45">
            <v>1113.7374168434867</v>
          </cell>
          <cell r="K45">
            <v>-4688.6026189219101</v>
          </cell>
          <cell r="L45">
            <v>-1249.2840121297995</v>
          </cell>
        </row>
        <row r="46">
          <cell r="C46">
            <v>-1423.1981432006091</v>
          </cell>
          <cell r="G46">
            <v>-953.09917992318674</v>
          </cell>
          <cell r="H46">
            <v>470.0989632774224</v>
          </cell>
          <cell r="K46">
            <v>-1953.4332341160987</v>
          </cell>
          <cell r="L46">
            <v>-530.23509091548954</v>
          </cell>
        </row>
        <row r="47">
          <cell r="C47">
            <v>-719.3085068504829</v>
          </cell>
          <cell r="G47">
            <v>-477.09143311560092</v>
          </cell>
          <cell r="H47">
            <v>242.21707373488198</v>
          </cell>
          <cell r="K47">
            <v>-993.81015265542976</v>
          </cell>
          <cell r="L47">
            <v>-274.50164580494686</v>
          </cell>
        </row>
        <row r="48">
          <cell r="C48">
            <v>-416.28975964644741</v>
          </cell>
          <cell r="G48">
            <v>-273.46158660838046</v>
          </cell>
          <cell r="H48">
            <v>142.82817303806695</v>
          </cell>
          <cell r="K48">
            <v>-578.91826077090639</v>
          </cell>
          <cell r="L48">
            <v>-162.62850112445898</v>
          </cell>
        </row>
        <row r="49">
          <cell r="C49">
            <v>-234.66244431270346</v>
          </cell>
          <cell r="G49">
            <v>-152.67181075812326</v>
          </cell>
          <cell r="H49">
            <v>81.990633554580199</v>
          </cell>
          <cell r="K49">
            <v>-328.52728054990649</v>
          </cell>
          <cell r="L49">
            <v>-93.864836237203036</v>
          </cell>
        </row>
        <row r="50">
          <cell r="C50">
            <v>-127.3563138183583</v>
          </cell>
          <cell r="G50">
            <v>-82.063402017591187</v>
          </cell>
          <cell r="H50">
            <v>45.292911800767115</v>
          </cell>
          <cell r="K50">
            <v>-179.44936219080464</v>
          </cell>
          <cell r="L50">
            <v>-52.093048372446333</v>
          </cell>
        </row>
        <row r="51">
          <cell r="C51">
            <v>-66.605927366946844</v>
          </cell>
          <cell r="G51">
            <v>-42.506665457378503</v>
          </cell>
          <cell r="H51">
            <v>24.099261909568341</v>
          </cell>
          <cell r="K51">
            <v>-94.450750023038253</v>
          </cell>
          <cell r="L51">
            <v>-27.844822656091409</v>
          </cell>
        </row>
        <row r="52">
          <cell r="C52">
            <v>-29.892896310891057</v>
          </cell>
          <cell r="G52">
            <v>-18.894125414124971</v>
          </cell>
          <cell r="H52">
            <v>10.998770896766086</v>
          </cell>
          <cell r="K52">
            <v>-42.659047033582844</v>
          </cell>
          <cell r="L52">
            <v>-12.766150722691787</v>
          </cell>
        </row>
        <row r="53">
          <cell r="C53">
            <v>-10.189001697201844</v>
          </cell>
          <cell r="G53">
            <v>-6.3783007429866174</v>
          </cell>
          <cell r="H53">
            <v>3.8107009542152266</v>
          </cell>
          <cell r="K53">
            <v>-14.632005752816795</v>
          </cell>
          <cell r="L53">
            <v>-4.443004055614951</v>
          </cell>
        </row>
        <row r="54">
          <cell r="C54">
            <v>-2.5963433544970855</v>
          </cell>
          <cell r="G54">
            <v>-1.6097204003575807</v>
          </cell>
          <cell r="H54">
            <v>0.98662295413950485</v>
          </cell>
          <cell r="K54">
            <v>-3.7518243033562082</v>
          </cell>
          <cell r="L54">
            <v>-1.1554809488591227</v>
          </cell>
        </row>
      </sheetData>
      <sheetData sheetId="2">
        <row r="3">
          <cell r="D3">
            <v>-860806815.31570256</v>
          </cell>
          <cell r="G3">
            <v>-835138260.36864519</v>
          </cell>
          <cell r="J3">
            <v>-819293590.17259836</v>
          </cell>
          <cell r="M3">
            <v>-850620959.52129579</v>
          </cell>
        </row>
        <row r="4">
          <cell r="D4">
            <v>-116458520.33029363</v>
          </cell>
          <cell r="G4">
            <v>-98340399.846246138</v>
          </cell>
          <cell r="J4">
            <v>-90781561.810204446</v>
          </cell>
          <cell r="M4">
            <v>-104803292.44605707</v>
          </cell>
        </row>
        <row r="5">
          <cell r="D5">
            <v>-58873034.255981483</v>
          </cell>
          <cell r="G5">
            <v>-40661134.607776642</v>
          </cell>
          <cell r="J5">
            <v>-35613216.905125372</v>
          </cell>
          <cell r="M5">
            <v>-45128061.575251095</v>
          </cell>
        </row>
        <row r="6">
          <cell r="D6">
            <v>-12800866.032435631</v>
          </cell>
          <cell r="G6">
            <v>-6604459.2352305539</v>
          </cell>
          <cell r="J6">
            <v>-5267782.252722946</v>
          </cell>
          <cell r="M6">
            <v>-7956138.896050713</v>
          </cell>
        </row>
        <row r="7">
          <cell r="D7">
            <v>-1064764.4852064135</v>
          </cell>
          <cell r="G7">
            <v>-411286.69155286311</v>
          </cell>
          <cell r="J7">
            <v>-299407.82313363469</v>
          </cell>
          <cell r="M7">
            <v>-531429.50080943294</v>
          </cell>
        </row>
      </sheetData>
      <sheetData sheetId="3">
        <row r="3">
          <cell r="D3">
            <v>15844670.196046941</v>
          </cell>
          <cell r="G3">
            <v>-15482699.152650446</v>
          </cell>
          <cell r="J3">
            <v>-120652.72129249778</v>
          </cell>
        </row>
        <row r="4">
          <cell r="D4">
            <v>7558838.0360417124</v>
          </cell>
          <cell r="G4">
            <v>-6462892.5998109318</v>
          </cell>
          <cell r="J4">
            <v>-67408.743843574717</v>
          </cell>
        </row>
        <row r="5">
          <cell r="D5">
            <v>5047917.7026512651</v>
          </cell>
          <cell r="G5">
            <v>-4466926.9674744457</v>
          </cell>
          <cell r="J5">
            <v>-53681.165252472696</v>
          </cell>
        </row>
        <row r="6">
          <cell r="D6">
            <v>1336676.9825076086</v>
          </cell>
          <cell r="G6">
            <v>-1351679.6608201591</v>
          </cell>
          <cell r="J6">
            <v>-15042.148230914587</v>
          </cell>
        </row>
        <row r="7">
          <cell r="D7">
            <v>111878.86841922841</v>
          </cell>
          <cell r="G7">
            <v>-120142.80925656985</v>
          </cell>
          <cell r="J7">
            <v>-1314.356977034322</v>
          </cell>
        </row>
      </sheetData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Agosto25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-374212928.40653694</v>
          </cell>
        </row>
        <row r="6">
          <cell r="L6">
            <v>-268052026.57223928</v>
          </cell>
        </row>
        <row r="7">
          <cell r="L7">
            <v>-110763984.31681129</v>
          </cell>
        </row>
        <row r="8">
          <cell r="L8">
            <v>-63139606.880741552</v>
          </cell>
        </row>
        <row r="9">
          <cell r="L9">
            <v>-44638269.139373422</v>
          </cell>
        </row>
        <row r="10">
          <cell r="L10">
            <v>-34926978.922364578</v>
          </cell>
        </row>
        <row r="11">
          <cell r="L11">
            <v>-27654800.359843358</v>
          </cell>
        </row>
        <row r="12">
          <cell r="L12">
            <v>-22060019.97249347</v>
          </cell>
        </row>
        <row r="13">
          <cell r="L13">
            <v>-16837065.004563823</v>
          </cell>
        </row>
        <row r="14">
          <cell r="L14">
            <v>-14979656.071028402</v>
          </cell>
        </row>
        <row r="15">
          <cell r="L15">
            <v>-11821214.948433835</v>
          </cell>
        </row>
        <row r="16">
          <cell r="L16">
            <v>-8453429.9385734275</v>
          </cell>
        </row>
        <row r="17">
          <cell r="L17">
            <v>-7294907.9311235389</v>
          </cell>
        </row>
        <row r="18">
          <cell r="L18">
            <v>-6493235.8802903844</v>
          </cell>
        </row>
        <row r="19">
          <cell r="L19">
            <v>-5883775.4488386372</v>
          </cell>
        </row>
        <row r="20">
          <cell r="L20">
            <v>-5017589.1464011502</v>
          </cell>
        </row>
        <row r="21">
          <cell r="L21">
            <v>-4294854.050860527</v>
          </cell>
        </row>
        <row r="22">
          <cell r="L22">
            <v>-3649946.2591088656</v>
          </cell>
        </row>
        <row r="23">
          <cell r="L23">
            <v>-3155524.2158895386</v>
          </cell>
        </row>
        <row r="24">
          <cell r="L24">
            <v>-2808556.4364615818</v>
          </cell>
        </row>
        <row r="25">
          <cell r="L25">
            <v>-2417359.8332712562</v>
          </cell>
        </row>
        <row r="26">
          <cell r="L26">
            <v>-2069958.1247803648</v>
          </cell>
        </row>
        <row r="27">
          <cell r="L27">
            <v>-1767520.9839817875</v>
          </cell>
        </row>
        <row r="28">
          <cell r="L28">
            <v>-1547665.1258954904</v>
          </cell>
        </row>
        <row r="29">
          <cell r="L29">
            <v>-1360185.4295902159</v>
          </cell>
        </row>
        <row r="30">
          <cell r="L30">
            <v>-1074485.7427859332</v>
          </cell>
        </row>
        <row r="31">
          <cell r="L31">
            <v>-833852.86955576087</v>
          </cell>
        </row>
        <row r="32">
          <cell r="L32">
            <v>-617917.04019556718</v>
          </cell>
        </row>
        <row r="33">
          <cell r="L33">
            <v>-545785.54369810212</v>
          </cell>
        </row>
        <row r="34">
          <cell r="L34">
            <v>-566135.33868115465</v>
          </cell>
        </row>
        <row r="35">
          <cell r="L35">
            <v>-313199.16393291316</v>
          </cell>
        </row>
        <row r="36">
          <cell r="L36">
            <v>-185208.0783838057</v>
          </cell>
        </row>
        <row r="37">
          <cell r="L37">
            <v>-132480.29987885413</v>
          </cell>
        </row>
        <row r="38">
          <cell r="L38">
            <v>-112090.05249232556</v>
          </cell>
        </row>
        <row r="39">
          <cell r="L39">
            <v>-88715.670038761076</v>
          </cell>
        </row>
        <row r="40">
          <cell r="L40">
            <v>-62884.756194408306</v>
          </cell>
        </row>
        <row r="41">
          <cell r="L41">
            <v>-47547.215588404513</v>
          </cell>
        </row>
        <row r="42">
          <cell r="L42">
            <v>-38818.110421017191</v>
          </cell>
        </row>
        <row r="43">
          <cell r="L43">
            <v>-35129.278610010668</v>
          </cell>
        </row>
        <row r="44">
          <cell r="L44">
            <v>-26759.476222749683</v>
          </cell>
        </row>
        <row r="45">
          <cell r="L45">
            <v>-11284.668532797419</v>
          </cell>
        </row>
        <row r="46">
          <cell r="L46">
            <v>-4821.2716531788337</v>
          </cell>
        </row>
        <row r="47">
          <cell r="L47">
            <v>-2515.6841534049013</v>
          </cell>
        </row>
        <row r="48">
          <cell r="L48">
            <v>-1503.2522665881791</v>
          </cell>
        </row>
        <row r="49">
          <cell r="L49">
            <v>-875.03512294072141</v>
          </cell>
        </row>
        <row r="50">
          <cell r="L50">
            <v>-490.34668880642931</v>
          </cell>
        </row>
        <row r="51">
          <cell r="L51">
            <v>-264.81456325395709</v>
          </cell>
        </row>
        <row r="52">
          <cell r="L52">
            <v>-122.74125710355435</v>
          </cell>
        </row>
        <row r="53">
          <cell r="L53">
            <v>-43.200758370612327</v>
          </cell>
        </row>
        <row r="54">
          <cell r="L54">
            <v>-11.36844671892011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2.6814297491280494</v>
          </cell>
          <cell r="P4">
            <v>-257908.29129251678</v>
          </cell>
        </row>
        <row r="5">
          <cell r="C5">
            <v>-370614338.98212355</v>
          </cell>
          <cell r="D5">
            <v>-18352.517755604757</v>
          </cell>
          <cell r="G5">
            <v>-368176067.82189208</v>
          </cell>
          <cell r="H5">
            <v>2438271.1602314711</v>
          </cell>
          <cell r="J5">
            <v>0.5</v>
          </cell>
          <cell r="K5">
            <v>-373300577.25259525</v>
          </cell>
          <cell r="L5">
            <v>-2686238.2704716921</v>
          </cell>
        </row>
        <row r="6">
          <cell r="C6">
            <v>-260365970.13590339</v>
          </cell>
          <cell r="D6">
            <v>-38490.898005734467</v>
          </cell>
          <cell r="G6">
            <v>-255216346.70035297</v>
          </cell>
          <cell r="H6">
            <v>5149623.4355504215</v>
          </cell>
          <cell r="J6">
            <v>1.5</v>
          </cell>
          <cell r="K6">
            <v>-265575788.44777539</v>
          </cell>
          <cell r="L6">
            <v>-5209818.3118720055</v>
          </cell>
        </row>
        <row r="7">
          <cell r="C7">
            <v>-105392868.39997682</v>
          </cell>
          <cell r="D7">
            <v>-25915.252913062697</v>
          </cell>
          <cell r="G7">
            <v>-102032655.4267042</v>
          </cell>
          <cell r="H7">
            <v>3360212.9732726216</v>
          </cell>
          <cell r="J7">
            <v>2.5</v>
          </cell>
          <cell r="K7">
            <v>-108543612.61121885</v>
          </cell>
          <cell r="L7">
            <v>-3150744.211242035</v>
          </cell>
        </row>
        <row r="8">
          <cell r="C8">
            <v>-58720788.467526004</v>
          </cell>
          <cell r="G8">
            <v>-56217461.934634887</v>
          </cell>
          <cell r="H8">
            <v>2503326.532891117</v>
          </cell>
          <cell r="K8">
            <v>-60988646.618008211</v>
          </cell>
          <cell r="L8">
            <v>-2267858.1504822075</v>
          </cell>
        </row>
        <row r="9">
          <cell r="C9">
            <v>-40507547.573992021</v>
          </cell>
          <cell r="G9">
            <v>-38372463.638500884</v>
          </cell>
          <cell r="H9">
            <v>2135083.9354911372</v>
          </cell>
          <cell r="K9">
            <v>-42417655.119090937</v>
          </cell>
          <cell r="L9">
            <v>-1910107.5450989157</v>
          </cell>
        </row>
        <row r="10">
          <cell r="C10">
            <v>-30882173.297670413</v>
          </cell>
          <cell r="G10">
            <v>-28953154.169401858</v>
          </cell>
          <cell r="H10">
            <v>1929019.1282685548</v>
          </cell>
          <cell r="K10">
            <v>-32580948.066117778</v>
          </cell>
          <cell r="L10">
            <v>-1698774.7684473656</v>
          </cell>
        </row>
        <row r="11">
          <cell r="C11">
            <v>-23791548.064097878</v>
          </cell>
          <cell r="G11">
            <v>-22084442.906351797</v>
          </cell>
          <cell r="H11">
            <v>1707105.1577460803</v>
          </cell>
          <cell r="K11">
            <v>-25270830.176370457</v>
          </cell>
          <cell r="L11">
            <v>-1479282.1122725792</v>
          </cell>
        </row>
        <row r="12">
          <cell r="C12">
            <v>-18440906.007074829</v>
          </cell>
          <cell r="G12">
            <v>-16949227.417355165</v>
          </cell>
          <cell r="H12">
            <v>1491678.5897196643</v>
          </cell>
          <cell r="K12">
            <v>-19708825.196826626</v>
          </cell>
          <cell r="L12">
            <v>-1267919.1897517964</v>
          </cell>
        </row>
        <row r="13">
          <cell r="C13">
            <v>-13659385.269172125</v>
          </cell>
          <cell r="G13">
            <v>-12443358.909588397</v>
          </cell>
          <cell r="H13">
            <v>1216026.359583728</v>
          </cell>
          <cell r="K13">
            <v>-14670147.599363357</v>
          </cell>
          <cell r="L13">
            <v>-1010762.3301912323</v>
          </cell>
        </row>
        <row r="14">
          <cell r="C14">
            <v>-11780731.582246138</v>
          </cell>
          <cell r="G14">
            <v>-10646180.7256894</v>
          </cell>
          <cell r="H14">
            <v>1134550.8565567378</v>
          </cell>
          <cell r="K14">
            <v>-12711667.829677053</v>
          </cell>
          <cell r="L14">
            <v>-930936.24743091501</v>
          </cell>
        </row>
        <row r="15">
          <cell r="C15">
            <v>-9006210.654281022</v>
          </cell>
          <cell r="G15">
            <v>-8084404.9430983718</v>
          </cell>
          <cell r="H15">
            <v>921805.71118265018</v>
          </cell>
          <cell r="K15">
            <v>-9776850.4718770199</v>
          </cell>
          <cell r="L15">
            <v>-770639.81759599783</v>
          </cell>
        </row>
        <row r="16">
          <cell r="C16">
            <v>-6236572.2972302036</v>
          </cell>
          <cell r="G16">
            <v>-5568120.3706747489</v>
          </cell>
          <cell r="H16">
            <v>668451.92655545473</v>
          </cell>
          <cell r="K16">
            <v>-6815729.4522130303</v>
          </cell>
          <cell r="L16">
            <v>-579157.15498282667</v>
          </cell>
        </row>
        <row r="17">
          <cell r="C17">
            <v>-5209699.5895419493</v>
          </cell>
          <cell r="G17">
            <v>-4615431.1242793687</v>
          </cell>
          <cell r="H17">
            <v>594268.46526258066</v>
          </cell>
          <cell r="K17">
            <v>-5728592.7138403645</v>
          </cell>
          <cell r="L17">
            <v>-518893.12429841515</v>
          </cell>
        </row>
        <row r="18">
          <cell r="C18">
            <v>-4488287.8088599956</v>
          </cell>
          <cell r="G18">
            <v>-3938660.9261917919</v>
          </cell>
          <cell r="H18">
            <v>549626.88266820367</v>
          </cell>
          <cell r="K18">
            <v>-4971987.610737321</v>
          </cell>
          <cell r="L18">
            <v>-483699.8018773254</v>
          </cell>
        </row>
        <row r="19">
          <cell r="C19">
            <v>-3936723.1400966677</v>
          </cell>
          <cell r="G19">
            <v>-3421518.0695820758</v>
          </cell>
          <cell r="H19">
            <v>515205.07051459188</v>
          </cell>
          <cell r="K19">
            <v>-4391310.1740288651</v>
          </cell>
          <cell r="L19">
            <v>-454587.03393219737</v>
          </cell>
        </row>
        <row r="20">
          <cell r="C20">
            <v>-3251452.8079054286</v>
          </cell>
          <cell r="G20">
            <v>-2798818.4378348142</v>
          </cell>
          <cell r="H20">
            <v>452634.37007061439</v>
          </cell>
          <cell r="K20">
            <v>-3659009.1676451475</v>
          </cell>
          <cell r="L20">
            <v>-407556.35973971896</v>
          </cell>
        </row>
        <row r="21">
          <cell r="C21">
            <v>-2697426.656147093</v>
          </cell>
          <cell r="G21">
            <v>-2299626.2269221861</v>
          </cell>
          <cell r="H21">
            <v>397800.42922490695</v>
          </cell>
          <cell r="K21">
            <v>-3068429.2184248441</v>
          </cell>
          <cell r="L21">
            <v>-371002.56227775104</v>
          </cell>
        </row>
        <row r="22">
          <cell r="C22">
            <v>-2223184.1681491197</v>
          </cell>
          <cell r="G22">
            <v>-1877115.2871484484</v>
          </cell>
          <cell r="H22">
            <v>346068.8810006713</v>
          </cell>
          <cell r="K22">
            <v>-2550489.0543941278</v>
          </cell>
          <cell r="L22">
            <v>-327304.88624500809</v>
          </cell>
        </row>
        <row r="23">
          <cell r="C23">
            <v>-1864820.195593378</v>
          </cell>
          <cell r="G23">
            <v>-1559404.4910087551</v>
          </cell>
          <cell r="H23">
            <v>305415.70458462299</v>
          </cell>
          <cell r="K23">
            <v>-2163144.9665714442</v>
          </cell>
          <cell r="L23">
            <v>-298324.77097806614</v>
          </cell>
        </row>
        <row r="24">
          <cell r="C24">
            <v>-1610645.6678086955</v>
          </cell>
          <cell r="G24">
            <v>-1333913.6835690858</v>
          </cell>
          <cell r="H24">
            <v>276731.98423960968</v>
          </cell>
          <cell r="K24">
            <v>-1889366.4700944473</v>
          </cell>
          <cell r="L24">
            <v>-278720.80228575179</v>
          </cell>
        </row>
        <row r="25">
          <cell r="C25">
            <v>-1345180.7507431894</v>
          </cell>
          <cell r="G25">
            <v>-1103353.6203775525</v>
          </cell>
          <cell r="H25">
            <v>241827.1303656369</v>
          </cell>
          <cell r="K25">
            <v>-1591067.5223841474</v>
          </cell>
          <cell r="L25">
            <v>-245886.77164095803</v>
          </cell>
        </row>
        <row r="26">
          <cell r="C26">
            <v>-1117521.5822840312</v>
          </cell>
          <cell r="G26">
            <v>-907814.27995243436</v>
          </cell>
          <cell r="H26">
            <v>209707.30233159685</v>
          </cell>
          <cell r="K26">
            <v>-1332225.4500778678</v>
          </cell>
          <cell r="L26">
            <v>-214703.86779383663</v>
          </cell>
        </row>
        <row r="27">
          <cell r="C27">
            <v>-925649.32995665295</v>
          </cell>
          <cell r="G27">
            <v>-744723.8127874257</v>
          </cell>
          <cell r="H27">
            <v>180925.51716922724</v>
          </cell>
          <cell r="K27">
            <v>-1112166.8300703908</v>
          </cell>
          <cell r="L27">
            <v>-186517.50011373789</v>
          </cell>
        </row>
        <row r="28">
          <cell r="C28">
            <v>-786011.95819412277</v>
          </cell>
          <cell r="G28">
            <v>-626306.51893969497</v>
          </cell>
          <cell r="H28">
            <v>159705.43925442779</v>
          </cell>
          <cell r="K28">
            <v>-951896.58205437334</v>
          </cell>
          <cell r="L28">
            <v>-165884.62386025058</v>
          </cell>
        </row>
        <row r="29">
          <cell r="C29">
            <v>-669806.62667969335</v>
          </cell>
          <cell r="G29">
            <v>-528586.9748829524</v>
          </cell>
          <cell r="H29">
            <v>141219.65179674095</v>
          </cell>
          <cell r="K29">
            <v>-817496.66505078622</v>
          </cell>
          <cell r="L29">
            <v>-147690.03837109287</v>
          </cell>
        </row>
        <row r="30">
          <cell r="C30">
            <v>-513018.44132045296</v>
          </cell>
          <cell r="G30">
            <v>-400967.9303033434</v>
          </cell>
          <cell r="H30">
            <v>112050.51101710956</v>
          </cell>
          <cell r="K30">
            <v>-631005.73918777902</v>
          </cell>
          <cell r="L30">
            <v>-117987.29786732607</v>
          </cell>
        </row>
        <row r="31">
          <cell r="C31">
            <v>-386003.6209224037</v>
          </cell>
          <cell r="G31">
            <v>-298797.88695497188</v>
          </cell>
          <cell r="H31">
            <v>87205.733967431821</v>
          </cell>
          <cell r="K31">
            <v>-478456.02302891755</v>
          </cell>
          <cell r="L31">
            <v>-92452.402106513851</v>
          </cell>
        </row>
        <row r="32">
          <cell r="C32">
            <v>-277292.52808574348</v>
          </cell>
          <cell r="G32">
            <v>-212586.13532823484</v>
          </cell>
          <cell r="H32">
            <v>64706.392757508642</v>
          </cell>
          <cell r="K32">
            <v>-346311.91123678291</v>
          </cell>
          <cell r="L32">
            <v>-69019.383151039423</v>
          </cell>
        </row>
        <row r="33">
          <cell r="C33">
            <v>-237362.96516116668</v>
          </cell>
          <cell r="G33">
            <v>-180227.59029390395</v>
          </cell>
          <cell r="H33">
            <v>57135.374867262726</v>
          </cell>
          <cell r="K33">
            <v>-298719.7896462853</v>
          </cell>
          <cell r="L33">
            <v>-61356.824485118617</v>
          </cell>
        </row>
        <row r="34">
          <cell r="C34">
            <v>-238610.19073060714</v>
          </cell>
          <cell r="G34">
            <v>-179435.59537748847</v>
          </cell>
          <cell r="H34">
            <v>59174.595353118668</v>
          </cell>
          <cell r="K34">
            <v>-302585.83358490322</v>
          </cell>
          <cell r="L34">
            <v>-63975.642854296078</v>
          </cell>
        </row>
        <row r="35">
          <cell r="C35">
            <v>-127928.73380603196</v>
          </cell>
          <cell r="G35">
            <v>-95279.458442726027</v>
          </cell>
          <cell r="H35">
            <v>32649.275363305933</v>
          </cell>
          <cell r="K35">
            <v>-163440.18805191072</v>
          </cell>
          <cell r="L35">
            <v>-35511.454245878762</v>
          </cell>
        </row>
        <row r="36">
          <cell r="C36">
            <v>-73303.926559828411</v>
          </cell>
          <cell r="G36">
            <v>-54071.765512696496</v>
          </cell>
          <cell r="H36">
            <v>19232.161047131915</v>
          </cell>
          <cell r="K36">
            <v>-94347.783151887692</v>
          </cell>
          <cell r="L36">
            <v>-21043.856592059281</v>
          </cell>
        </row>
        <row r="37">
          <cell r="C37">
            <v>-50809.851334709674</v>
          </cell>
          <cell r="G37">
            <v>-37119.570697687494</v>
          </cell>
          <cell r="H37">
            <v>13690.280637022181</v>
          </cell>
          <cell r="K37">
            <v>-65879.374579456198</v>
          </cell>
          <cell r="L37">
            <v>-15069.523244746524</v>
          </cell>
        </row>
        <row r="38">
          <cell r="C38">
            <v>-41652.234118102715</v>
          </cell>
          <cell r="G38">
            <v>-30137.429672763465</v>
          </cell>
          <cell r="H38">
            <v>11514.80444533925</v>
          </cell>
          <cell r="K38">
            <v>-54402.520491052688</v>
          </cell>
          <cell r="L38">
            <v>-12750.286372949973</v>
          </cell>
        </row>
        <row r="39">
          <cell r="C39">
            <v>-31936.791611657038</v>
          </cell>
          <cell r="G39">
            <v>-22886.10758955227</v>
          </cell>
          <cell r="H39">
            <v>9050.6840221047678</v>
          </cell>
          <cell r="K39">
            <v>-42017.896151358691</v>
          </cell>
          <cell r="L39">
            <v>-10081.104539701653</v>
          </cell>
        </row>
        <row r="40">
          <cell r="C40">
            <v>-21931.896189929277</v>
          </cell>
          <cell r="G40">
            <v>-15565.737843655406</v>
          </cell>
          <cell r="H40">
            <v>6366.1583462738708</v>
          </cell>
          <cell r="K40">
            <v>-29059.551297470978</v>
          </cell>
          <cell r="L40">
            <v>-7127.655107541701</v>
          </cell>
        </row>
        <row r="41">
          <cell r="C41">
            <v>-16063.685920100548</v>
          </cell>
          <cell r="G41">
            <v>-11291.511971040572</v>
          </cell>
          <cell r="H41">
            <v>4772.1739490599757</v>
          </cell>
          <cell r="K41">
            <v>-21434.151270262311</v>
          </cell>
          <cell r="L41">
            <v>-5370.4653501617631</v>
          </cell>
        </row>
        <row r="42">
          <cell r="C42">
            <v>-12702.619443787788</v>
          </cell>
          <cell r="G42">
            <v>-8843.2933689760248</v>
          </cell>
          <cell r="H42">
            <v>3859.3260748117627</v>
          </cell>
          <cell r="K42">
            <v>-17071.06726645241</v>
          </cell>
          <cell r="L42">
            <v>-4368.4478226646224</v>
          </cell>
        </row>
        <row r="43">
          <cell r="C43">
            <v>-11133.106925567132</v>
          </cell>
          <cell r="G43">
            <v>-7676.2915448032927</v>
          </cell>
          <cell r="H43">
            <v>3456.8153807638391</v>
          </cell>
          <cell r="K43">
            <v>-15065.755560766815</v>
          </cell>
          <cell r="L43">
            <v>-3932.6486351996828</v>
          </cell>
        </row>
        <row r="44">
          <cell r="C44">
            <v>-8213.8247651199999</v>
          </cell>
          <cell r="G44">
            <v>-5609.1122980900691</v>
          </cell>
          <cell r="H44">
            <v>2604.7124670299308</v>
          </cell>
          <cell r="K44">
            <v>-11191.970245867022</v>
          </cell>
          <cell r="L44">
            <v>-2978.1454807470218</v>
          </cell>
        </row>
        <row r="45">
          <cell r="C45">
            <v>-3355.1857467322429</v>
          </cell>
          <cell r="G45">
            <v>-2269.2319786664298</v>
          </cell>
          <cell r="H45">
            <v>1085.9537680658132</v>
          </cell>
          <cell r="K45">
            <v>-4603.0224066045239</v>
          </cell>
          <cell r="L45">
            <v>-1247.836659872281</v>
          </cell>
        </row>
        <row r="46">
          <cell r="C46">
            <v>-1388.3763093988366</v>
          </cell>
          <cell r="G46">
            <v>-930.00129013408082</v>
          </cell>
          <cell r="H46">
            <v>458.37501926475579</v>
          </cell>
          <cell r="K46">
            <v>-1917.6862956131106</v>
          </cell>
          <cell r="L46">
            <v>-529.30998621427398</v>
          </cell>
        </row>
        <row r="47">
          <cell r="C47">
            <v>-701.58037888906301</v>
          </cell>
          <cell r="G47">
            <v>-465.44484535953336</v>
          </cell>
          <cell r="H47">
            <v>236.13553352952965</v>
          </cell>
          <cell r="K47">
            <v>-975.59654174719321</v>
          </cell>
          <cell r="L47">
            <v>-274.0161628581302</v>
          </cell>
        </row>
        <row r="48">
          <cell r="C48">
            <v>-405.96333992240579</v>
          </cell>
          <cell r="G48">
            <v>-266.74264007589062</v>
          </cell>
          <cell r="H48">
            <v>139.22069984651517</v>
          </cell>
          <cell r="K48">
            <v>-568.18290654142663</v>
          </cell>
          <cell r="L48">
            <v>-162.21956661902084</v>
          </cell>
        </row>
        <row r="49">
          <cell r="C49">
            <v>-228.85755787552719</v>
          </cell>
          <cell r="G49">
            <v>-148.93088869189177</v>
          </cell>
          <cell r="H49">
            <v>79.926669183635425</v>
          </cell>
          <cell r="K49">
            <v>-322.43691927907889</v>
          </cell>
          <cell r="L49">
            <v>-93.579361403551701</v>
          </cell>
        </row>
        <row r="50">
          <cell r="C50">
            <v>-124.19121100697478</v>
          </cell>
          <cell r="G50">
            <v>-80.04339977221737</v>
          </cell>
          <cell r="H50">
            <v>44.147811234757413</v>
          </cell>
          <cell r="K50">
            <v>-176.12732027195148</v>
          </cell>
          <cell r="L50">
            <v>-51.936109264976693</v>
          </cell>
        </row>
        <row r="51">
          <cell r="C51">
            <v>-64.943913309976637</v>
          </cell>
          <cell r="G51">
            <v>-41.456030998291681</v>
          </cell>
          <cell r="H51">
            <v>23.487882311684956</v>
          </cell>
          <cell r="K51">
            <v>-92.685324352601043</v>
          </cell>
          <cell r="L51">
            <v>-27.741411042624406</v>
          </cell>
        </row>
        <row r="52">
          <cell r="C52">
            <v>-29.151357941436604</v>
          </cell>
          <cell r="G52">
            <v>-18.429880001382667</v>
          </cell>
          <cell r="H52">
            <v>10.721477940053937</v>
          </cell>
          <cell r="K52">
            <v>-41.864194240012992</v>
          </cell>
          <cell r="L52">
            <v>-12.712836298576388</v>
          </cell>
        </row>
        <row r="53">
          <cell r="C53">
            <v>-9.9333560317748777</v>
          </cell>
          <cell r="G53">
            <v>-6.2197934371309485</v>
          </cell>
          <cell r="H53">
            <v>3.7135625946439292</v>
          </cell>
          <cell r="K53">
            <v>-14.353724886648809</v>
          </cell>
          <cell r="L53">
            <v>-4.4203688548739315</v>
          </cell>
        </row>
        <row r="54">
          <cell r="C54">
            <v>-2.5310849370841759</v>
          </cell>
          <cell r="G54">
            <v>-1.5696427711539469</v>
          </cell>
          <cell r="H54">
            <v>0.96144216593022902</v>
          </cell>
          <cell r="K54">
            <v>-3.6799002607601237</v>
          </cell>
          <cell r="L54">
            <v>-1.1488153236759477</v>
          </cell>
        </row>
      </sheetData>
      <sheetData sheetId="2">
        <row r="3">
          <cell r="D3">
            <v>-860806815.31570256</v>
          </cell>
          <cell r="G3">
            <v>-835601513.55952179</v>
          </cell>
          <cell r="J3">
            <v>-820014995.52208507</v>
          </cell>
          <cell r="M3">
            <v>-850826280.04868865</v>
          </cell>
        </row>
        <row r="4">
          <cell r="D4">
            <v>-116458520.33029363</v>
          </cell>
          <cell r="G4">
            <v>-98554744.22026138</v>
          </cell>
          <cell r="J4">
            <v>-91076364.128386617</v>
          </cell>
          <cell r="M4">
            <v>-104942418.86835527</v>
          </cell>
        </row>
        <row r="5">
          <cell r="D5">
            <v>-58873034.255981483</v>
          </cell>
          <cell r="G5">
            <v>-40525022.985613562</v>
          </cell>
          <cell r="J5">
            <v>-35497013.560309649</v>
          </cell>
          <cell r="M5">
            <v>-45014909.299826607</v>
          </cell>
        </row>
        <row r="6">
          <cell r="D6">
            <v>-12800866.032435631</v>
          </cell>
          <cell r="G6">
            <v>-6496457.9940780634</v>
          </cell>
          <cell r="J6">
            <v>-5182800.3451980017</v>
          </cell>
          <cell r="M6">
            <v>-7861932.3463222329</v>
          </cell>
        </row>
        <row r="7">
          <cell r="D7">
            <v>-1064764.4852064135</v>
          </cell>
          <cell r="G7">
            <v>-401987.38493087993</v>
          </cell>
          <cell r="J7">
            <v>-292708.34933189908</v>
          </cell>
          <cell r="M7">
            <v>-522625.89360028284</v>
          </cell>
        </row>
      </sheetData>
      <sheetData sheetId="3">
        <row r="3">
          <cell r="D3">
            <v>15586518.037436768</v>
          </cell>
          <cell r="G3">
            <v>-15224766.489166856</v>
          </cell>
          <cell r="J3">
            <v>-120819.32005241723</v>
          </cell>
        </row>
        <row r="4">
          <cell r="D4">
            <v>7478380.0918747652</v>
          </cell>
          <cell r="G4">
            <v>-6387674.6480938885</v>
          </cell>
          <cell r="J4">
            <v>-67570.089066686851</v>
          </cell>
        </row>
        <row r="5">
          <cell r="D5">
            <v>5028009.4253039062</v>
          </cell>
          <cell r="G5">
            <v>-4489886.314213058</v>
          </cell>
          <cell r="J5">
            <v>-53453.394404204228</v>
          </cell>
        </row>
        <row r="6">
          <cell r="D6">
            <v>1313657.6488800612</v>
          </cell>
          <cell r="G6">
            <v>-1365474.3522441699</v>
          </cell>
          <cell r="J6">
            <v>-14781.807656239647</v>
          </cell>
        </row>
        <row r="7">
          <cell r="D7">
            <v>109279.03559898073</v>
          </cell>
          <cell r="G7">
            <v>-120638.50866940297</v>
          </cell>
          <cell r="J7">
            <v>-1283.6801129687904</v>
          </cell>
        </row>
      </sheetData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Settembre25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-354251532.78569019</v>
          </cell>
        </row>
        <row r="6">
          <cell r="L6">
            <v>-277814438.81684458</v>
          </cell>
        </row>
        <row r="7">
          <cell r="L7">
            <v>-119668486.94164173</v>
          </cell>
        </row>
        <row r="8">
          <cell r="L8">
            <v>-66011371.120870858</v>
          </cell>
        </row>
        <row r="9">
          <cell r="L9">
            <v>-45753058.776786052</v>
          </cell>
        </row>
        <row r="10">
          <cell r="L10">
            <v>-35286266.500125252</v>
          </cell>
        </row>
        <row r="11">
          <cell r="L11">
            <v>-27854828.125118382</v>
          </cell>
        </row>
        <row r="12">
          <cell r="L12">
            <v>-22174065.228131816</v>
          </cell>
        </row>
        <row r="13">
          <cell r="L13">
            <v>-16825353.975437362</v>
          </cell>
        </row>
        <row r="14">
          <cell r="L14">
            <v>-14864565.504754547</v>
          </cell>
        </row>
        <row r="15">
          <cell r="L15">
            <v>-11810848.656614317</v>
          </cell>
        </row>
        <row r="16">
          <cell r="L16">
            <v>-8516059.4541114531</v>
          </cell>
        </row>
        <row r="17">
          <cell r="L17">
            <v>-7335408.8146973746</v>
          </cell>
        </row>
        <row r="18">
          <cell r="L18">
            <v>-6538267.5444109468</v>
          </cell>
        </row>
        <row r="19">
          <cell r="L19">
            <v>-5879664.4315256486</v>
          </cell>
        </row>
        <row r="20">
          <cell r="L20">
            <v>-5037637.7687327955</v>
          </cell>
        </row>
        <row r="21">
          <cell r="L21">
            <v>-4332516.8542879503</v>
          </cell>
        </row>
        <row r="22">
          <cell r="L22">
            <v>-3725713.552094033</v>
          </cell>
        </row>
        <row r="23">
          <cell r="L23">
            <v>-3262975.1930473731</v>
          </cell>
        </row>
        <row r="24">
          <cell r="L24">
            <v>-2887785.5147082973</v>
          </cell>
        </row>
        <row r="25">
          <cell r="L25">
            <v>-2499863.2318508066</v>
          </cell>
        </row>
        <row r="26">
          <cell r="L26">
            <v>-2156998.3099396545</v>
          </cell>
        </row>
        <row r="27">
          <cell r="L27">
            <v>-1865853.2620846943</v>
          </cell>
        </row>
        <row r="28">
          <cell r="L28">
            <v>-1651145.1038223277</v>
          </cell>
        </row>
        <row r="29">
          <cell r="L29">
            <v>-1434189.6280360776</v>
          </cell>
        </row>
        <row r="30">
          <cell r="L30">
            <v>-1148269.9242888123</v>
          </cell>
        </row>
        <row r="31">
          <cell r="L31">
            <v>-908028.03196876298</v>
          </cell>
        </row>
        <row r="32">
          <cell r="L32">
            <v>-703853.51892489614</v>
          </cell>
        </row>
        <row r="33">
          <cell r="L33">
            <v>-633081.08501548215</v>
          </cell>
        </row>
        <row r="34">
          <cell r="L34">
            <v>-569709.42809603829</v>
          </cell>
        </row>
        <row r="35">
          <cell r="L35">
            <v>-317539.64239183976</v>
          </cell>
        </row>
        <row r="36">
          <cell r="L36">
            <v>-192894.98187909173</v>
          </cell>
        </row>
        <row r="37">
          <cell r="L37">
            <v>-142614.28239638775</v>
          </cell>
        </row>
        <row r="38">
          <cell r="L38">
            <v>-116838.27156748594</v>
          </cell>
        </row>
        <row r="39">
          <cell r="L39">
            <v>-90608.800692232413</v>
          </cell>
        </row>
        <row r="40">
          <cell r="L40">
            <v>-66135.162842484206</v>
          </cell>
        </row>
        <row r="41">
          <cell r="L41">
            <v>-51607.637868723694</v>
          </cell>
        </row>
        <row r="42">
          <cell r="L42">
            <v>-43333.655950201079</v>
          </cell>
        </row>
        <row r="43">
          <cell r="L43">
            <v>-36220.615659940639</v>
          </cell>
        </row>
        <row r="44">
          <cell r="L44">
            <v>-24953.390221700847</v>
          </cell>
        </row>
        <row r="45">
          <cell r="L45">
            <v>-10492.078134713951</v>
          </cell>
        </row>
        <row r="46">
          <cell r="L46">
            <v>-4543.6780949296535</v>
          </cell>
        </row>
        <row r="47">
          <cell r="L47">
            <v>-2397.8156209979516</v>
          </cell>
        </row>
        <row r="48">
          <cell r="L48">
            <v>-1431.7947402203922</v>
          </cell>
        </row>
        <row r="49">
          <cell r="L49">
            <v>-835.68506034320978</v>
          </cell>
        </row>
        <row r="50">
          <cell r="L50">
            <v>-463.48659264325988</v>
          </cell>
        </row>
        <row r="51">
          <cell r="L51">
            <v>-246.49396421247741</v>
          </cell>
        </row>
        <row r="52">
          <cell r="L52">
            <v>-113.113168720899</v>
          </cell>
        </row>
        <row r="53">
          <cell r="L53">
            <v>-38.976195360878997</v>
          </cell>
        </row>
        <row r="54">
          <cell r="L54">
            <v>-10.161319506247931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2.7314885683699024</v>
          </cell>
          <cell r="P4">
            <v>-263106.75999635109</v>
          </cell>
        </row>
        <row r="5">
          <cell r="C5">
            <v>-350739330.38610649</v>
          </cell>
          <cell r="D5">
            <v>-17363.097473754053</v>
          </cell>
          <cell r="G5">
            <v>-348362694.81717741</v>
          </cell>
          <cell r="H5">
            <v>2376635.5689290762</v>
          </cell>
          <cell r="J5">
            <v>0.5</v>
          </cell>
          <cell r="K5">
            <v>-353359788.63315421</v>
          </cell>
          <cell r="L5">
            <v>-2620458.2470477223</v>
          </cell>
        </row>
        <row r="6">
          <cell r="C6">
            <v>-269509194.12749141</v>
          </cell>
          <cell r="D6">
            <v>-39817.522162278692</v>
          </cell>
          <cell r="G6">
            <v>-263955384.37729844</v>
          </cell>
          <cell r="H6">
            <v>5553809.75019297</v>
          </cell>
          <cell r="J6">
            <v>1.5</v>
          </cell>
          <cell r="K6">
            <v>-275133521.31068218</v>
          </cell>
          <cell r="L6">
            <v>-5624327.183190763</v>
          </cell>
        </row>
        <row r="7">
          <cell r="C7">
            <v>-113593171.50073127</v>
          </cell>
          <cell r="D7">
            <v>-27909.349154632033</v>
          </cell>
          <cell r="G7">
            <v>-109803604.12453777</v>
          </cell>
          <cell r="H7">
            <v>3789567.3761935085</v>
          </cell>
          <cell r="J7">
            <v>2.5</v>
          </cell>
          <cell r="K7">
            <v>-117155367.48964781</v>
          </cell>
          <cell r="L7">
            <v>-3562195.9889165312</v>
          </cell>
        </row>
        <row r="8">
          <cell r="C8">
            <v>-61206229.188557744</v>
          </cell>
          <cell r="G8">
            <v>-58492302.334436834</v>
          </cell>
          <cell r="H8">
            <v>2713926.8541209102</v>
          </cell>
          <cell r="K8">
            <v>-63671508.903889768</v>
          </cell>
          <cell r="L8">
            <v>-2465279.7153320238</v>
          </cell>
        </row>
        <row r="9">
          <cell r="C9">
            <v>-41382584.656519152</v>
          </cell>
          <cell r="G9">
            <v>-39129751.023340128</v>
          </cell>
          <cell r="H9">
            <v>2252833.6331790239</v>
          </cell>
          <cell r="K9">
            <v>-43401894.426711813</v>
          </cell>
          <cell r="L9">
            <v>-2019309.7701926604</v>
          </cell>
        </row>
        <row r="10">
          <cell r="C10">
            <v>-31094481.820361163</v>
          </cell>
          <cell r="G10">
            <v>-29100567.382859174</v>
          </cell>
          <cell r="H10">
            <v>1993914.4375019893</v>
          </cell>
          <cell r="K10">
            <v>-32853128.942626461</v>
          </cell>
          <cell r="L10">
            <v>-1758647.1222652979</v>
          </cell>
        </row>
        <row r="11">
          <cell r="C11">
            <v>-23886004.749120846</v>
          </cell>
          <cell r="G11">
            <v>-22137163.133534819</v>
          </cell>
          <cell r="H11">
            <v>1748841.6155860275</v>
          </cell>
          <cell r="K11">
            <v>-25404212.240333915</v>
          </cell>
          <cell r="L11">
            <v>-1518207.4912130684</v>
          </cell>
        </row>
        <row r="12">
          <cell r="C12">
            <v>-18483219.444327764</v>
          </cell>
          <cell r="G12">
            <v>-16966138.410499018</v>
          </cell>
          <cell r="H12">
            <v>1517081.0338287465</v>
          </cell>
          <cell r="K12">
            <v>-19775198.43722181</v>
          </cell>
          <cell r="L12">
            <v>-1291978.992894046</v>
          </cell>
        </row>
        <row r="13">
          <cell r="C13">
            <v>-13618501.844860042</v>
          </cell>
          <cell r="G13">
            <v>-12393293.11082956</v>
          </cell>
          <cell r="H13">
            <v>1225208.7340304814</v>
          </cell>
          <cell r="K13">
            <v>-14637436.880737089</v>
          </cell>
          <cell r="L13">
            <v>-1018935.0358770471</v>
          </cell>
        </row>
        <row r="14">
          <cell r="C14">
            <v>-11672639.989666861</v>
          </cell>
          <cell r="G14">
            <v>-10541516.769198693</v>
          </cell>
          <cell r="H14">
            <v>1131123.2204681672</v>
          </cell>
          <cell r="K14">
            <v>-12601293.119567085</v>
          </cell>
          <cell r="L14">
            <v>-928653.12990022451</v>
          </cell>
        </row>
        <row r="15">
          <cell r="C15">
            <v>-8991488.6128074098</v>
          </cell>
          <cell r="G15">
            <v>-8068823.74190161</v>
          </cell>
          <cell r="H15">
            <v>922664.87090579979</v>
          </cell>
          <cell r="K15">
            <v>-9763280.03507437</v>
          </cell>
          <cell r="L15">
            <v>-771791.42226696014</v>
          </cell>
        </row>
        <row r="16">
          <cell r="C16">
            <v>-6282151.0805244306</v>
          </cell>
          <cell r="G16">
            <v>-5608842.8924789783</v>
          </cell>
          <cell r="H16">
            <v>673308.18804545235</v>
          </cell>
          <cell r="K16">
            <v>-6865521.6073225727</v>
          </cell>
          <cell r="L16">
            <v>-583370.52679814212</v>
          </cell>
        </row>
        <row r="17">
          <cell r="C17">
            <v>-5241839.8047073847</v>
          </cell>
          <cell r="G17">
            <v>-4644420.3825522745</v>
          </cell>
          <cell r="H17">
            <v>597419.42215511017</v>
          </cell>
          <cell r="K17">
            <v>-5762896.7321954388</v>
          </cell>
          <cell r="L17">
            <v>-521056.92748805415</v>
          </cell>
        </row>
        <row r="18">
          <cell r="C18">
            <v>-4524782.4149424331</v>
          </cell>
          <cell r="G18">
            <v>-3970635.2582096676</v>
          </cell>
          <cell r="H18">
            <v>554147.15673276549</v>
          </cell>
          <cell r="K18">
            <v>-5010801.4393820316</v>
          </cell>
          <cell r="L18">
            <v>-486019.02443959843</v>
          </cell>
        </row>
        <row r="19">
          <cell r="C19">
            <v>-3941491.7631009873</v>
          </cell>
          <cell r="G19">
            <v>-3425592.7688375083</v>
          </cell>
          <cell r="H19">
            <v>515898.99426347902</v>
          </cell>
          <cell r="K19">
            <v>-4394505.3456105795</v>
          </cell>
          <cell r="L19">
            <v>-453013.58250959218</v>
          </cell>
        </row>
        <row r="20">
          <cell r="C20">
            <v>-3273325.5394397969</v>
          </cell>
          <cell r="G20">
            <v>-2817567.314449606</v>
          </cell>
          <cell r="H20">
            <v>455758.22499019094</v>
          </cell>
          <cell r="K20">
            <v>-3681186.7577624666</v>
          </cell>
          <cell r="L20">
            <v>-407861.21832266962</v>
          </cell>
        </row>
        <row r="21">
          <cell r="C21">
            <v>-2730488.4726187247</v>
          </cell>
          <cell r="G21">
            <v>-2327731.0883225147</v>
          </cell>
          <cell r="H21">
            <v>402757.38429621002</v>
          </cell>
          <cell r="K21">
            <v>-3103361.919550885</v>
          </cell>
          <cell r="L21">
            <v>-372873.4469321603</v>
          </cell>
        </row>
        <row r="22">
          <cell r="C22">
            <v>-2278620.236507196</v>
          </cell>
          <cell r="G22">
            <v>-1923843.6976117317</v>
          </cell>
          <cell r="H22">
            <v>354776.53889546427</v>
          </cell>
          <cell r="K22">
            <v>-2611258.5492063048</v>
          </cell>
          <cell r="L22">
            <v>-332638.31269910885</v>
          </cell>
        </row>
        <row r="23">
          <cell r="C23">
            <v>-1937182.2292721095</v>
          </cell>
          <cell r="G23">
            <v>-1619842.0886656207</v>
          </cell>
          <cell r="H23">
            <v>317340.1406064888</v>
          </cell>
          <cell r="K23">
            <v>-2244112.7548571611</v>
          </cell>
          <cell r="L23">
            <v>-306930.52558505163</v>
          </cell>
        </row>
        <row r="24">
          <cell r="C24">
            <v>-1664419.4836297634</v>
          </cell>
          <cell r="G24">
            <v>-1378380.2778399412</v>
          </cell>
          <cell r="H24">
            <v>286039.20578982215</v>
          </cell>
          <cell r="K24">
            <v>-1949546.0920909555</v>
          </cell>
          <cell r="L24">
            <v>-285126.60846119211</v>
          </cell>
        </row>
        <row r="25">
          <cell r="C25">
            <v>-1398732.7906570691</v>
          </cell>
          <cell r="G25">
            <v>-1147216.6758454647</v>
          </cell>
          <cell r="H25">
            <v>251516.11481160438</v>
          </cell>
          <cell r="K25">
            <v>-1651828.1783901053</v>
          </cell>
          <cell r="L25">
            <v>-253095.38773303619</v>
          </cell>
        </row>
        <row r="26">
          <cell r="C26">
            <v>-1171343.2114048714</v>
          </cell>
          <cell r="G26">
            <v>-951481.8884151954</v>
          </cell>
          <cell r="H26">
            <v>219861.32298967603</v>
          </cell>
          <cell r="K26">
            <v>-1394104.2336366868</v>
          </cell>
          <cell r="L26">
            <v>-222761.02223181538</v>
          </cell>
        </row>
        <row r="27">
          <cell r="C27">
            <v>-983144.53483178385</v>
          </cell>
          <cell r="G27">
            <v>-790934.01979587798</v>
          </cell>
          <cell r="H27">
            <v>192210.51503590588</v>
          </cell>
          <cell r="K27">
            <v>-1179226.0067564612</v>
          </cell>
          <cell r="L27">
            <v>-196081.47192467737</v>
          </cell>
        </row>
        <row r="28">
          <cell r="C28">
            <v>-844040.2802872468</v>
          </cell>
          <cell r="G28">
            <v>-672501.46385370661</v>
          </cell>
          <cell r="H28">
            <v>171538.8164335402</v>
          </cell>
          <cell r="K28">
            <v>-1020227.7136158746</v>
          </cell>
          <cell r="L28">
            <v>-176187.43332862784</v>
          </cell>
        </row>
        <row r="29">
          <cell r="C29">
            <v>-711139.97418653429</v>
          </cell>
          <cell r="G29">
            <v>-561168.1006824784</v>
          </cell>
          <cell r="H29">
            <v>149971.8735040559</v>
          </cell>
          <cell r="K29">
            <v>-866225.58022387885</v>
          </cell>
          <cell r="L29">
            <v>-155085.60603734455</v>
          </cell>
        </row>
        <row r="30">
          <cell r="C30">
            <v>-552199.01513229171</v>
          </cell>
          <cell r="G30">
            <v>-431560.79420556728</v>
          </cell>
          <cell r="H30">
            <v>120638.22092672443</v>
          </cell>
          <cell r="K30">
            <v>-677796.46397798136</v>
          </cell>
          <cell r="L30">
            <v>-125597.44884568965</v>
          </cell>
        </row>
        <row r="31">
          <cell r="C31">
            <v>-423380.14346740802</v>
          </cell>
          <cell r="G31">
            <v>-327707.79631869309</v>
          </cell>
          <cell r="H31">
            <v>95672.347148714936</v>
          </cell>
          <cell r="K31">
            <v>-523659.31799865857</v>
          </cell>
          <cell r="L31">
            <v>-100279.17453125055</v>
          </cell>
        </row>
        <row r="32">
          <cell r="C32">
            <v>-318185.20672800002</v>
          </cell>
          <cell r="G32">
            <v>-243918.93400263082</v>
          </cell>
          <cell r="H32">
            <v>74266.272725369199</v>
          </cell>
          <cell r="K32">
            <v>-396551.88950204733</v>
          </cell>
          <cell r="L32">
            <v>-78366.682774047309</v>
          </cell>
        </row>
        <row r="33">
          <cell r="C33">
            <v>-277469.76962050592</v>
          </cell>
          <cell r="G33">
            <v>-210664.48926700553</v>
          </cell>
          <cell r="H33">
            <v>66805.280353500391</v>
          </cell>
          <cell r="K33">
            <v>-348437.35858078307</v>
          </cell>
          <cell r="L33">
            <v>-70967.588960277149</v>
          </cell>
        </row>
        <row r="34">
          <cell r="C34">
            <v>-242015.46011525355</v>
          </cell>
          <cell r="G34">
            <v>-181982.58748455721</v>
          </cell>
          <cell r="H34">
            <v>60032.872630696336</v>
          </cell>
          <cell r="K34">
            <v>-306215.33805491251</v>
          </cell>
          <cell r="L34">
            <v>-64199.877939658967</v>
          </cell>
        </row>
        <row r="35">
          <cell r="C35">
            <v>-130742.85421556988</v>
          </cell>
          <cell r="G35">
            <v>-97367.824946609908</v>
          </cell>
          <cell r="H35">
            <v>33375.029268959974</v>
          </cell>
          <cell r="K35">
            <v>-166647.8016960508</v>
          </cell>
          <cell r="L35">
            <v>-35904.947480480914</v>
          </cell>
        </row>
        <row r="36">
          <cell r="C36">
            <v>-76967.601667992509</v>
          </cell>
          <cell r="G36">
            <v>-56769.813107229493</v>
          </cell>
          <cell r="H36">
            <v>20197.788560763016</v>
          </cell>
          <cell r="K36">
            <v>-98840.887742355597</v>
          </cell>
          <cell r="L36">
            <v>-21873.286074363088</v>
          </cell>
        </row>
        <row r="37">
          <cell r="C37">
            <v>-55138.364067873139</v>
          </cell>
          <cell r="G37">
            <v>-40278.692413031873</v>
          </cell>
          <cell r="H37">
            <v>14859.671654841266</v>
          </cell>
          <cell r="K37">
            <v>-71337.252207704267</v>
          </cell>
          <cell r="L37">
            <v>-16198.888139831128</v>
          </cell>
        </row>
        <row r="38">
          <cell r="C38">
            <v>-43771.077745306437</v>
          </cell>
          <cell r="G38">
            <v>-31668.022374779186</v>
          </cell>
          <cell r="H38">
            <v>12103.05537052725</v>
          </cell>
          <cell r="K38">
            <v>-57042.653090216554</v>
          </cell>
          <cell r="L38">
            <v>-13271.575344910118</v>
          </cell>
        </row>
        <row r="39">
          <cell r="C39">
            <v>-32887.039771196309</v>
          </cell>
          <cell r="G39">
            <v>-23565.207561265626</v>
          </cell>
          <cell r="H39">
            <v>9321.8322099306824</v>
          </cell>
          <cell r="K39">
            <v>-43168.783524728351</v>
          </cell>
          <cell r="L39">
            <v>-10281.743753532042</v>
          </cell>
        </row>
        <row r="40">
          <cell r="C40">
            <v>-23257.061642207878</v>
          </cell>
          <cell r="G40">
            <v>-16504.926643423307</v>
          </cell>
          <cell r="H40">
            <v>6752.1349987845715</v>
          </cell>
          <cell r="K40">
            <v>-30747.928528292265</v>
          </cell>
          <cell r="L40">
            <v>-7490.8668860843864</v>
          </cell>
        </row>
        <row r="41">
          <cell r="C41">
            <v>-17581.257062822835</v>
          </cell>
          <cell r="G41">
            <v>-12357.260013567688</v>
          </cell>
          <cell r="H41">
            <v>5223.9970492551474</v>
          </cell>
          <cell r="K41">
            <v>-23410.409546587387</v>
          </cell>
          <cell r="L41">
            <v>-5829.152483764552</v>
          </cell>
        </row>
        <row r="42">
          <cell r="C42">
            <v>-14299.462165032886</v>
          </cell>
          <cell r="G42">
            <v>-9954.1748512749273</v>
          </cell>
          <cell r="H42">
            <v>4345.2873137579591</v>
          </cell>
          <cell r="K42">
            <v>-19176.088380194054</v>
          </cell>
          <cell r="L42">
            <v>-4876.6262151611681</v>
          </cell>
        </row>
        <row r="43">
          <cell r="C43">
            <v>-11578.044086596425</v>
          </cell>
          <cell r="G43">
            <v>-7982.4125319271898</v>
          </cell>
          <cell r="H43">
            <v>3595.6315546692349</v>
          </cell>
          <cell r="K43">
            <v>-15633.561186681067</v>
          </cell>
          <cell r="L43">
            <v>-4055.5171000846422</v>
          </cell>
        </row>
        <row r="44">
          <cell r="C44">
            <v>-7725.7987717303322</v>
          </cell>
          <cell r="G44">
            <v>-5275.4104384642415</v>
          </cell>
          <cell r="H44">
            <v>2450.3883332660907</v>
          </cell>
          <cell r="K44">
            <v>-10503.329717698356</v>
          </cell>
          <cell r="L44">
            <v>-2777.5309459680238</v>
          </cell>
        </row>
        <row r="45">
          <cell r="C45">
            <v>-3146.6201734623305</v>
          </cell>
          <cell r="G45">
            <v>-2127.9936751146506</v>
          </cell>
          <cell r="H45">
            <v>1018.6264983476799</v>
          </cell>
          <cell r="K45">
            <v>-4307.7866596723734</v>
          </cell>
          <cell r="L45">
            <v>-1161.1664862100429</v>
          </cell>
        </row>
        <row r="46">
          <cell r="C46">
            <v>-1319.8167416793956</v>
          </cell>
          <cell r="G46">
            <v>-884.00362249299246</v>
          </cell>
          <cell r="H46">
            <v>435.81311918640313</v>
          </cell>
          <cell r="K46">
            <v>-1819.0464271714236</v>
          </cell>
          <cell r="L46">
            <v>-499.22968549202801</v>
          </cell>
        </row>
        <row r="47">
          <cell r="C47">
            <v>-674.52510735679948</v>
          </cell>
          <cell r="G47">
            <v>-447.45828083822585</v>
          </cell>
          <cell r="H47">
            <v>227.06682651857363</v>
          </cell>
          <cell r="K47">
            <v>-935.8957718685482</v>
          </cell>
          <cell r="L47">
            <v>-261.37066451174871</v>
          </cell>
        </row>
        <row r="48">
          <cell r="C48">
            <v>-390.10817240548039</v>
          </cell>
          <cell r="G48">
            <v>-256.30287003351333</v>
          </cell>
          <cell r="H48">
            <v>133.80530237196706</v>
          </cell>
          <cell r="K48">
            <v>-544.8697319847638</v>
          </cell>
          <cell r="L48">
            <v>-154.76155957928341</v>
          </cell>
        </row>
        <row r="49">
          <cell r="C49">
            <v>-220.50922881407544</v>
          </cell>
          <cell r="G49">
            <v>-143.48601905209244</v>
          </cell>
          <cell r="H49">
            <v>77.023209761982997</v>
          </cell>
          <cell r="K49">
            <v>-309.95354068397859</v>
          </cell>
          <cell r="L49">
            <v>-89.444311869903146</v>
          </cell>
        </row>
        <row r="50">
          <cell r="C50">
            <v>-118.42927000741241</v>
          </cell>
          <cell r="G50">
            <v>-76.32321706040976</v>
          </cell>
          <cell r="H50">
            <v>42.106052947002652</v>
          </cell>
          <cell r="K50">
            <v>-167.55668807225578</v>
          </cell>
          <cell r="L50">
            <v>-49.127418064843368</v>
          </cell>
        </row>
        <row r="51">
          <cell r="C51">
            <v>-60.985110015968452</v>
          </cell>
          <cell r="G51">
            <v>-38.925717877067939</v>
          </cell>
          <cell r="H51">
            <v>22.059392138900513</v>
          </cell>
          <cell r="K51">
            <v>-86.843692551285244</v>
          </cell>
          <cell r="L51">
            <v>-25.858582535316792</v>
          </cell>
        </row>
        <row r="52">
          <cell r="C52">
            <v>-27.094693400393304</v>
          </cell>
          <cell r="G52">
            <v>-17.12823716277008</v>
          </cell>
          <cell r="H52">
            <v>9.9664562376232233</v>
          </cell>
          <cell r="K52">
            <v>-38.822898327829122</v>
          </cell>
          <cell r="L52">
            <v>-11.728204927435819</v>
          </cell>
        </row>
        <row r="53">
          <cell r="C53">
            <v>-9.0403147166375497</v>
          </cell>
          <cell r="G53">
            <v>-5.6601314790329837</v>
          </cell>
          <cell r="H53">
            <v>3.380183237604566</v>
          </cell>
          <cell r="K53">
            <v>-13.036306460889575</v>
          </cell>
          <cell r="L53">
            <v>-3.9959917442520254</v>
          </cell>
        </row>
        <row r="54">
          <cell r="C54">
            <v>-2.2825179220663596</v>
          </cell>
          <cell r="G54">
            <v>-1.4153750574774764</v>
          </cell>
          <cell r="H54">
            <v>0.86714286458888323</v>
          </cell>
          <cell r="K54">
            <v>-3.3123182729635485</v>
          </cell>
          <cell r="L54">
            <v>-1.0298003508971889</v>
          </cell>
        </row>
      </sheetData>
      <sheetData sheetId="2">
        <row r="3">
          <cell r="D3">
            <v>-863498888.44183338</v>
          </cell>
          <cell r="G3">
            <v>-836430509.85940611</v>
          </cell>
          <cell r="J3">
            <v>-819743736.6767906</v>
          </cell>
          <cell r="M3">
            <v>-852722080.76408589</v>
          </cell>
        </row>
        <row r="4">
          <cell r="D4">
            <v>-117005079.33356735</v>
          </cell>
          <cell r="G4">
            <v>-98754847.848336682</v>
          </cell>
          <cell r="J4">
            <v>-91138678.806921273</v>
          </cell>
          <cell r="M4">
            <v>-105271269.62048636</v>
          </cell>
        </row>
        <row r="5">
          <cell r="D5">
            <v>-59326877.784230188</v>
          </cell>
          <cell r="G5">
            <v>-40865789.637550235</v>
          </cell>
          <cell r="J5">
            <v>-35785679.510869458</v>
          </cell>
          <cell r="M5">
            <v>-45386471.233052768</v>
          </cell>
        </row>
        <row r="6">
          <cell r="D6">
            <v>-13570991.524027552</v>
          </cell>
          <cell r="G6">
            <v>-6921650.3864309657</v>
          </cell>
          <cell r="J6">
            <v>-5519136.7498711767</v>
          </cell>
          <cell r="M6">
            <v>-8364272.0807373896</v>
          </cell>
        </row>
        <row r="7">
          <cell r="D7">
            <v>-1103319.724361737</v>
          </cell>
          <cell r="G7">
            <v>-419917.97252610925</v>
          </cell>
          <cell r="J7">
            <v>-305722.44202774164</v>
          </cell>
          <cell r="M7">
            <v>-544735.81965557509</v>
          </cell>
        </row>
      </sheetData>
      <sheetData sheetId="3">
        <row r="3">
          <cell r="D3">
            <v>16686773.182615489</v>
          </cell>
          <cell r="G3">
            <v>-16291570.904679701</v>
          </cell>
          <cell r="J3">
            <v>-124363.15204169319</v>
          </cell>
        </row>
        <row r="4">
          <cell r="D4">
            <v>7616169.041415412</v>
          </cell>
          <cell r="G4">
            <v>-6516421.7721496839</v>
          </cell>
          <cell r="J4">
            <v>-67615.54874568386</v>
          </cell>
        </row>
        <row r="5">
          <cell r="D5">
            <v>5080110.126680783</v>
          </cell>
          <cell r="G5">
            <v>-4520681.5955025293</v>
          </cell>
          <cell r="J5">
            <v>-54000.997430571842</v>
          </cell>
        </row>
        <row r="6">
          <cell r="D6">
            <v>1402513.6365597877</v>
          </cell>
          <cell r="G6">
            <v>-1442621.6943064251</v>
          </cell>
          <cell r="J6">
            <v>-15785.576646525224</v>
          </cell>
        </row>
        <row r="7">
          <cell r="D7">
            <v>114195.53049836752</v>
          </cell>
          <cell r="G7">
            <v>-124817.84712946581</v>
          </cell>
          <cell r="J7">
            <v>-1341.4851318769634</v>
          </cell>
        </row>
      </sheetData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Ottobre25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-354251532.78569019</v>
          </cell>
        </row>
        <row r="6">
          <cell r="L6">
            <v>-277814438.81684458</v>
          </cell>
        </row>
        <row r="7">
          <cell r="L7">
            <v>-119668486.94164173</v>
          </cell>
        </row>
        <row r="8">
          <cell r="L8">
            <v>-66011371.120870858</v>
          </cell>
        </row>
        <row r="9">
          <cell r="L9">
            <v>-45753058.776786052</v>
          </cell>
        </row>
        <row r="10">
          <cell r="L10">
            <v>-35286266.500125252</v>
          </cell>
        </row>
        <row r="11">
          <cell r="L11">
            <v>-27854828.125118382</v>
          </cell>
        </row>
        <row r="12">
          <cell r="L12">
            <v>-22174065.228131816</v>
          </cell>
        </row>
        <row r="13">
          <cell r="L13">
            <v>-16825353.975437362</v>
          </cell>
        </row>
        <row r="14">
          <cell r="L14">
            <v>-14864565.504754547</v>
          </cell>
        </row>
        <row r="15">
          <cell r="L15">
            <v>-11810848.656614317</v>
          </cell>
        </row>
        <row r="16">
          <cell r="L16">
            <v>-8516059.4541114531</v>
          </cell>
        </row>
        <row r="17">
          <cell r="L17">
            <v>-7335408.8146973746</v>
          </cell>
        </row>
        <row r="18">
          <cell r="L18">
            <v>-6538267.5444109468</v>
          </cell>
        </row>
        <row r="19">
          <cell r="L19">
            <v>-5879664.4315256486</v>
          </cell>
        </row>
        <row r="20">
          <cell r="L20">
            <v>-5037637.7687327955</v>
          </cell>
        </row>
        <row r="21">
          <cell r="L21">
            <v>-4332516.8542879503</v>
          </cell>
        </row>
        <row r="22">
          <cell r="L22">
            <v>-3725713.552094033</v>
          </cell>
        </row>
        <row r="23">
          <cell r="L23">
            <v>-3262975.1930473731</v>
          </cell>
        </row>
        <row r="24">
          <cell r="L24">
            <v>-2887785.5147082973</v>
          </cell>
        </row>
        <row r="25">
          <cell r="L25">
            <v>-2499863.2318508066</v>
          </cell>
        </row>
        <row r="26">
          <cell r="L26">
            <v>-2156998.3099396545</v>
          </cell>
        </row>
        <row r="27">
          <cell r="L27">
            <v>-1865853.2620846943</v>
          </cell>
        </row>
        <row r="28">
          <cell r="L28">
            <v>-1651145.1038223277</v>
          </cell>
        </row>
        <row r="29">
          <cell r="L29">
            <v>-1434189.6280360776</v>
          </cell>
        </row>
        <row r="30">
          <cell r="L30">
            <v>-1148269.9242888123</v>
          </cell>
        </row>
        <row r="31">
          <cell r="L31">
            <v>-908028.03196876298</v>
          </cell>
        </row>
        <row r="32">
          <cell r="L32">
            <v>-703853.51892489614</v>
          </cell>
        </row>
        <row r="33">
          <cell r="L33">
            <v>-633081.08501548215</v>
          </cell>
        </row>
        <row r="34">
          <cell r="L34">
            <v>-569709.42809603829</v>
          </cell>
        </row>
        <row r="35">
          <cell r="L35">
            <v>-317539.64239183976</v>
          </cell>
        </row>
        <row r="36">
          <cell r="L36">
            <v>-192894.98187909173</v>
          </cell>
        </row>
        <row r="37">
          <cell r="L37">
            <v>-142614.28239638775</v>
          </cell>
        </row>
        <row r="38">
          <cell r="L38">
            <v>-116838.27156748594</v>
          </cell>
        </row>
        <row r="39">
          <cell r="L39">
            <v>-90608.800692232413</v>
          </cell>
        </row>
        <row r="40">
          <cell r="L40">
            <v>-66135.162842484206</v>
          </cell>
        </row>
        <row r="41">
          <cell r="L41">
            <v>-51607.637868723694</v>
          </cell>
        </row>
        <row r="42">
          <cell r="L42">
            <v>-43333.655950201079</v>
          </cell>
        </row>
        <row r="43">
          <cell r="L43">
            <v>-36220.615659940639</v>
          </cell>
        </row>
        <row r="44">
          <cell r="L44">
            <v>-24953.390221700847</v>
          </cell>
        </row>
        <row r="45">
          <cell r="L45">
            <v>-10492.078134713951</v>
          </cell>
        </row>
        <row r="46">
          <cell r="L46">
            <v>-4543.6780949296535</v>
          </cell>
        </row>
        <row r="47">
          <cell r="L47">
            <v>-2397.8156209979516</v>
          </cell>
        </row>
        <row r="48">
          <cell r="L48">
            <v>-1431.7947402203922</v>
          </cell>
        </row>
        <row r="49">
          <cell r="L49">
            <v>-835.68506034320978</v>
          </cell>
        </row>
        <row r="50">
          <cell r="L50">
            <v>-463.48659264325988</v>
          </cell>
        </row>
        <row r="51">
          <cell r="L51">
            <v>-246.49396421247741</v>
          </cell>
        </row>
        <row r="52">
          <cell r="L52">
            <v>-113.113168720899</v>
          </cell>
        </row>
        <row r="53">
          <cell r="L53">
            <v>-38.976195360878997</v>
          </cell>
        </row>
        <row r="54">
          <cell r="L54">
            <v>-10.161319506247931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2.7347200632056343</v>
          </cell>
          <cell r="P4">
            <v>-263706.79008734855</v>
          </cell>
        </row>
        <row r="5">
          <cell r="C5">
            <v>-350730822.25284928</v>
          </cell>
          <cell r="D5">
            <v>-17362.255105975473</v>
          </cell>
          <cell r="G5">
            <v>-348347797.16467738</v>
          </cell>
          <cell r="H5">
            <v>2383025.0881718993</v>
          </cell>
          <cell r="J5">
            <v>0.5</v>
          </cell>
          <cell r="K5">
            <v>-353358035.18292451</v>
          </cell>
          <cell r="L5">
            <v>-2627212.9300752282</v>
          </cell>
        </row>
        <row r="6">
          <cell r="C6">
            <v>-269583570.81120718</v>
          </cell>
          <cell r="D6">
            <v>-39834.006013083846</v>
          </cell>
          <cell r="G6">
            <v>-264076599.10776684</v>
          </cell>
          <cell r="H6">
            <v>5506971.7034403384</v>
          </cell>
          <cell r="J6">
            <v>1.5</v>
          </cell>
          <cell r="K6">
            <v>-275162059.10654783</v>
          </cell>
          <cell r="L6">
            <v>-5578488.2953406572</v>
          </cell>
        </row>
        <row r="7">
          <cell r="C7">
            <v>-113695754.43948658</v>
          </cell>
          <cell r="D7">
            <v>-27942.959788682303</v>
          </cell>
          <cell r="G7">
            <v>-109965746.67340861</v>
          </cell>
          <cell r="H7">
            <v>3730007.7660779655</v>
          </cell>
          <cell r="J7">
            <v>2.5</v>
          </cell>
          <cell r="K7">
            <v>-117199384.73799925</v>
          </cell>
          <cell r="L7">
            <v>-3503630.2985126674</v>
          </cell>
        </row>
        <row r="8">
          <cell r="C8">
            <v>-61299226.278193384</v>
          </cell>
          <cell r="G8">
            <v>-58633577.437104017</v>
          </cell>
          <cell r="H8">
            <v>2665648.8410893679</v>
          </cell>
          <cell r="K8">
            <v>-63717434.476009876</v>
          </cell>
          <cell r="L8">
            <v>-2418208.1978164911</v>
          </cell>
        </row>
        <row r="9">
          <cell r="C9">
            <v>-41471168.73552224</v>
          </cell>
          <cell r="G9">
            <v>-39260097.738065116</v>
          </cell>
          <cell r="H9">
            <v>2211070.9974571243</v>
          </cell>
          <cell r="K9">
            <v>-43450533.162885509</v>
          </cell>
          <cell r="L9">
            <v>-1979364.427363269</v>
          </cell>
        </row>
        <row r="10">
          <cell r="C10">
            <v>-31178079.073664788</v>
          </cell>
          <cell r="G10">
            <v>-29219537.548051726</v>
          </cell>
          <cell r="H10">
            <v>1958541.5256130621</v>
          </cell>
          <cell r="K10">
            <v>-32903212.938845661</v>
          </cell>
          <cell r="L10">
            <v>-1725133.8651808724</v>
          </cell>
        </row>
        <row r="11">
          <cell r="C11">
            <v>-23958645.985593263</v>
          </cell>
          <cell r="G11">
            <v>-22236957.452546384</v>
          </cell>
          <cell r="H11">
            <v>1721688.5330468789</v>
          </cell>
          <cell r="K11">
            <v>-25450568.805704717</v>
          </cell>
          <cell r="L11">
            <v>-1491922.8201114535</v>
          </cell>
        </row>
        <row r="12">
          <cell r="C12">
            <v>-18544088.3759523</v>
          </cell>
          <cell r="G12">
            <v>-17047172.711022824</v>
          </cell>
          <cell r="H12">
            <v>1496915.6649294756</v>
          </cell>
          <cell r="K12">
            <v>-19816113.035228971</v>
          </cell>
          <cell r="L12">
            <v>-1272024.6592766717</v>
          </cell>
        </row>
        <row r="13">
          <cell r="C13">
            <v>-13667058.739564016</v>
          </cell>
          <cell r="G13">
            <v>-12456856.348902188</v>
          </cell>
          <cell r="H13">
            <v>1210202.3906618282</v>
          </cell>
          <cell r="K13">
            <v>-14671726.296233401</v>
          </cell>
          <cell r="L13">
            <v>-1004667.5566693842</v>
          </cell>
        </row>
        <row r="14">
          <cell r="C14">
            <v>-11716979.415338874</v>
          </cell>
          <cell r="G14">
            <v>-10598549.684580583</v>
          </cell>
          <cell r="H14">
            <v>1118429.7307582907</v>
          </cell>
          <cell r="K14">
            <v>-12633647.301113134</v>
          </cell>
          <cell r="L14">
            <v>-916667.88577426039</v>
          </cell>
        </row>
        <row r="15">
          <cell r="C15">
            <v>-9026910.5040165838</v>
          </cell>
          <cell r="G15">
            <v>-8113387.0198823372</v>
          </cell>
          <cell r="H15">
            <v>913523.4841342466</v>
          </cell>
          <cell r="K15">
            <v>-9789964.7245861273</v>
          </cell>
          <cell r="L15">
            <v>-763054.22056954354</v>
          </cell>
        </row>
        <row r="16">
          <cell r="C16">
            <v>-6306773.1610545143</v>
          </cell>
          <cell r="G16">
            <v>-5635179.5568113765</v>
          </cell>
          <cell r="H16">
            <v>671593.60424313787</v>
          </cell>
          <cell r="K16">
            <v>-6884888.8985440535</v>
          </cell>
          <cell r="L16">
            <v>-578115.7374895392</v>
          </cell>
        </row>
        <row r="17">
          <cell r="C17">
            <v>-5261937.8241447974</v>
          </cell>
          <cell r="G17">
            <v>-4662056.4399388684</v>
          </cell>
          <cell r="H17">
            <v>599881.384205929</v>
          </cell>
          <cell r="K17">
            <v>-5778782.0787405567</v>
          </cell>
          <cell r="L17">
            <v>-516844.25459575932</v>
          </cell>
        </row>
        <row r="18">
          <cell r="C18">
            <v>-4542032.9449538663</v>
          </cell>
          <cell r="G18">
            <v>-3985626.7726034718</v>
          </cell>
          <cell r="H18">
            <v>556406.17235039454</v>
          </cell>
          <cell r="K18">
            <v>-5024403.7001960529</v>
          </cell>
          <cell r="L18">
            <v>-482370.7552421866</v>
          </cell>
        </row>
        <row r="19">
          <cell r="C19">
            <v>-3956230.7215642887</v>
          </cell>
          <cell r="G19">
            <v>-3438280.2649627049</v>
          </cell>
          <cell r="H19">
            <v>517950.45660158386</v>
          </cell>
          <cell r="K19">
            <v>-4406370.1089452533</v>
          </cell>
          <cell r="L19">
            <v>-450139.38738096459</v>
          </cell>
        </row>
        <row r="20">
          <cell r="C20">
            <v>-3284673.554429315</v>
          </cell>
          <cell r="G20">
            <v>-2827243.6085102158</v>
          </cell>
          <cell r="H20">
            <v>457429.94591909926</v>
          </cell>
          <cell r="K20">
            <v>-3690402.8308282741</v>
          </cell>
          <cell r="L20">
            <v>-405729.2763989591</v>
          </cell>
        </row>
        <row r="21">
          <cell r="C21">
            <v>-2739031.6928348741</v>
          </cell>
          <cell r="G21">
            <v>-2334945.5274165007</v>
          </cell>
          <cell r="H21">
            <v>404086.16541837342</v>
          </cell>
          <cell r="K21">
            <v>-3110383.5546998298</v>
          </cell>
          <cell r="L21">
            <v>-371351.86186495563</v>
          </cell>
        </row>
        <row r="22">
          <cell r="C22">
            <v>-2285016.2933196682</v>
          </cell>
          <cell r="G22">
            <v>-1929193.4405415826</v>
          </cell>
          <cell r="H22">
            <v>355822.85277808551</v>
          </cell>
          <cell r="K22">
            <v>-2616628.187724662</v>
          </cell>
          <cell r="L22">
            <v>-331611.89440499386</v>
          </cell>
        </row>
        <row r="23">
          <cell r="C23">
            <v>-1942060.3531830665</v>
          </cell>
          <cell r="G23">
            <v>-1623882.6440361468</v>
          </cell>
          <cell r="H23">
            <v>318177.70914691966</v>
          </cell>
          <cell r="K23">
            <v>-2248176.4318340383</v>
          </cell>
          <cell r="L23">
            <v>-306116.07865097187</v>
          </cell>
        </row>
        <row r="24">
          <cell r="C24">
            <v>-1668045.6326302818</v>
          </cell>
          <cell r="G24">
            <v>-1381355.819008861</v>
          </cell>
          <cell r="H24">
            <v>286689.81362142088</v>
          </cell>
          <cell r="K24">
            <v>-1952522.7041761021</v>
          </cell>
          <cell r="L24">
            <v>-284477.07154582022</v>
          </cell>
        </row>
        <row r="25">
          <cell r="C25">
            <v>-1401240.1845123211</v>
          </cell>
          <cell r="G25">
            <v>-1149254.2355839817</v>
          </cell>
          <cell r="H25">
            <v>251985.94892833941</v>
          </cell>
          <cell r="K25">
            <v>-1653815.5565822874</v>
          </cell>
          <cell r="L25">
            <v>-252575.37206996628</v>
          </cell>
        </row>
        <row r="26">
          <cell r="C26">
            <v>-1173055.4420739617</v>
          </cell>
          <cell r="G26">
            <v>-952860.13119176903</v>
          </cell>
          <cell r="H26">
            <v>220195.31088219269</v>
          </cell>
          <cell r="K26">
            <v>-1395573.202143302</v>
          </cell>
          <cell r="L26">
            <v>-222517.76006934023</v>
          </cell>
        </row>
        <row r="27">
          <cell r="C27">
            <v>-984326.60214987467</v>
          </cell>
          <cell r="G27">
            <v>-791876.13949044049</v>
          </cell>
          <cell r="H27">
            <v>192450.46265943418</v>
          </cell>
          <cell r="K27">
            <v>-1180263.2689501741</v>
          </cell>
          <cell r="L27">
            <v>-195936.66680029943</v>
          </cell>
        </row>
        <row r="28">
          <cell r="C28">
            <v>-844810.31097369175</v>
          </cell>
          <cell r="G28">
            <v>-673109.76117776963</v>
          </cell>
          <cell r="H28">
            <v>171700.54979592212</v>
          </cell>
          <cell r="K28">
            <v>-1020932.4699890675</v>
          </cell>
          <cell r="L28">
            <v>-176122.15901537577</v>
          </cell>
        </row>
        <row r="29">
          <cell r="C29">
            <v>-711562.82254877198</v>
          </cell>
          <cell r="G29">
            <v>-561498.84929990384</v>
          </cell>
          <cell r="H29">
            <v>150063.97324886813</v>
          </cell>
          <cell r="K29">
            <v>-866639.54455674498</v>
          </cell>
          <cell r="L29">
            <v>-155076.722007973</v>
          </cell>
        </row>
        <row r="30">
          <cell r="C30">
            <v>-552403.94547140575</v>
          </cell>
          <cell r="G30">
            <v>-431719.65257802885</v>
          </cell>
          <cell r="H30">
            <v>120684.2928933769</v>
          </cell>
          <cell r="K30">
            <v>-677965.74881716876</v>
          </cell>
          <cell r="L30">
            <v>-125561.80334576301</v>
          </cell>
        </row>
        <row r="31">
          <cell r="C31">
            <v>-423543.82695739612</v>
          </cell>
          <cell r="G31">
            <v>-327833.05947546358</v>
          </cell>
          <cell r="H31">
            <v>95710.767481932533</v>
          </cell>
          <cell r="K31">
            <v>-523863.67958795262</v>
          </cell>
          <cell r="L31">
            <v>-100319.8526305565</v>
          </cell>
        </row>
        <row r="32">
          <cell r="C32">
            <v>-318269.9805057979</v>
          </cell>
          <cell r="G32">
            <v>-243983.60136192906</v>
          </cell>
          <cell r="H32">
            <v>74286.379143868835</v>
          </cell>
          <cell r="K32">
            <v>-396658.00235199463</v>
          </cell>
          <cell r="L32">
            <v>-78388.021846196731</v>
          </cell>
        </row>
        <row r="33">
          <cell r="C33">
            <v>-277469.76962050592</v>
          </cell>
          <cell r="G33">
            <v>-210664.48926700553</v>
          </cell>
          <cell r="H33">
            <v>66805.280353500391</v>
          </cell>
          <cell r="K33">
            <v>-348437.35858078307</v>
          </cell>
          <cell r="L33">
            <v>-70967.588960277149</v>
          </cell>
        </row>
        <row r="34">
          <cell r="C34">
            <v>-242015.46011525355</v>
          </cell>
          <cell r="G34">
            <v>-181982.58748455721</v>
          </cell>
          <cell r="H34">
            <v>60032.872630696336</v>
          </cell>
          <cell r="K34">
            <v>-306215.33805491251</v>
          </cell>
          <cell r="L34">
            <v>-64199.877939658967</v>
          </cell>
        </row>
        <row r="35">
          <cell r="C35">
            <v>-130723.48067481464</v>
          </cell>
          <cell r="G35">
            <v>-97353.605690572993</v>
          </cell>
          <cell r="H35">
            <v>33369.874984241644</v>
          </cell>
          <cell r="K35">
            <v>-166647.8016960508</v>
          </cell>
          <cell r="L35">
            <v>-35924.321021236159</v>
          </cell>
        </row>
        <row r="36">
          <cell r="C36">
            <v>-76944.063511447996</v>
          </cell>
          <cell r="G36">
            <v>-56752.620104484267</v>
          </cell>
          <cell r="H36">
            <v>20191.443406963728</v>
          </cell>
          <cell r="K36">
            <v>-98825.594325646962</v>
          </cell>
          <cell r="L36">
            <v>-21881.530814198966</v>
          </cell>
        </row>
        <row r="37">
          <cell r="C37">
            <v>-55120.967589132859</v>
          </cell>
          <cell r="G37">
            <v>-40266.107392035286</v>
          </cell>
          <cell r="H37">
            <v>14854.860197097572</v>
          </cell>
          <cell r="K37">
            <v>-71314.564522829009</v>
          </cell>
          <cell r="L37">
            <v>-16193.59693369615</v>
          </cell>
        </row>
        <row r="38">
          <cell r="C38">
            <v>-43756.843736239534</v>
          </cell>
          <cell r="G38">
            <v>-31657.823944800846</v>
          </cell>
          <cell r="H38">
            <v>12099.019791438688</v>
          </cell>
          <cell r="K38">
            <v>-57023.955034918268</v>
          </cell>
          <cell r="L38">
            <v>-13267.111298678734</v>
          </cell>
        </row>
        <row r="39">
          <cell r="C39">
            <v>-32876.02666078831</v>
          </cell>
          <cell r="G39">
            <v>-23557.392541687292</v>
          </cell>
          <cell r="H39">
            <v>9318.6341191010179</v>
          </cell>
          <cell r="K39">
            <v>-43154.212094160619</v>
          </cell>
          <cell r="L39">
            <v>-10278.185433372309</v>
          </cell>
        </row>
        <row r="40">
          <cell r="C40">
            <v>-23245.049617543849</v>
          </cell>
          <cell r="G40">
            <v>-16496.498120859073</v>
          </cell>
          <cell r="H40">
            <v>6748.5514966847768</v>
          </cell>
          <cell r="K40">
            <v>-30731.902317011019</v>
          </cell>
          <cell r="L40">
            <v>-7486.8526994671702</v>
          </cell>
        </row>
        <row r="41">
          <cell r="C41">
            <v>-17571.908799711855</v>
          </cell>
          <cell r="G41">
            <v>-12350.742591476326</v>
          </cell>
          <cell r="H41">
            <v>5221.1662082355288</v>
          </cell>
          <cell r="K41">
            <v>-23397.877999912067</v>
          </cell>
          <cell r="L41">
            <v>-5825.9692002002121</v>
          </cell>
        </row>
        <row r="42">
          <cell r="C42">
            <v>-14291.663859530921</v>
          </cell>
          <cell r="G42">
            <v>-9948.8074453048139</v>
          </cell>
          <cell r="H42">
            <v>4342.8564142261075</v>
          </cell>
          <cell r="K42">
            <v>-19165.535532362406</v>
          </cell>
          <cell r="L42">
            <v>-4873.8716728314848</v>
          </cell>
        </row>
        <row r="43">
          <cell r="C43">
            <v>-11569.394351119518</v>
          </cell>
          <cell r="G43">
            <v>-7976.5067085610299</v>
          </cell>
          <cell r="H43">
            <v>3592.8876425584876</v>
          </cell>
          <cell r="K43">
            <v>-15624.732973132786</v>
          </cell>
          <cell r="L43">
            <v>-4055.3386220132688</v>
          </cell>
        </row>
        <row r="44">
          <cell r="C44">
            <v>-7719.8774338240355</v>
          </cell>
          <cell r="G44">
            <v>-5271.4062700060022</v>
          </cell>
          <cell r="H44">
            <v>2448.4711638180333</v>
          </cell>
          <cell r="K44">
            <v>-10499.272253419995</v>
          </cell>
          <cell r="L44">
            <v>-2779.3948195959592</v>
          </cell>
        </row>
        <row r="45">
          <cell r="C45">
            <v>-3144.1475713760697</v>
          </cell>
          <cell r="G45">
            <v>-2126.3376734287308</v>
          </cell>
          <cell r="H45">
            <v>1017.8098979473389</v>
          </cell>
          <cell r="K45">
            <v>-4305.2278960788481</v>
          </cell>
          <cell r="L45">
            <v>-1161.0803247027784</v>
          </cell>
        </row>
        <row r="46">
          <cell r="C46">
            <v>-1318.7540923617296</v>
          </cell>
          <cell r="G46">
            <v>-883.29874795769842</v>
          </cell>
          <cell r="H46">
            <v>435.45534440403117</v>
          </cell>
          <cell r="K46">
            <v>-1817.9390150048318</v>
          </cell>
          <cell r="L46">
            <v>-499.18492264310225</v>
          </cell>
        </row>
        <row r="47">
          <cell r="C47">
            <v>-673.96895901960465</v>
          </cell>
          <cell r="G47">
            <v>-447.09291549157592</v>
          </cell>
          <cell r="H47">
            <v>226.87604352802873</v>
          </cell>
          <cell r="K47">
            <v>-935.31264987964732</v>
          </cell>
          <cell r="L47">
            <v>-261.34369086004267</v>
          </cell>
        </row>
        <row r="48">
          <cell r="C48">
            <v>-389.77897662979115</v>
          </cell>
          <cell r="G48">
            <v>-256.08867679028253</v>
          </cell>
          <cell r="H48">
            <v>133.69029983950861</v>
          </cell>
          <cell r="K48">
            <v>-544.52203403901842</v>
          </cell>
          <cell r="L48">
            <v>-154.74305740922728</v>
          </cell>
        </row>
        <row r="49">
          <cell r="C49">
            <v>-220.31888313946703</v>
          </cell>
          <cell r="G49">
            <v>-143.36335714670588</v>
          </cell>
          <cell r="H49">
            <v>76.955525992761153</v>
          </cell>
          <cell r="K49">
            <v>-309.81870127571017</v>
          </cell>
          <cell r="L49">
            <v>-89.499818136243135</v>
          </cell>
        </row>
        <row r="50">
          <cell r="C50">
            <v>-118.32474916638043</v>
          </cell>
          <cell r="G50">
            <v>-76.256507949707384</v>
          </cell>
          <cell r="H50">
            <v>42.068241216673044</v>
          </cell>
          <cell r="K50">
            <v>-167.44498433926998</v>
          </cell>
          <cell r="L50">
            <v>-49.120235172889551</v>
          </cell>
        </row>
        <row r="51">
          <cell r="C51">
            <v>-60.930107144340816</v>
          </cell>
          <cell r="G51">
            <v>-38.890949568557524</v>
          </cell>
          <cell r="H51">
            <v>22.039157575783292</v>
          </cell>
          <cell r="K51">
            <v>-86.784448237945355</v>
          </cell>
          <cell r="L51">
            <v>-25.854341093604539</v>
          </cell>
        </row>
        <row r="52">
          <cell r="C52">
            <v>-27.069732367978688</v>
          </cell>
          <cell r="G52">
            <v>-17.112610110344228</v>
          </cell>
          <cell r="H52">
            <v>9.9571222576344596</v>
          </cell>
          <cell r="K52">
            <v>-38.804874762408012</v>
          </cell>
          <cell r="L52">
            <v>-11.735142394429324</v>
          </cell>
        </row>
        <row r="53">
          <cell r="C53">
            <v>-9.0318113838463692</v>
          </cell>
          <cell r="G53">
            <v>-5.6548589509367995</v>
          </cell>
          <cell r="H53">
            <v>3.3769524329095697</v>
          </cell>
          <cell r="K53">
            <v>-13.027046813897439</v>
          </cell>
          <cell r="L53">
            <v>-3.9952354300510695</v>
          </cell>
        </row>
        <row r="54">
          <cell r="C54">
            <v>-2.2803268154882406</v>
          </cell>
          <cell r="G54">
            <v>-1.4140294814511465</v>
          </cell>
          <cell r="H54">
            <v>0.86629733403709408</v>
          </cell>
          <cell r="K54">
            <v>-3.3091145090052221</v>
          </cell>
          <cell r="L54">
            <v>-1.0287876935169815</v>
          </cell>
        </row>
      </sheetData>
      <sheetData sheetId="2">
        <row r="3">
          <cell r="D3">
            <v>-863498888.44183338</v>
          </cell>
          <cell r="G3">
            <v>-836780542.51725864</v>
          </cell>
          <cell r="J3">
            <v>-820283818.12102199</v>
          </cell>
          <cell r="M3">
            <v>-852887446.66636693</v>
          </cell>
        </row>
        <row r="4">
          <cell r="D4">
            <v>-117005079.33356735</v>
          </cell>
          <cell r="G4">
            <v>-99064851.590113238</v>
          </cell>
          <cell r="J4">
            <v>-91559073.745103702</v>
          </cell>
          <cell r="M4">
            <v>-105475268.37712587</v>
          </cell>
        </row>
        <row r="5">
          <cell r="D5">
            <v>-59326877.784230188</v>
          </cell>
          <cell r="G5">
            <v>-41012712.682131253</v>
          </cell>
          <cell r="J5">
            <v>-35931151.093712069</v>
          </cell>
          <cell r="M5">
            <v>-45502523.220274962</v>
          </cell>
        </row>
        <row r="6">
          <cell r="D6">
            <v>-13570991.524027552</v>
          </cell>
          <cell r="G6">
            <v>-6928698.3449289817</v>
          </cell>
          <cell r="J6">
            <v>-5524782.5069108494</v>
          </cell>
          <cell r="M6">
            <v>-8370364.1696143877</v>
          </cell>
        </row>
        <row r="7">
          <cell r="D7">
            <v>-1103319.724361737</v>
          </cell>
          <cell r="G7">
            <v>-419783.8814435582</v>
          </cell>
          <cell r="J7">
            <v>-305627.02113666397</v>
          </cell>
          <cell r="M7">
            <v>-544607.63951438444</v>
          </cell>
        </row>
      </sheetData>
      <sheetData sheetId="3">
        <row r="3">
          <cell r="D3">
            <v>16496724.396236695</v>
          </cell>
          <cell r="G3">
            <v>-16106904.149108313</v>
          </cell>
          <cell r="J3">
            <v>-124499.23092760614</v>
          </cell>
        </row>
        <row r="4">
          <cell r="D4">
            <v>7505777.8450095356</v>
          </cell>
          <cell r="G4">
            <v>-6410416.7870126422</v>
          </cell>
          <cell r="J4">
            <v>-67861.13755013996</v>
          </cell>
        </row>
        <row r="5">
          <cell r="D5">
            <v>5081561.5884191915</v>
          </cell>
          <cell r="G5">
            <v>-4489810.5381436944</v>
          </cell>
          <cell r="J5">
            <v>-54204.056643210206</v>
          </cell>
        </row>
        <row r="6">
          <cell r="D6">
            <v>1403915.8380181314</v>
          </cell>
          <cell r="G6">
            <v>-1441665.8246854069</v>
          </cell>
          <cell r="J6">
            <v>-15801.337721581334</v>
          </cell>
        </row>
        <row r="7">
          <cell r="D7">
            <v>114156.86030689429</v>
          </cell>
          <cell r="G7">
            <v>-124823.7580708263</v>
          </cell>
          <cell r="J7">
            <v>-1341.0272448108374</v>
          </cell>
        </row>
      </sheetData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Novembre25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-354251532.78569019</v>
          </cell>
        </row>
        <row r="6">
          <cell r="L6">
            <v>-277814438.81684458</v>
          </cell>
        </row>
        <row r="7">
          <cell r="L7">
            <v>-119668486.94164173</v>
          </cell>
        </row>
        <row r="8">
          <cell r="L8">
            <v>-66011371.120870858</v>
          </cell>
        </row>
        <row r="9">
          <cell r="L9">
            <v>-45753058.776786052</v>
          </cell>
        </row>
        <row r="10">
          <cell r="L10">
            <v>-35286266.500125252</v>
          </cell>
        </row>
        <row r="11">
          <cell r="L11">
            <v>-27854828.125118382</v>
          </cell>
        </row>
        <row r="12">
          <cell r="L12">
            <v>-22174065.228131816</v>
          </cell>
        </row>
        <row r="13">
          <cell r="L13">
            <v>-16825353.975437362</v>
          </cell>
        </row>
        <row r="14">
          <cell r="L14">
            <v>-14864565.504754547</v>
          </cell>
        </row>
        <row r="15">
          <cell r="L15">
            <v>-11810848.656614317</v>
          </cell>
        </row>
        <row r="16">
          <cell r="L16">
            <v>-8516059.4541114531</v>
          </cell>
        </row>
        <row r="17">
          <cell r="L17">
            <v>-7335408.8146973746</v>
          </cell>
        </row>
        <row r="18">
          <cell r="L18">
            <v>-6538267.5444109468</v>
          </cell>
        </row>
        <row r="19">
          <cell r="L19">
            <v>-5879664.4315256486</v>
          </cell>
        </row>
        <row r="20">
          <cell r="L20">
            <v>-5037637.7687327955</v>
          </cell>
        </row>
        <row r="21">
          <cell r="L21">
            <v>-4332516.8542879503</v>
          </cell>
        </row>
        <row r="22">
          <cell r="L22">
            <v>-3725713.552094033</v>
          </cell>
        </row>
        <row r="23">
          <cell r="L23">
            <v>-3262975.1930473731</v>
          </cell>
        </row>
        <row r="24">
          <cell r="L24">
            <v>-2887785.5147082973</v>
          </cell>
        </row>
        <row r="25">
          <cell r="L25">
            <v>-2499863.2318508066</v>
          </cell>
        </row>
        <row r="26">
          <cell r="L26">
            <v>-2156998.3099396545</v>
          </cell>
        </row>
        <row r="27">
          <cell r="L27">
            <v>-1865853.2620846943</v>
          </cell>
        </row>
        <row r="28">
          <cell r="L28">
            <v>-1651145.1038223277</v>
          </cell>
        </row>
        <row r="29">
          <cell r="L29">
            <v>-1434189.6280360776</v>
          </cell>
        </row>
        <row r="30">
          <cell r="L30">
            <v>-1148269.9242888123</v>
          </cell>
        </row>
        <row r="31">
          <cell r="L31">
            <v>-908028.03196876298</v>
          </cell>
        </row>
        <row r="32">
          <cell r="L32">
            <v>-703853.51892489614</v>
          </cell>
        </row>
        <row r="33">
          <cell r="L33">
            <v>-633081.08501548215</v>
          </cell>
        </row>
        <row r="34">
          <cell r="L34">
            <v>-569709.42809603829</v>
          </cell>
        </row>
        <row r="35">
          <cell r="L35">
            <v>-317539.64239183976</v>
          </cell>
        </row>
        <row r="36">
          <cell r="L36">
            <v>-192894.98187909173</v>
          </cell>
        </row>
        <row r="37">
          <cell r="L37">
            <v>-142614.28239638775</v>
          </cell>
        </row>
        <row r="38">
          <cell r="L38">
            <v>-116838.27156748594</v>
          </cell>
        </row>
        <row r="39">
          <cell r="L39">
            <v>-90608.800692232413</v>
          </cell>
        </row>
        <row r="40">
          <cell r="L40">
            <v>-66135.162842484206</v>
          </cell>
        </row>
        <row r="41">
          <cell r="L41">
            <v>-51607.637868723694</v>
          </cell>
        </row>
        <row r="42">
          <cell r="L42">
            <v>-43333.655950201079</v>
          </cell>
        </row>
        <row r="43">
          <cell r="L43">
            <v>-36220.615659940639</v>
          </cell>
        </row>
        <row r="44">
          <cell r="L44">
            <v>-24953.390221700847</v>
          </cell>
        </row>
        <row r="45">
          <cell r="L45">
            <v>-10492.078134713951</v>
          </cell>
        </row>
        <row r="46">
          <cell r="L46">
            <v>-4543.6780949296535</v>
          </cell>
        </row>
        <row r="47">
          <cell r="L47">
            <v>-2397.8156209979516</v>
          </cell>
        </row>
        <row r="48">
          <cell r="L48">
            <v>-1431.7947402203922</v>
          </cell>
        </row>
        <row r="49">
          <cell r="L49">
            <v>-835.68506034320978</v>
          </cell>
        </row>
        <row r="50">
          <cell r="L50">
            <v>-463.48659264325988</v>
          </cell>
        </row>
        <row r="51">
          <cell r="L51">
            <v>-246.49396421247741</v>
          </cell>
        </row>
        <row r="52">
          <cell r="L52">
            <v>-113.113168720899</v>
          </cell>
        </row>
        <row r="53">
          <cell r="L53">
            <v>-38.976195360878997</v>
          </cell>
        </row>
        <row r="54">
          <cell r="L54">
            <v>-10.161319506247931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2.7163299489247752</v>
          </cell>
          <cell r="P4">
            <v>-261145.66163963135</v>
          </cell>
        </row>
        <row r="5">
          <cell r="C5">
            <v>-350710406.13495123</v>
          </cell>
          <cell r="D5">
            <v>-17360.23384346961</v>
          </cell>
          <cell r="G5">
            <v>-348314700.54914951</v>
          </cell>
          <cell r="H5">
            <v>2395705.5858017206</v>
          </cell>
          <cell r="J5">
            <v>0.5</v>
          </cell>
          <cell r="K5">
            <v>-353352775.04158163</v>
          </cell>
          <cell r="L5">
            <v>-2642368.9066303968</v>
          </cell>
        </row>
        <row r="6">
          <cell r="C6">
            <v>-269455156.89439327</v>
          </cell>
          <cell r="D6">
            <v>-39805.54750101619</v>
          </cell>
          <cell r="G6">
            <v>-263867648.74994299</v>
          </cell>
          <cell r="H6">
            <v>5587508.1444502771</v>
          </cell>
          <cell r="J6">
            <v>1.5</v>
          </cell>
          <cell r="K6">
            <v>-275117146.05700254</v>
          </cell>
          <cell r="L6">
            <v>-5661989.1626092792</v>
          </cell>
        </row>
        <row r="7">
          <cell r="C7">
            <v>-113561528.59903578</v>
          </cell>
          <cell r="D7">
            <v>-27898.983604472458</v>
          </cell>
          <cell r="G7">
            <v>-109753889.83284205</v>
          </cell>
          <cell r="H7">
            <v>3807638.7661937326</v>
          </cell>
          <cell r="J7">
            <v>2.5</v>
          </cell>
          <cell r="K7">
            <v>-117142039.17749999</v>
          </cell>
          <cell r="L7">
            <v>-3580510.57846421</v>
          </cell>
        </row>
        <row r="8">
          <cell r="C8">
            <v>-61173756.419615656</v>
          </cell>
          <cell r="G8">
            <v>-58443502.252152473</v>
          </cell>
          <cell r="H8">
            <v>2730254.1674631834</v>
          </cell>
          <cell r="K8">
            <v>-63654249.900979929</v>
          </cell>
          <cell r="L8">
            <v>-2480493.4813642725</v>
          </cell>
        </row>
        <row r="9">
          <cell r="C9">
            <v>-41337082.3578903</v>
          </cell>
          <cell r="G9">
            <v>-39064061.665370829</v>
          </cell>
          <cell r="H9">
            <v>2273020.692519471</v>
          </cell>
          <cell r="K9">
            <v>-43376245.132629208</v>
          </cell>
          <cell r="L9">
            <v>-2039162.7747389078</v>
          </cell>
        </row>
        <row r="10">
          <cell r="C10">
            <v>-31032791.374937251</v>
          </cell>
          <cell r="G10">
            <v>-29014044.295015693</v>
          </cell>
          <cell r="H10">
            <v>2018747.0799215585</v>
          </cell>
          <cell r="K10">
            <v>-32815981.474493019</v>
          </cell>
          <cell r="L10">
            <v>-1783190.0995557681</v>
          </cell>
        </row>
        <row r="11">
          <cell r="C11">
            <v>-23813760.033850651</v>
          </cell>
          <cell r="G11">
            <v>-22037736.554158196</v>
          </cell>
          <cell r="H11">
            <v>1776023.4796924554</v>
          </cell>
          <cell r="K11">
            <v>-25357527.703061771</v>
          </cell>
          <cell r="L11">
            <v>-1543767.6692111194</v>
          </cell>
        </row>
        <row r="12">
          <cell r="C12">
            <v>-18407424.035900567</v>
          </cell>
          <cell r="G12">
            <v>-16863788.176621217</v>
          </cell>
          <cell r="H12">
            <v>1543635.8592793494</v>
          </cell>
          <cell r="K12">
            <v>-19723187.436824698</v>
          </cell>
          <cell r="L12">
            <v>-1315763.4009241313</v>
          </cell>
        </row>
        <row r="13">
          <cell r="C13">
            <v>-13546907.273305647</v>
          </cell>
          <cell r="G13">
            <v>-12299655.792971885</v>
          </cell>
          <cell r="H13">
            <v>1247251.4803337622</v>
          </cell>
          <cell r="K13">
            <v>-14586006.947572242</v>
          </cell>
          <cell r="L13">
            <v>-1039099.6742665954</v>
          </cell>
        </row>
        <row r="14">
          <cell r="C14">
            <v>-11592737.728326367</v>
          </cell>
          <cell r="G14">
            <v>-10439974.462309686</v>
          </cell>
          <cell r="H14">
            <v>1152763.2660166807</v>
          </cell>
          <cell r="K14">
            <v>-12541825.582163638</v>
          </cell>
          <cell r="L14">
            <v>-949087.85383727029</v>
          </cell>
        </row>
        <row r="15">
          <cell r="C15">
            <v>-8915961.4673190527</v>
          </cell>
          <cell r="G15">
            <v>-7975128.4707276821</v>
          </cell>
          <cell r="H15">
            <v>940832.99659137055</v>
          </cell>
          <cell r="K15">
            <v>-9706080.5715054143</v>
          </cell>
          <cell r="L15">
            <v>-790119.10418636166</v>
          </cell>
        </row>
        <row r="16">
          <cell r="C16">
            <v>-6218749.945456923</v>
          </cell>
          <cell r="G16">
            <v>-5531920.878054807</v>
          </cell>
          <cell r="H16">
            <v>686829.06740211602</v>
          </cell>
          <cell r="K16">
            <v>-6816408.9677507672</v>
          </cell>
          <cell r="L16">
            <v>-597659.02229384426</v>
          </cell>
        </row>
        <row r="17">
          <cell r="C17">
            <v>-5179435.1463920958</v>
          </cell>
          <cell r="G17">
            <v>-4579938.4099526182</v>
          </cell>
          <cell r="H17">
            <v>599496.73643947765</v>
          </cell>
          <cell r="K17">
            <v>-5713312.8109327136</v>
          </cell>
          <cell r="L17">
            <v>-533877.66454061773</v>
          </cell>
        </row>
        <row r="18">
          <cell r="C18">
            <v>-4463106.3963361653</v>
          </cell>
          <cell r="G18">
            <v>-3917050.9109667009</v>
          </cell>
          <cell r="H18">
            <v>546055.48536946438</v>
          </cell>
          <cell r="K18">
            <v>-4961294.5634304108</v>
          </cell>
          <cell r="L18">
            <v>-498188.16709424555</v>
          </cell>
        </row>
        <row r="19">
          <cell r="C19">
            <v>-3877528.5910429657</v>
          </cell>
          <cell r="G19">
            <v>-3370557.4999106084</v>
          </cell>
          <cell r="H19">
            <v>506971.09113235725</v>
          </cell>
          <cell r="K19">
            <v>-4342328.2970209494</v>
          </cell>
          <cell r="L19">
            <v>-464799.70597798377</v>
          </cell>
        </row>
        <row r="20">
          <cell r="C20">
            <v>-3210311.5486942059</v>
          </cell>
          <cell r="G20">
            <v>-2763864.2638335978</v>
          </cell>
          <cell r="H20">
            <v>446447.28486060817</v>
          </cell>
          <cell r="K20">
            <v>-3628989.9251566636</v>
          </cell>
          <cell r="L20">
            <v>-418678.3764624577</v>
          </cell>
        </row>
        <row r="21">
          <cell r="C21">
            <v>-2669877.4899125872</v>
          </cell>
          <cell r="G21">
            <v>-2276568.2971876264</v>
          </cell>
          <cell r="H21">
            <v>393309.19272496086</v>
          </cell>
          <cell r="K21">
            <v>-3052854.5114213126</v>
          </cell>
          <cell r="L21">
            <v>-382977.02150872536</v>
          </cell>
        </row>
        <row r="22">
          <cell r="C22">
            <v>-2221815.1203640467</v>
          </cell>
          <cell r="G22">
            <v>-1876350.5543897382</v>
          </cell>
          <cell r="H22">
            <v>345464.56597430841</v>
          </cell>
          <cell r="K22">
            <v>-2563807.4580689752</v>
          </cell>
          <cell r="L22">
            <v>-341992.33770492859</v>
          </cell>
        </row>
        <row r="23">
          <cell r="C23">
            <v>-1884144.0886916469</v>
          </cell>
          <cell r="G23">
            <v>-1575922.2909663271</v>
          </cell>
          <cell r="H23">
            <v>308221.79772531986</v>
          </cell>
          <cell r="K23">
            <v>-2199829.332257113</v>
          </cell>
          <cell r="L23">
            <v>-315685.24356546602</v>
          </cell>
        </row>
        <row r="24">
          <cell r="C24">
            <v>-1615205.4928132405</v>
          </cell>
          <cell r="G24">
            <v>-1338016.9919330203</v>
          </cell>
          <cell r="H24">
            <v>277188.50088022021</v>
          </cell>
          <cell r="K24">
            <v>-1908289.3076186324</v>
          </cell>
          <cell r="L24">
            <v>-293083.81480539194</v>
          </cell>
        </row>
        <row r="25">
          <cell r="C25">
            <v>-1354481.3358172334</v>
          </cell>
          <cell r="G25">
            <v>-1111271.7409187094</v>
          </cell>
          <cell r="H25">
            <v>243209.594898524</v>
          </cell>
          <cell r="K25">
            <v>-1614289.9990214186</v>
          </cell>
          <cell r="L25">
            <v>-259808.6632041852</v>
          </cell>
        </row>
        <row r="26">
          <cell r="C26">
            <v>-1132040.3651465988</v>
          </cell>
          <cell r="G26">
            <v>-919862.06086779281</v>
          </cell>
          <cell r="H26">
            <v>212178.30427880597</v>
          </cell>
          <cell r="K26">
            <v>-1360330.0469104864</v>
          </cell>
          <cell r="L26">
            <v>-228289.68176388764</v>
          </cell>
        </row>
        <row r="27">
          <cell r="C27">
            <v>-948444.58009203302</v>
          </cell>
          <cell r="G27">
            <v>-763285.16082982824</v>
          </cell>
          <cell r="H27">
            <v>185159.41926220478</v>
          </cell>
          <cell r="K27">
            <v>-1149095.2777285068</v>
          </cell>
          <cell r="L27">
            <v>-200650.69763647381</v>
          </cell>
        </row>
        <row r="28">
          <cell r="C28">
            <v>-812953.70162698836</v>
          </cell>
          <cell r="G28">
            <v>-647968.69972817053</v>
          </cell>
          <cell r="H28">
            <v>164985.00189881783</v>
          </cell>
          <cell r="K28">
            <v>-993021.16731506609</v>
          </cell>
          <cell r="L28">
            <v>-180067.46568807773</v>
          </cell>
        </row>
        <row r="29">
          <cell r="C29">
            <v>-683937.89706217579</v>
          </cell>
          <cell r="G29">
            <v>-539907.16455317347</v>
          </cell>
          <cell r="H29">
            <v>144030.73250900232</v>
          </cell>
          <cell r="K29">
            <v>-842156.81115283445</v>
          </cell>
          <cell r="L29">
            <v>-158218.91409065865</v>
          </cell>
        </row>
        <row r="30">
          <cell r="C30">
            <v>-530299.1188879672</v>
          </cell>
          <cell r="G30">
            <v>-414607.96767549153</v>
          </cell>
          <cell r="H30">
            <v>115691.15121247567</v>
          </cell>
          <cell r="K30">
            <v>-658208.86087875674</v>
          </cell>
          <cell r="L30">
            <v>-127909.74199078954</v>
          </cell>
        </row>
        <row r="31">
          <cell r="C31">
            <v>-406154.62256355846</v>
          </cell>
          <cell r="G31">
            <v>-314500.94842908287</v>
          </cell>
          <cell r="H31">
            <v>91653.674134475586</v>
          </cell>
          <cell r="K31">
            <v>-508140.97397977806</v>
          </cell>
          <cell r="L31">
            <v>-101986.35141621961</v>
          </cell>
        </row>
        <row r="32">
          <cell r="C32">
            <v>-304924.73257548793</v>
          </cell>
          <cell r="G32">
            <v>-233849.93498276183</v>
          </cell>
          <cell r="H32">
            <v>71074.7975927261</v>
          </cell>
          <cell r="K32">
            <v>-384519.45288792608</v>
          </cell>
          <cell r="L32">
            <v>-79594.720312438149</v>
          </cell>
        </row>
        <row r="33">
          <cell r="C33">
            <v>-265605.71317641175</v>
          </cell>
          <cell r="G33">
            <v>-201742.10225225709</v>
          </cell>
          <cell r="H33">
            <v>63863.610924154666</v>
          </cell>
          <cell r="K33">
            <v>-337581.4210386065</v>
          </cell>
          <cell r="L33">
            <v>-71975.707862194744</v>
          </cell>
        </row>
        <row r="34">
          <cell r="C34">
            <v>-231478.60246336809</v>
          </cell>
          <cell r="G34">
            <v>-174134.20807259952</v>
          </cell>
          <cell r="H34">
            <v>57344.394390768575</v>
          </cell>
          <cell r="K34">
            <v>-296474.86694588838</v>
          </cell>
          <cell r="L34">
            <v>-64996.264482520288</v>
          </cell>
        </row>
        <row r="35">
          <cell r="C35">
            <v>-124954.69986821599</v>
          </cell>
          <cell r="G35">
            <v>-93097.938181790232</v>
          </cell>
          <cell r="H35">
            <v>31856.761686425758</v>
          </cell>
          <cell r="K35">
            <v>-161242.61039061076</v>
          </cell>
          <cell r="L35">
            <v>-36287.91052239477</v>
          </cell>
        </row>
        <row r="36">
          <cell r="C36">
            <v>-73507.336086235533</v>
          </cell>
          <cell r="G36">
            <v>-54241.635877025867</v>
          </cell>
          <cell r="H36">
            <v>19265.700209209666</v>
          </cell>
          <cell r="K36">
            <v>-95576.127862254012</v>
          </cell>
          <cell r="L36">
            <v>-22068.791776018479</v>
          </cell>
        </row>
        <row r="37">
          <cell r="C37">
            <v>-52624.23546334717</v>
          </cell>
          <cell r="G37">
            <v>-38459.437296830307</v>
          </cell>
          <cell r="H37">
            <v>14164.798166516863</v>
          </cell>
          <cell r="K37">
            <v>-68940.440044239818</v>
          </cell>
          <cell r="L37">
            <v>-16316.204580892649</v>
          </cell>
        </row>
        <row r="38">
          <cell r="C38">
            <v>-41749.308371231928</v>
          </cell>
          <cell r="G38">
            <v>-30219.051514317922</v>
          </cell>
          <cell r="H38">
            <v>11530.256856914006</v>
          </cell>
          <cell r="K38">
            <v>-55095.416080783514</v>
          </cell>
          <cell r="L38">
            <v>-13346.107709551587</v>
          </cell>
        </row>
        <row r="39">
          <cell r="C39">
            <v>-31355.283189987345</v>
          </cell>
          <cell r="G39">
            <v>-22477.948696711337</v>
          </cell>
          <cell r="H39">
            <v>8877.3344932760083</v>
          </cell>
          <cell r="K39">
            <v>-41680.167019364977</v>
          </cell>
          <cell r="L39">
            <v>-10324.883829377632</v>
          </cell>
        </row>
        <row r="40">
          <cell r="C40">
            <v>-22162.323436659557</v>
          </cell>
          <cell r="G40">
            <v>-15735.333947936797</v>
          </cell>
          <cell r="H40">
            <v>6426.9894887227601</v>
          </cell>
          <cell r="K40">
            <v>-29672.958213534032</v>
          </cell>
          <cell r="L40">
            <v>-7510.6347768744745</v>
          </cell>
        </row>
        <row r="41">
          <cell r="C41">
            <v>-16745.792017299678</v>
          </cell>
          <cell r="G41">
            <v>-11775.555919498271</v>
          </cell>
          <cell r="H41">
            <v>4970.2360978014076</v>
          </cell>
          <cell r="K41">
            <v>-22581.478776234504</v>
          </cell>
          <cell r="L41">
            <v>-5835.6867589348258</v>
          </cell>
        </row>
        <row r="42">
          <cell r="C42">
            <v>-13614.203203977981</v>
          </cell>
          <cell r="G42">
            <v>-9481.6370832218436</v>
          </cell>
          <cell r="H42">
            <v>4132.566120756137</v>
          </cell>
          <cell r="K42">
            <v>-18489.039248657064</v>
          </cell>
          <cell r="L42">
            <v>-4874.836044679083</v>
          </cell>
        </row>
        <row r="43">
          <cell r="C43">
            <v>-11019.072361133489</v>
          </cell>
          <cell r="G43">
            <v>-7600.6487709337916</v>
          </cell>
          <cell r="H43">
            <v>3418.4235901996972</v>
          </cell>
          <cell r="K43">
            <v>-15070.158962666766</v>
          </cell>
          <cell r="L43">
            <v>-4051.0866015332776</v>
          </cell>
        </row>
        <row r="44">
          <cell r="C44">
            <v>-7350.4195387663731</v>
          </cell>
          <cell r="G44">
            <v>-5021.4984996728381</v>
          </cell>
          <cell r="H44">
            <v>2328.921039093535</v>
          </cell>
          <cell r="K44">
            <v>-10123.0033806396</v>
          </cell>
          <cell r="L44">
            <v>-2772.5838418732274</v>
          </cell>
        </row>
        <row r="45">
          <cell r="C45">
            <v>-2992.3157077310866</v>
          </cell>
          <cell r="G45">
            <v>-2024.6208121275847</v>
          </cell>
          <cell r="H45">
            <v>967.69489560350189</v>
          </cell>
          <cell r="K45">
            <v>-4149.5790042960498</v>
          </cell>
          <cell r="L45">
            <v>-1157.2632965649632</v>
          </cell>
        </row>
        <row r="46">
          <cell r="C46">
            <v>-1254.8013116791237</v>
          </cell>
          <cell r="G46">
            <v>-840.86476888821858</v>
          </cell>
          <cell r="H46">
            <v>413.93654279090515</v>
          </cell>
          <cell r="K46">
            <v>-1752.0469021922356</v>
          </cell>
          <cell r="L46">
            <v>-497.24559051311189</v>
          </cell>
        </row>
        <row r="47">
          <cell r="C47">
            <v>-641.17925075802316</v>
          </cell>
          <cell r="G47">
            <v>-425.54530407239616</v>
          </cell>
          <cell r="H47">
            <v>215.633946685627</v>
          </cell>
          <cell r="K47">
            <v>-901.17403201742911</v>
          </cell>
          <cell r="L47">
            <v>-259.99478125940595</v>
          </cell>
        </row>
        <row r="48">
          <cell r="C48">
            <v>-370.69391561263546</v>
          </cell>
          <cell r="G48">
            <v>-243.66726742027291</v>
          </cell>
          <cell r="H48">
            <v>127.02664819236256</v>
          </cell>
          <cell r="K48">
            <v>-524.41252574915802</v>
          </cell>
          <cell r="L48">
            <v>-153.71861013652256</v>
          </cell>
        </row>
        <row r="49">
          <cell r="C49">
            <v>-209.5155732986502</v>
          </cell>
          <cell r="G49">
            <v>-136.39936008010164</v>
          </cell>
          <cell r="H49">
            <v>73.116213218548552</v>
          </cell>
          <cell r="K49">
            <v>-298.37883663967756</v>
          </cell>
          <cell r="L49">
            <v>-88.863263341027363</v>
          </cell>
        </row>
        <row r="50">
          <cell r="C50">
            <v>-112.51999273152317</v>
          </cell>
          <cell r="G50">
            <v>-72.550614208402848</v>
          </cell>
          <cell r="H50">
            <v>39.969378523120326</v>
          </cell>
          <cell r="K50">
            <v>-161.26977850739416</v>
          </cell>
          <cell r="L50">
            <v>-48.74978577587099</v>
          </cell>
        </row>
        <row r="51">
          <cell r="C51">
            <v>-57.929303163601375</v>
          </cell>
          <cell r="G51">
            <v>-36.993530559884057</v>
          </cell>
          <cell r="H51">
            <v>20.935772603717318</v>
          </cell>
          <cell r="K51">
            <v>-83.553086970428268</v>
          </cell>
          <cell r="L51">
            <v>-25.623783806826893</v>
          </cell>
        </row>
        <row r="52">
          <cell r="C52">
            <v>-25.738239382260431</v>
          </cell>
          <cell r="G52">
            <v>-16.278755389353336</v>
          </cell>
          <cell r="H52">
            <v>9.4594839929070957</v>
          </cell>
          <cell r="K52">
            <v>-37.355594636553342</v>
          </cell>
          <cell r="L52">
            <v>-11.61735525429291</v>
          </cell>
        </row>
        <row r="53">
          <cell r="C53">
            <v>-8.586553006107577</v>
          </cell>
          <cell r="G53">
            <v>-5.3786990633119514</v>
          </cell>
          <cell r="H53">
            <v>3.2078539427956256</v>
          </cell>
          <cell r="K53">
            <v>-12.539417481698031</v>
          </cell>
          <cell r="L53">
            <v>-3.9528644755904541</v>
          </cell>
        </row>
        <row r="54">
          <cell r="C54">
            <v>-2.1672101544603186</v>
          </cell>
          <cell r="G54">
            <v>-1.3445429724337883</v>
          </cell>
          <cell r="H54">
            <v>0.82266718202653033</v>
          </cell>
          <cell r="K54">
            <v>-3.1850576182024133</v>
          </cell>
          <cell r="L54">
            <v>-1.0178474637420947</v>
          </cell>
        </row>
      </sheetData>
      <sheetData sheetId="2">
        <row r="3">
          <cell r="D3">
            <v>-863498888.44183338</v>
          </cell>
          <cell r="G3">
            <v>-836237930.40588617</v>
          </cell>
          <cell r="J3">
            <v>-819443803.04945791</v>
          </cell>
          <cell r="M3">
            <v>-852642455.30969322</v>
          </cell>
        </row>
        <row r="4">
          <cell r="D4">
            <v>-117005079.33356735</v>
          </cell>
          <cell r="G4">
            <v>-98393620.446320489</v>
          </cell>
          <cell r="J4">
            <v>-90655199.28107667</v>
          </cell>
          <cell r="M4">
            <v>-105024529.14411536</v>
          </cell>
        </row>
        <row r="5">
          <cell r="D5">
            <v>-59326877.784230188</v>
          </cell>
          <cell r="G5">
            <v>-40256135.287022918</v>
          </cell>
          <cell r="J5">
            <v>-35205318.567922719</v>
          </cell>
          <cell r="M5">
            <v>-44893195.745162956</v>
          </cell>
        </row>
        <row r="6">
          <cell r="D6">
            <v>-13570991.524027552</v>
          </cell>
          <cell r="G6">
            <v>-6670320.6694118241</v>
          </cell>
          <cell r="J6">
            <v>-5321129.9883098667</v>
          </cell>
          <cell r="M6">
            <v>-8143818.8778592683</v>
          </cell>
        </row>
        <row r="7">
          <cell r="D7">
            <v>-1103319.724361737</v>
          </cell>
          <cell r="G7">
            <v>-400758.12059437257</v>
          </cell>
          <cell r="J7">
            <v>-291914.32944272115</v>
          </cell>
          <cell r="M7">
            <v>-526394.89421509381</v>
          </cell>
        </row>
      </sheetData>
      <sheetData sheetId="3">
        <row r="3">
          <cell r="D3">
            <v>16794127.356428385</v>
          </cell>
          <cell r="G3">
            <v>-16404524.903807066</v>
          </cell>
          <cell r="J3">
            <v>-124299.92806970765</v>
          </cell>
        </row>
        <row r="4">
          <cell r="D4">
            <v>7738421.1652438063</v>
          </cell>
          <cell r="G4">
            <v>-6630908.6977948844</v>
          </cell>
          <cell r="J4">
            <v>-67314.304875595786</v>
          </cell>
        </row>
        <row r="5">
          <cell r="D5">
            <v>5050816.7191002034</v>
          </cell>
          <cell r="G5">
            <v>-4637060.4581400231</v>
          </cell>
          <cell r="J5">
            <v>-53070.360994201161</v>
          </cell>
        </row>
        <row r="6">
          <cell r="D6">
            <v>1349190.6811019557</v>
          </cell>
          <cell r="G6">
            <v>-1473498.2084474454</v>
          </cell>
          <cell r="J6">
            <v>-15182.719865522526</v>
          </cell>
        </row>
        <row r="7">
          <cell r="D7">
            <v>108843.79115165136</v>
          </cell>
          <cell r="G7">
            <v>-125636.77362072137</v>
          </cell>
          <cell r="J7">
            <v>-1278.3478346042641</v>
          </cell>
        </row>
      </sheetData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Dicembre25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-332328018.9768852</v>
          </cell>
        </row>
        <row r="6">
          <cell r="L6">
            <v>-254342110.90424085</v>
          </cell>
        </row>
        <row r="7">
          <cell r="L7">
            <v>-110740037.63940281</v>
          </cell>
        </row>
        <row r="8">
          <cell r="L8">
            <v>-58788329.173370369</v>
          </cell>
        </row>
        <row r="9">
          <cell r="L9">
            <v>-38734414.44815293</v>
          </cell>
        </row>
        <row r="10">
          <cell r="L10">
            <v>-29383482.820818491</v>
          </cell>
        </row>
        <row r="11">
          <cell r="L11">
            <v>-22772005.290521447</v>
          </cell>
        </row>
        <row r="12">
          <cell r="L12">
            <v>-17763753.223422579</v>
          </cell>
        </row>
        <row r="13">
          <cell r="L13">
            <v>-13370031.517351151</v>
          </cell>
        </row>
        <row r="14">
          <cell r="L14">
            <v>-9763990.1582625881</v>
          </cell>
        </row>
        <row r="15">
          <cell r="L15">
            <v>-7387436.2469859105</v>
          </cell>
        </row>
        <row r="16">
          <cell r="L16">
            <v>-6268950.3953608498</v>
          </cell>
        </row>
        <row r="17">
          <cell r="L17">
            <v>-5570224.8212080402</v>
          </cell>
        </row>
        <row r="18">
          <cell r="L18">
            <v>-5125904.4719555797</v>
          </cell>
        </row>
        <row r="19">
          <cell r="L19">
            <v>-4704630.3920186702</v>
          </cell>
        </row>
        <row r="20">
          <cell r="L20">
            <v>-4084159.8286188501</v>
          </cell>
        </row>
        <row r="21">
          <cell r="L21">
            <v>-3542359.4276053002</v>
          </cell>
        </row>
        <row r="22">
          <cell r="L22">
            <v>-3090042.0743299802</v>
          </cell>
        </row>
        <row r="23">
          <cell r="L23">
            <v>-2761813.1780957999</v>
          </cell>
        </row>
        <row r="24">
          <cell r="L24">
            <v>-2459896.48455801</v>
          </cell>
        </row>
        <row r="25">
          <cell r="L25">
            <v>-2088457.2148346601</v>
          </cell>
        </row>
        <row r="26">
          <cell r="L26">
            <v>-1755509.40696414</v>
          </cell>
        </row>
        <row r="27">
          <cell r="L27">
            <v>-1479317.4669733001</v>
          </cell>
        </row>
        <row r="28">
          <cell r="L28">
            <v>-1281215.08512918</v>
          </cell>
        </row>
        <row r="29">
          <cell r="L29">
            <v>-1075187.75728278</v>
          </cell>
        </row>
        <row r="30">
          <cell r="L30">
            <v>-800461.74630233599</v>
          </cell>
        </row>
        <row r="31">
          <cell r="L31">
            <v>-562015.95631909405</v>
          </cell>
        </row>
        <row r="32">
          <cell r="L32">
            <v>-383041.49649280601</v>
          </cell>
        </row>
        <row r="33">
          <cell r="L33">
            <v>-362069.20410660299</v>
          </cell>
        </row>
        <row r="34">
          <cell r="L34">
            <v>-374715.82268239598</v>
          </cell>
        </row>
        <row r="35">
          <cell r="L35">
            <v>-194763.278414653</v>
          </cell>
        </row>
        <row r="36">
          <cell r="L36">
            <v>-97506.573447479503</v>
          </cell>
        </row>
        <row r="37">
          <cell r="L37">
            <v>-59943.842251503796</v>
          </cell>
        </row>
        <row r="38">
          <cell r="L38">
            <v>-43038.071889319901</v>
          </cell>
        </row>
        <row r="39">
          <cell r="L39">
            <v>-28191.083045450901</v>
          </cell>
        </row>
        <row r="40">
          <cell r="L40">
            <v>-12685.751086259001</v>
          </cell>
        </row>
        <row r="41">
          <cell r="L41">
            <v>-3946.0659808047999</v>
          </cell>
        </row>
        <row r="42">
          <cell r="L42">
            <v>-985.93113195932006</v>
          </cell>
        </row>
        <row r="43">
          <cell r="L43">
            <v>183.06990320999901</v>
          </cell>
        </row>
        <row r="44">
          <cell r="L44">
            <v>1024.7200296256501</v>
          </cell>
        </row>
        <row r="45">
          <cell r="L45">
            <v>-54413.614338530497</v>
          </cell>
        </row>
        <row r="46">
          <cell r="L46">
            <v>-21004.324534694599</v>
          </cell>
        </row>
        <row r="47">
          <cell r="L47">
            <v>-8569.2442496456497</v>
          </cell>
        </row>
        <row r="48">
          <cell r="L48">
            <v>-4267.0358569913697</v>
          </cell>
        </row>
        <row r="49">
          <cell r="L49">
            <v>-2314.0195086311101</v>
          </cell>
        </row>
        <row r="50">
          <cell r="L50">
            <v>-1210.75301815789</v>
          </cell>
        </row>
        <row r="51">
          <cell r="L51">
            <v>-535.63758174284806</v>
          </cell>
        </row>
        <row r="52">
          <cell r="L52">
            <v>-151.96654878024</v>
          </cell>
        </row>
        <row r="53">
          <cell r="L53">
            <v>-4.64558014967246</v>
          </cell>
        </row>
        <row r="54">
          <cell r="L54">
            <v>9.6622135507758895E-3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2.5013372763392465</v>
          </cell>
          <cell r="P4">
            <v>-215672.89341494438</v>
          </cell>
        </row>
        <row r="5">
          <cell r="C5">
            <v>-328948610.65663356</v>
          </cell>
          <cell r="D5">
            <v>-16280.178359029031</v>
          </cell>
          <cell r="G5">
            <v>-326663975.18737</v>
          </cell>
          <cell r="H5">
            <v>2284635.4692635536</v>
          </cell>
          <cell r="J5">
            <v>0.5</v>
          </cell>
          <cell r="K5">
            <v>-331470080.46849871</v>
          </cell>
          <cell r="L5">
            <v>-2521469.8118651509</v>
          </cell>
        </row>
        <row r="6">
          <cell r="C6">
            <v>-246427794.61111838</v>
          </cell>
          <cell r="D6">
            <v>-36384.520755261357</v>
          </cell>
          <cell r="G6">
            <v>-241146705.81034958</v>
          </cell>
          <cell r="H6">
            <v>5281088.8007687926</v>
          </cell>
          <cell r="J6">
            <v>1.5</v>
          </cell>
          <cell r="K6">
            <v>-251781775.12950802</v>
          </cell>
          <cell r="L6">
            <v>-5353980.5183896422</v>
          </cell>
        </row>
        <row r="7">
          <cell r="C7">
            <v>-104794757.63488789</v>
          </cell>
          <cell r="D7">
            <v>-25721.198232854127</v>
          </cell>
          <cell r="G7">
            <v>-101101208.28556581</v>
          </cell>
          <cell r="H7">
            <v>3693549.3493220806</v>
          </cell>
          <cell r="J7">
            <v>2.5</v>
          </cell>
          <cell r="K7">
            <v>-108274754.60044101</v>
          </cell>
          <cell r="L7">
            <v>-3479996.9655531198</v>
          </cell>
        </row>
        <row r="8">
          <cell r="C8">
            <v>-54217961.667858906</v>
          </cell>
          <cell r="G8">
            <v>-51651550.905496314</v>
          </cell>
          <cell r="H8">
            <v>2566410.7623625919</v>
          </cell>
          <cell r="K8">
            <v>-56557782.420327589</v>
          </cell>
          <cell r="L8">
            <v>-2339820.7524686828</v>
          </cell>
        </row>
        <row r="9">
          <cell r="C9">
            <v>-34759343.734865889</v>
          </cell>
          <cell r="G9">
            <v>-32726894.436929591</v>
          </cell>
          <cell r="H9">
            <v>2032449.297936298</v>
          </cell>
          <cell r="K9">
            <v>-36590997.968973726</v>
          </cell>
          <cell r="L9">
            <v>-1831654.2341078371</v>
          </cell>
        </row>
        <row r="10">
          <cell r="C10">
            <v>-25619215.631909054</v>
          </cell>
          <cell r="G10">
            <v>-23846671.904585585</v>
          </cell>
          <cell r="H10">
            <v>1772543.7273234688</v>
          </cell>
          <cell r="K10">
            <v>-27192191.279727995</v>
          </cell>
          <cell r="L10">
            <v>-1572975.6478189416</v>
          </cell>
        </row>
        <row r="11">
          <cell r="C11">
            <v>-19261291.243350249</v>
          </cell>
          <cell r="G11">
            <v>-17732736.722119473</v>
          </cell>
          <cell r="H11">
            <v>1528554.5212307759</v>
          </cell>
          <cell r="K11">
            <v>-20597062.949011117</v>
          </cell>
          <cell r="L11">
            <v>-1335771.7056608684</v>
          </cell>
        </row>
        <row r="12">
          <cell r="C12">
            <v>-14558980.710281555</v>
          </cell>
          <cell r="G12">
            <v>-13260158.343252629</v>
          </cell>
          <cell r="H12">
            <v>1298822.3670289256</v>
          </cell>
          <cell r="K12">
            <v>-15673675.454597803</v>
          </cell>
          <cell r="L12">
            <v>-1114694.7443162482</v>
          </cell>
        </row>
        <row r="13">
          <cell r="C13">
            <v>-10608833.487724511</v>
          </cell>
          <cell r="G13">
            <v>-9571043.6767956521</v>
          </cell>
          <cell r="H13">
            <v>1037789.8109288588</v>
          </cell>
          <cell r="K13">
            <v>-11479714.861727638</v>
          </cell>
          <cell r="L13">
            <v>-870881.37400312722</v>
          </cell>
        </row>
        <row r="14">
          <cell r="C14">
            <v>-7491340.4501375593</v>
          </cell>
          <cell r="G14">
            <v>-6701060.1452861745</v>
          </cell>
          <cell r="H14">
            <v>790280.30485138483</v>
          </cell>
          <cell r="K14">
            <v>-8146593.4264136041</v>
          </cell>
          <cell r="L14">
            <v>-655252.97627604473</v>
          </cell>
        </row>
        <row r="15">
          <cell r="C15">
            <v>-5476337.0974828117</v>
          </cell>
          <cell r="G15">
            <v>-4863995.8657279769</v>
          </cell>
          <cell r="H15">
            <v>612341.23175483476</v>
          </cell>
          <cell r="K15">
            <v>-5993914.525244005</v>
          </cell>
          <cell r="L15">
            <v>-517577.42776119336</v>
          </cell>
        </row>
        <row r="16">
          <cell r="C16">
            <v>-4488475.6112192804</v>
          </cell>
          <cell r="G16">
            <v>-3963915.5339676025</v>
          </cell>
          <cell r="H16">
            <v>524560.07725167787</v>
          </cell>
          <cell r="K16">
            <v>-4947918.6224088408</v>
          </cell>
          <cell r="L16">
            <v>-459443.01118956041</v>
          </cell>
        </row>
        <row r="17">
          <cell r="C17">
            <v>-3847764.9656374045</v>
          </cell>
          <cell r="G17">
            <v>-3377320.3489191863</v>
          </cell>
          <cell r="H17">
            <v>470444.6167182182</v>
          </cell>
          <cell r="K17">
            <v>-4270436.2893105829</v>
          </cell>
          <cell r="L17">
            <v>-422671.32367317844</v>
          </cell>
        </row>
        <row r="18">
          <cell r="C18">
            <v>-3414999.3903822424</v>
          </cell>
          <cell r="G18">
            <v>-2977027.283706211</v>
          </cell>
          <cell r="H18">
            <v>437972.10667603137</v>
          </cell>
          <cell r="K18">
            <v>-3821338.5169937215</v>
          </cell>
          <cell r="L18">
            <v>-406339.12661147909</v>
          </cell>
        </row>
        <row r="19">
          <cell r="C19">
            <v>-3025709.6285055242</v>
          </cell>
          <cell r="G19">
            <v>-2617829.9022709546</v>
          </cell>
          <cell r="H19">
            <v>407879.72623456968</v>
          </cell>
          <cell r="K19">
            <v>-3411321.8078129115</v>
          </cell>
          <cell r="L19">
            <v>-385612.17930738721</v>
          </cell>
        </row>
        <row r="20">
          <cell r="C20">
            <v>-2537029.3681642693</v>
          </cell>
          <cell r="G20">
            <v>-2180739.4542174675</v>
          </cell>
          <cell r="H20">
            <v>356289.9139468018</v>
          </cell>
          <cell r="K20">
            <v>-2887799.4541955451</v>
          </cell>
          <cell r="L20">
            <v>-350770.0860312758</v>
          </cell>
        </row>
        <row r="21">
          <cell r="C21">
            <v>-2125559.9563318887</v>
          </cell>
          <cell r="G21">
            <v>-1812906.4585542632</v>
          </cell>
          <cell r="H21">
            <v>312653.49777762545</v>
          </cell>
          <cell r="K21">
            <v>-2448407.5030006296</v>
          </cell>
          <cell r="L21">
            <v>-322847.54666874092</v>
          </cell>
        </row>
        <row r="22">
          <cell r="C22">
            <v>-1791091.8587376974</v>
          </cell>
          <cell r="G22">
            <v>-1513020.2208270994</v>
          </cell>
          <cell r="H22">
            <v>278071.63791059796</v>
          </cell>
          <cell r="K22">
            <v>-2082966.4303159751</v>
          </cell>
          <cell r="L22">
            <v>-291874.57157827774</v>
          </cell>
        </row>
        <row r="23">
          <cell r="C23">
            <v>-1546442.5273388091</v>
          </cell>
          <cell r="G23">
            <v>-1293854.5654553515</v>
          </cell>
          <cell r="H23">
            <v>252587.96188345761</v>
          </cell>
          <cell r="K23">
            <v>-1820968.1435482681</v>
          </cell>
          <cell r="L23">
            <v>-274525.61620945903</v>
          </cell>
        </row>
        <row r="24">
          <cell r="C24">
            <v>-1330723.8068098498</v>
          </cell>
          <cell r="G24">
            <v>-1102716.0877904869</v>
          </cell>
          <cell r="H24">
            <v>228007.71901936294</v>
          </cell>
          <cell r="K24">
            <v>-1587080.982645019</v>
          </cell>
          <cell r="L24">
            <v>-256357.17583516915</v>
          </cell>
        </row>
        <row r="25">
          <cell r="C25">
            <v>-1091703.3871420478</v>
          </cell>
          <cell r="G25">
            <v>-895991.59004524129</v>
          </cell>
          <cell r="H25">
            <v>195711.79709680646</v>
          </cell>
          <cell r="K25">
            <v>-1314319.0331160338</v>
          </cell>
          <cell r="L25">
            <v>-222615.64597398601</v>
          </cell>
        </row>
        <row r="26">
          <cell r="C26">
            <v>-886856.30670998001</v>
          </cell>
          <cell r="G26">
            <v>-720900.55434995622</v>
          </cell>
          <cell r="H26">
            <v>165955.75236002379</v>
          </cell>
          <cell r="K26">
            <v>-1077163.0670072858</v>
          </cell>
          <cell r="L26">
            <v>-190306.76029730577</v>
          </cell>
        </row>
        <row r="27">
          <cell r="C27">
            <v>-722309.28421863366</v>
          </cell>
          <cell r="G27">
            <v>-581524.34636636544</v>
          </cell>
          <cell r="H27">
            <v>140784.93785226822</v>
          </cell>
          <cell r="K27">
            <v>-885065.04776103655</v>
          </cell>
          <cell r="L27">
            <v>-162755.76354240288</v>
          </cell>
        </row>
        <row r="28">
          <cell r="C28">
            <v>-604652.80282386323</v>
          </cell>
          <cell r="G28">
            <v>-482140.09313790663</v>
          </cell>
          <cell r="H28">
            <v>122512.70968595659</v>
          </cell>
          <cell r="K28">
            <v>-747348.60733781778</v>
          </cell>
          <cell r="L28">
            <v>-142695.80451395456</v>
          </cell>
        </row>
        <row r="29">
          <cell r="C29">
            <v>-490529.7389226018</v>
          </cell>
          <cell r="G29">
            <v>-387394.98393163166</v>
          </cell>
          <cell r="H29">
            <v>103134.75499097013</v>
          </cell>
          <cell r="K29">
            <v>-611482.97326206393</v>
          </cell>
          <cell r="L29">
            <v>-120953.23433946213</v>
          </cell>
        </row>
        <row r="30">
          <cell r="C30">
            <v>-353067.84601641231</v>
          </cell>
          <cell r="G30">
            <v>-276164.83256102569</v>
          </cell>
          <cell r="H30">
            <v>76903.013455386623</v>
          </cell>
          <cell r="K30">
            <v>-443876.40867607819</v>
          </cell>
          <cell r="L30">
            <v>-90808.562659665884</v>
          </cell>
        </row>
        <row r="31">
          <cell r="C31">
            <v>-239662.32629451307</v>
          </cell>
          <cell r="G31">
            <v>-185665.53314105244</v>
          </cell>
          <cell r="H31">
            <v>53996.793153460632</v>
          </cell>
          <cell r="K31">
            <v>-303819.22668458824</v>
          </cell>
          <cell r="L31">
            <v>-64156.90039007517</v>
          </cell>
        </row>
        <row r="32">
          <cell r="C32">
            <v>-157939.73418820425</v>
          </cell>
          <cell r="G32">
            <v>-121183.53569174455</v>
          </cell>
          <cell r="H32">
            <v>36756.198496459707</v>
          </cell>
          <cell r="K32">
            <v>-201882.44665190615</v>
          </cell>
          <cell r="L32">
            <v>-43942.712463701901</v>
          </cell>
        </row>
        <row r="33">
          <cell r="C33">
            <v>-144379.36741605116</v>
          </cell>
          <cell r="G33">
            <v>-109717.85644581121</v>
          </cell>
          <cell r="H33">
            <v>34661.51097023995</v>
          </cell>
          <cell r="K33">
            <v>-186072.7721570092</v>
          </cell>
          <cell r="L33">
            <v>-41693.404740958038</v>
          </cell>
        </row>
        <row r="34">
          <cell r="C34">
            <v>-144513.24345376971</v>
          </cell>
          <cell r="G34">
            <v>-108767.67119089066</v>
          </cell>
          <cell r="H34">
            <v>35745.572262879054</v>
          </cell>
          <cell r="K34">
            <v>-187719.60106407633</v>
          </cell>
          <cell r="L34">
            <v>-43206.357610306615</v>
          </cell>
        </row>
        <row r="35">
          <cell r="C35">
            <v>-72649.934621320223</v>
          </cell>
          <cell r="G35">
            <v>-54156.028554565732</v>
          </cell>
          <cell r="H35">
            <v>18493.906066754491</v>
          </cell>
          <cell r="K35">
            <v>-95111.467213271259</v>
          </cell>
          <cell r="L35">
            <v>-22461.532591951036</v>
          </cell>
        </row>
        <row r="36">
          <cell r="C36">
            <v>-35182.067004716082</v>
          </cell>
          <cell r="G36">
            <v>-25974.803400336223</v>
          </cell>
          <cell r="H36">
            <v>9207.2636043798593</v>
          </cell>
          <cell r="K36">
            <v>-46424.972374170618</v>
          </cell>
          <cell r="L36">
            <v>-11242.905369454536</v>
          </cell>
        </row>
        <row r="37">
          <cell r="C37">
            <v>-20920.213984346297</v>
          </cell>
          <cell r="G37">
            <v>-15297.364634328644</v>
          </cell>
          <cell r="H37">
            <v>5622.8493500176537</v>
          </cell>
          <cell r="K37">
            <v>-27818.541194366539</v>
          </cell>
          <cell r="L37">
            <v>-6898.3272100202412</v>
          </cell>
        </row>
        <row r="38">
          <cell r="C38">
            <v>-14529.595144170398</v>
          </cell>
          <cell r="G38">
            <v>-10522.594031997171</v>
          </cell>
          <cell r="H38">
            <v>4007.0011121732277</v>
          </cell>
          <cell r="K38">
            <v>-19468.43508812576</v>
          </cell>
          <cell r="L38">
            <v>-4938.8399439553614</v>
          </cell>
        </row>
        <row r="39">
          <cell r="C39">
            <v>-9207.531327121882</v>
          </cell>
          <cell r="G39">
            <v>-6604.3660940652262</v>
          </cell>
          <cell r="H39">
            <v>2603.1652330566558</v>
          </cell>
          <cell r="K39">
            <v>-12430.834379201331</v>
          </cell>
          <cell r="L39">
            <v>-3223.3030520794491</v>
          </cell>
        </row>
        <row r="40">
          <cell r="C40">
            <v>-4008.3123423634188</v>
          </cell>
          <cell r="G40">
            <v>-2847.5298336841524</v>
          </cell>
          <cell r="H40">
            <v>1160.7825086792664</v>
          </cell>
          <cell r="K40">
            <v>-5451.2145117198916</v>
          </cell>
          <cell r="L40">
            <v>-1442.9021693564728</v>
          </cell>
        </row>
        <row r="41">
          <cell r="C41">
            <v>-1206.37775780484</v>
          </cell>
          <cell r="G41">
            <v>-848.80493961428272</v>
          </cell>
          <cell r="H41">
            <v>357.57281819055731</v>
          </cell>
          <cell r="K41">
            <v>-1652.5575693102562</v>
          </cell>
          <cell r="L41">
            <v>-446.17981150541618</v>
          </cell>
        </row>
        <row r="42">
          <cell r="C42">
            <v>-291.62650240017581</v>
          </cell>
          <cell r="G42">
            <v>-203.22178615075259</v>
          </cell>
          <cell r="H42">
            <v>88.404716249423217</v>
          </cell>
          <cell r="K42">
            <v>-402.35303826843295</v>
          </cell>
          <cell r="L42">
            <v>-110.72653586825714</v>
          </cell>
        </row>
        <row r="43">
          <cell r="C43">
            <v>52.389672030065192</v>
          </cell>
          <cell r="G43">
            <v>36.158218676130005</v>
          </cell>
          <cell r="H43">
            <v>-16.231453353935187</v>
          </cell>
          <cell r="K43">
            <v>72.794667438277401</v>
          </cell>
          <cell r="L43">
            <v>20.404995408212208</v>
          </cell>
        </row>
        <row r="44">
          <cell r="C44">
            <v>283.76114401744445</v>
          </cell>
          <cell r="G44">
            <v>193.96887156710167</v>
          </cell>
          <cell r="H44">
            <v>-89.792272450342779</v>
          </cell>
          <cell r="K44">
            <v>397.05151163764737</v>
          </cell>
          <cell r="L44">
            <v>113.29036762020291</v>
          </cell>
        </row>
        <row r="45">
          <cell r="C45">
            <v>-14580.279265667665</v>
          </cell>
          <cell r="G45">
            <v>-9871.0374924601128</v>
          </cell>
          <cell r="H45">
            <v>4709.2417732075519</v>
          </cell>
          <cell r="K45">
            <v>-20543.094290554796</v>
          </cell>
          <cell r="L45">
            <v>-5962.8150248871316</v>
          </cell>
        </row>
        <row r="46">
          <cell r="C46">
            <v>-5445.8935603551636</v>
          </cell>
          <cell r="G46">
            <v>-3651.6070314502554</v>
          </cell>
          <cell r="H46">
            <v>1794.2865289049082</v>
          </cell>
          <cell r="K46">
            <v>-7725.7616879797442</v>
          </cell>
          <cell r="L46">
            <v>-2279.8681276245807</v>
          </cell>
        </row>
        <row r="47">
          <cell r="C47">
            <v>-2149.7933010860602</v>
          </cell>
          <cell r="G47">
            <v>-1427.675801427466</v>
          </cell>
          <cell r="H47">
            <v>722.11749965859417</v>
          </cell>
          <cell r="K47">
            <v>-3070.4855687013242</v>
          </cell>
          <cell r="L47">
            <v>-920.69226761526397</v>
          </cell>
        </row>
        <row r="48">
          <cell r="C48">
            <v>-1035.9929373555774</v>
          </cell>
          <cell r="G48">
            <v>-681.40679925512677</v>
          </cell>
          <cell r="H48">
            <v>354.58613810045063</v>
          </cell>
          <cell r="K48">
            <v>-1489.6096439480896</v>
          </cell>
          <cell r="L48">
            <v>-453.61670659251217</v>
          </cell>
        </row>
        <row r="49">
          <cell r="C49">
            <v>-543.71401405841686</v>
          </cell>
          <cell r="G49">
            <v>-354.19128697430995</v>
          </cell>
          <cell r="H49">
            <v>189.52272708410692</v>
          </cell>
          <cell r="K49">
            <v>-786.96790285351869</v>
          </cell>
          <cell r="L49">
            <v>-243.25388879510183</v>
          </cell>
        </row>
        <row r="50">
          <cell r="C50">
            <v>-275.31312342575853</v>
          </cell>
          <cell r="G50">
            <v>-177.62786510527209</v>
          </cell>
          <cell r="H50">
            <v>97.68525832048644</v>
          </cell>
          <cell r="K50">
            <v>-401.09838857324849</v>
          </cell>
          <cell r="L50">
            <v>-125.78526514748995</v>
          </cell>
        </row>
        <row r="51">
          <cell r="C51">
            <v>-117.87102644474649</v>
          </cell>
          <cell r="G51">
            <v>-75.31977715654898</v>
          </cell>
          <cell r="H51">
            <v>42.551249288197511</v>
          </cell>
          <cell r="K51">
            <v>-172.83594160583729</v>
          </cell>
          <cell r="L51">
            <v>-54.964915161090801</v>
          </cell>
        </row>
        <row r="52">
          <cell r="C52">
            <v>-32.362598935100301</v>
          </cell>
          <cell r="G52">
            <v>-20.481523087771357</v>
          </cell>
          <cell r="H52">
            <v>11.881075847328944</v>
          </cell>
          <cell r="K52">
            <v>-47.757335838913015</v>
          </cell>
          <cell r="L52">
            <v>-15.394736903812714</v>
          </cell>
        </row>
        <row r="53">
          <cell r="C53">
            <v>-0.95761951163616799</v>
          </cell>
          <cell r="G53">
            <v>-0.60024459863299628</v>
          </cell>
          <cell r="H53">
            <v>0.3573749130031717</v>
          </cell>
          <cell r="K53">
            <v>-1.421751068480626</v>
          </cell>
          <cell r="L53">
            <v>-0.46413155684445806</v>
          </cell>
        </row>
        <row r="54">
          <cell r="C54">
            <v>1.9279124118586385E-3</v>
          </cell>
          <cell r="G54">
            <v>1.1968479764772929E-3</v>
          </cell>
          <cell r="H54">
            <v>-7.3106443538134558E-4</v>
          </cell>
          <cell r="K54">
            <v>2.8794731756514439E-3</v>
          </cell>
          <cell r="L54">
            <v>9.5156076379280543E-4</v>
          </cell>
        </row>
      </sheetData>
      <sheetData sheetId="2">
        <row r="3">
          <cell r="D3">
            <v>-794932911.14205205</v>
          </cell>
          <cell r="G3">
            <v>-769148468.30536473</v>
          </cell>
          <cell r="J3">
            <v>-753290334.62571132</v>
          </cell>
          <cell r="M3">
            <v>-784675390.587749</v>
          </cell>
        </row>
        <row r="4">
          <cell r="D4">
            <v>-93053263.010376245</v>
          </cell>
          <cell r="G4">
            <v>-77539661.523402929</v>
          </cell>
          <cell r="J4">
            <v>-71111670.792039514</v>
          </cell>
          <cell r="M4">
            <v>-83089237.971478164</v>
          </cell>
        </row>
        <row r="5">
          <cell r="D5">
            <v>-44995417.320736989</v>
          </cell>
          <cell r="G5">
            <v>-29584134.210609779</v>
          </cell>
          <cell r="J5">
            <v>-25703325.721436597</v>
          </cell>
          <cell r="M5">
            <v>-33272152.275475495</v>
          </cell>
        </row>
        <row r="6">
          <cell r="D6">
            <v>-10161991.157087296</v>
          </cell>
          <cell r="G6">
            <v>-4835614.0371860769</v>
          </cell>
          <cell r="J6">
            <v>-3869450.9968616264</v>
          </cell>
          <cell r="M6">
            <v>-5958749.1837178962</v>
          </cell>
        </row>
        <row r="7">
          <cell r="D7">
            <v>-532324.03886970493</v>
          </cell>
          <cell r="G7">
            <v>-181841.68338712351</v>
          </cell>
          <cell r="J7">
            <v>-132484.53280916647</v>
          </cell>
          <cell r="M7">
            <v>-242529.55882100895</v>
          </cell>
        </row>
      </sheetData>
      <sheetData sheetId="3">
        <row r="3">
          <cell r="D3">
            <v>15858133.679653317</v>
          </cell>
          <cell r="G3">
            <v>-15526922.282384433</v>
          </cell>
          <cell r="J3">
            <v>-112288.70832456533</v>
          </cell>
        </row>
        <row r="4">
          <cell r="D4">
            <v>6427990.7313634139</v>
          </cell>
          <cell r="G4">
            <v>-5549576.4480752302</v>
          </cell>
          <cell r="J4">
            <v>-52366.605398948363</v>
          </cell>
        </row>
        <row r="5">
          <cell r="D5">
            <v>3880808.4891731776</v>
          </cell>
          <cell r="G5">
            <v>-3688018.0648657214</v>
          </cell>
          <cell r="J5">
            <v>-39581.718293792364</v>
          </cell>
        </row>
        <row r="6">
          <cell r="D6">
            <v>966163.04032445117</v>
          </cell>
          <cell r="G6">
            <v>-1123135.1465318191</v>
          </cell>
          <cell r="J6">
            <v>-10855.756813422782</v>
          </cell>
        </row>
        <row r="7">
          <cell r="D7">
            <v>49357.150577957043</v>
          </cell>
          <cell r="G7">
            <v>-60687.875433885412</v>
          </cell>
          <cell r="J7">
            <v>-580.10458421554097</v>
          </cell>
        </row>
      </sheetData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Gennaio26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-332328018.9768852</v>
          </cell>
        </row>
        <row r="6">
          <cell r="L6">
            <v>-254342110.90424085</v>
          </cell>
        </row>
        <row r="7">
          <cell r="L7">
            <v>-110740037.63940281</v>
          </cell>
        </row>
        <row r="8">
          <cell r="L8">
            <v>-58788329.173370369</v>
          </cell>
        </row>
        <row r="9">
          <cell r="L9">
            <v>-38734414.44815293</v>
          </cell>
        </row>
        <row r="10">
          <cell r="L10">
            <v>-29383482.820818491</v>
          </cell>
        </row>
        <row r="11">
          <cell r="L11">
            <v>-22772005.290521447</v>
          </cell>
        </row>
        <row r="12">
          <cell r="L12">
            <v>-17763753.223422579</v>
          </cell>
        </row>
        <row r="13">
          <cell r="L13">
            <v>-13370031.517351151</v>
          </cell>
        </row>
        <row r="14">
          <cell r="L14">
            <v>-9763990.1582625881</v>
          </cell>
        </row>
        <row r="15">
          <cell r="L15">
            <v>-7387436.2469859105</v>
          </cell>
        </row>
        <row r="16">
          <cell r="L16">
            <v>-6268950.3953608498</v>
          </cell>
        </row>
        <row r="17">
          <cell r="L17">
            <v>-5570224.8212080402</v>
          </cell>
        </row>
        <row r="18">
          <cell r="L18">
            <v>-5125904.4719555797</v>
          </cell>
        </row>
        <row r="19">
          <cell r="L19">
            <v>-4704630.3920186702</v>
          </cell>
        </row>
        <row r="20">
          <cell r="L20">
            <v>-4084159.8286188501</v>
          </cell>
        </row>
        <row r="21">
          <cell r="L21">
            <v>-3542359.4276053002</v>
          </cell>
        </row>
        <row r="22">
          <cell r="L22">
            <v>-3090042.0743299802</v>
          </cell>
        </row>
        <row r="23">
          <cell r="L23">
            <v>-2761813.1780957999</v>
          </cell>
        </row>
        <row r="24">
          <cell r="L24">
            <v>-2459896.48455801</v>
          </cell>
        </row>
        <row r="25">
          <cell r="L25">
            <v>-2088457.2148346601</v>
          </cell>
        </row>
        <row r="26">
          <cell r="L26">
            <v>-1755509.40696414</v>
          </cell>
        </row>
        <row r="27">
          <cell r="L27">
            <v>-1479317.4669733001</v>
          </cell>
        </row>
        <row r="28">
          <cell r="L28">
            <v>-1281215.08512918</v>
          </cell>
        </row>
        <row r="29">
          <cell r="L29">
            <v>-1075187.75728278</v>
          </cell>
        </row>
        <row r="30">
          <cell r="L30">
            <v>-800461.74630233599</v>
          </cell>
        </row>
        <row r="31">
          <cell r="L31">
            <v>-562015.95631909405</v>
          </cell>
        </row>
        <row r="32">
          <cell r="L32">
            <v>-383041.49649280601</v>
          </cell>
        </row>
        <row r="33">
          <cell r="L33">
            <v>-362069.20410660299</v>
          </cell>
        </row>
        <row r="34">
          <cell r="L34">
            <v>-374715.82268239598</v>
          </cell>
        </row>
        <row r="35">
          <cell r="L35">
            <v>-194763.278414653</v>
          </cell>
        </row>
        <row r="36">
          <cell r="L36">
            <v>-97506.573447479503</v>
          </cell>
        </row>
        <row r="37">
          <cell r="L37">
            <v>-59943.842251503796</v>
          </cell>
        </row>
        <row r="38">
          <cell r="L38">
            <v>-43038.071889319901</v>
          </cell>
        </row>
        <row r="39">
          <cell r="L39">
            <v>-28191.083045450901</v>
          </cell>
        </row>
        <row r="40">
          <cell r="L40">
            <v>-12685.751086259001</v>
          </cell>
        </row>
        <row r="41">
          <cell r="L41">
            <v>-3946.0659808047999</v>
          </cell>
        </row>
        <row r="42">
          <cell r="L42">
            <v>-985.93113195932006</v>
          </cell>
        </row>
        <row r="43">
          <cell r="L43">
            <v>183.06990320999901</v>
          </cell>
        </row>
        <row r="44">
          <cell r="L44">
            <v>1024.7200296256501</v>
          </cell>
        </row>
        <row r="45">
          <cell r="L45">
            <v>-54413.614338530497</v>
          </cell>
        </row>
        <row r="46">
          <cell r="L46">
            <v>-21004.324534694599</v>
          </cell>
        </row>
        <row r="47">
          <cell r="L47">
            <v>-8569.2442496456497</v>
          </cell>
        </row>
        <row r="48">
          <cell r="L48">
            <v>-4267.0358569913697</v>
          </cell>
        </row>
        <row r="49">
          <cell r="L49">
            <v>-2314.0195086311101</v>
          </cell>
        </row>
        <row r="50">
          <cell r="L50">
            <v>-1210.75301815789</v>
          </cell>
        </row>
        <row r="51">
          <cell r="L51">
            <v>-535.63758174284806</v>
          </cell>
        </row>
        <row r="52">
          <cell r="L52">
            <v>-151.96654878024</v>
          </cell>
        </row>
        <row r="53">
          <cell r="L53">
            <v>-4.64558014967246</v>
          </cell>
        </row>
        <row r="54">
          <cell r="L54">
            <v>9.6622135507758895E-3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2.5084281410794032</v>
          </cell>
          <cell r="P4">
            <v>-216633.52366354264</v>
          </cell>
        </row>
        <row r="5">
          <cell r="C5">
            <v>-328953395.01492131</v>
          </cell>
          <cell r="D5">
            <v>-16280.651933138588</v>
          </cell>
          <cell r="G5">
            <v>-326671727.01137698</v>
          </cell>
          <cell r="H5">
            <v>2281668.0035443306</v>
          </cell>
          <cell r="J5">
            <v>0.5</v>
          </cell>
          <cell r="K5">
            <v>-331471725.01048106</v>
          </cell>
          <cell r="L5">
            <v>-2518329.995559752</v>
          </cell>
        </row>
        <row r="6">
          <cell r="C6">
            <v>-246514983.58079392</v>
          </cell>
          <cell r="D6">
            <v>-36403.832351991776</v>
          </cell>
          <cell r="G6">
            <v>-241287408.74486205</v>
          </cell>
          <cell r="H6">
            <v>5227574.8359318674</v>
          </cell>
          <cell r="J6">
            <v>1.5</v>
          </cell>
          <cell r="K6">
            <v>-251812877.36898315</v>
          </cell>
          <cell r="L6">
            <v>-5297893.7881892323</v>
          </cell>
        </row>
        <row r="7">
          <cell r="C7">
            <v>-104917729.90969402</v>
          </cell>
          <cell r="D7">
            <v>-25761.449771824959</v>
          </cell>
          <cell r="G7">
            <v>-101293486.81998119</v>
          </cell>
          <cell r="H7">
            <v>3624243.0897128284</v>
          </cell>
          <cell r="J7">
            <v>2.5</v>
          </cell>
          <cell r="K7">
            <v>-108329265.01386918</v>
          </cell>
          <cell r="L7">
            <v>-3411535.1041751653</v>
          </cell>
        </row>
        <row r="8">
          <cell r="C8">
            <v>-54323585.55225008</v>
          </cell>
          <cell r="G8">
            <v>-51811487.855248705</v>
          </cell>
          <cell r="H8">
            <v>2512097.6970013753</v>
          </cell>
          <cell r="K8">
            <v>-56610869.776354194</v>
          </cell>
          <cell r="L8">
            <v>-2287284.2241041139</v>
          </cell>
        </row>
        <row r="9">
          <cell r="C9">
            <v>-34849734.45606669</v>
          </cell>
          <cell r="G9">
            <v>-32858339.203173514</v>
          </cell>
          <cell r="H9">
            <v>1991395.2528931759</v>
          </cell>
          <cell r="K9">
            <v>-36640988.103976004</v>
          </cell>
          <cell r="L9">
            <v>-1791253.6479093134</v>
          </cell>
        </row>
        <row r="10">
          <cell r="C10">
            <v>-25703101.627607416</v>
          </cell>
          <cell r="G10">
            <v>-23964814.163135327</v>
          </cell>
          <cell r="H10">
            <v>1738287.464472089</v>
          </cell>
          <cell r="K10">
            <v>-27243247.658376105</v>
          </cell>
          <cell r="L10">
            <v>-1540146.0307686888</v>
          </cell>
        </row>
        <row r="11">
          <cell r="C11">
            <v>-19338395.32089857</v>
          </cell>
          <cell r="G11">
            <v>-17838419.767875254</v>
          </cell>
          <cell r="H11">
            <v>1499975.553023316</v>
          </cell>
          <cell r="K11">
            <v>-20647354.01727812</v>
          </cell>
          <cell r="L11">
            <v>-1308958.6963795498</v>
          </cell>
        </row>
        <row r="12">
          <cell r="C12">
            <v>-14627088.199036298</v>
          </cell>
          <cell r="G12">
            <v>-13350656.127698421</v>
          </cell>
          <cell r="H12">
            <v>1276432.0713378768</v>
          </cell>
          <cell r="K12">
            <v>-15719955.633668793</v>
          </cell>
          <cell r="L12">
            <v>-1092867.434632495</v>
          </cell>
        </row>
        <row r="13">
          <cell r="C13">
            <v>-10662847.411999509</v>
          </cell>
          <cell r="G13">
            <v>-9640763.975550985</v>
          </cell>
          <cell r="H13">
            <v>1022083.4364485238</v>
          </cell>
          <cell r="K13">
            <v>-11518091.567827927</v>
          </cell>
          <cell r="L13">
            <v>-855244.15582841821</v>
          </cell>
        </row>
        <row r="14">
          <cell r="C14">
            <v>-7534757.7217589626</v>
          </cell>
          <cell r="G14">
            <v>-6755756.1959516648</v>
          </cell>
          <cell r="H14">
            <v>779001.52580729779</v>
          </cell>
          <cell r="K14">
            <v>-8178587.5453065531</v>
          </cell>
          <cell r="L14">
            <v>-643829.82354759052</v>
          </cell>
        </row>
        <row r="15">
          <cell r="C15">
            <v>-5511605.9075170374</v>
          </cell>
          <cell r="G15">
            <v>-4907553.6745638493</v>
          </cell>
          <cell r="H15">
            <v>604052.23295318801</v>
          </cell>
          <cell r="K15">
            <v>-6020790.1240071123</v>
          </cell>
          <cell r="L15">
            <v>-509184.21649007499</v>
          </cell>
        </row>
        <row r="16">
          <cell r="C16">
            <v>-4518632.8970472151</v>
          </cell>
          <cell r="G16">
            <v>-4000400.8023515162</v>
          </cell>
          <cell r="H16">
            <v>518232.09469569894</v>
          </cell>
          <cell r="K16">
            <v>-4971648.0545087932</v>
          </cell>
          <cell r="L16">
            <v>-453015.15746157803</v>
          </cell>
        </row>
        <row r="17">
          <cell r="C17">
            <v>-3877564.3642093367</v>
          </cell>
          <cell r="G17">
            <v>-3412616.1254529082</v>
          </cell>
          <cell r="H17">
            <v>464948.23875642847</v>
          </cell>
          <cell r="K17">
            <v>-4294316.9503401807</v>
          </cell>
          <cell r="L17">
            <v>-416752.58613084396</v>
          </cell>
        </row>
        <row r="18">
          <cell r="C18">
            <v>-3445775.729551468</v>
          </cell>
          <cell r="G18">
            <v>-3012940.8651555227</v>
          </cell>
          <cell r="H18">
            <v>432834.86439594533</v>
          </cell>
          <cell r="K18">
            <v>-3846407.1318961098</v>
          </cell>
          <cell r="L18">
            <v>-400631.40234464174</v>
          </cell>
        </row>
        <row r="19">
          <cell r="C19">
            <v>-3053243.3020005487</v>
          </cell>
          <cell r="G19">
            <v>-2649324.6386905019</v>
          </cell>
          <cell r="H19">
            <v>403918.66331004677</v>
          </cell>
          <cell r="K19">
            <v>-3434101.4207407227</v>
          </cell>
          <cell r="L19">
            <v>-380858.11874017399</v>
          </cell>
        </row>
        <row r="20">
          <cell r="C20">
            <v>-2558835.9480326818</v>
          </cell>
          <cell r="G20">
            <v>-2202379.17122107</v>
          </cell>
          <cell r="H20">
            <v>356456.77681161184</v>
          </cell>
          <cell r="K20">
            <v>-2905995.0352131589</v>
          </cell>
          <cell r="L20">
            <v>-347159.0871804771</v>
          </cell>
        </row>
        <row r="21">
          <cell r="C21">
            <v>-2143996.0313853617</v>
          </cell>
          <cell r="G21">
            <v>-1828476.7876100086</v>
          </cell>
          <cell r="H21">
            <v>315519.24377535307</v>
          </cell>
          <cell r="K21">
            <v>-2463859.8870292157</v>
          </cell>
          <cell r="L21">
            <v>-319863.85564385401</v>
          </cell>
        </row>
        <row r="22">
          <cell r="C22">
            <v>-1807880.0235498676</v>
          </cell>
          <cell r="G22">
            <v>-1527062.0022974401</v>
          </cell>
          <cell r="H22">
            <v>280818.02125242748</v>
          </cell>
          <cell r="K22">
            <v>-2097274.6377811725</v>
          </cell>
          <cell r="L22">
            <v>-289394.61423130496</v>
          </cell>
        </row>
        <row r="23">
          <cell r="C23">
            <v>-1562610.2694107443</v>
          </cell>
          <cell r="G23">
            <v>-1307247.0319636911</v>
          </cell>
          <cell r="H23">
            <v>255363.23744705319</v>
          </cell>
          <cell r="K23">
            <v>-1834859.947069128</v>
          </cell>
          <cell r="L23">
            <v>-272249.67765838373</v>
          </cell>
        </row>
        <row r="24">
          <cell r="C24">
            <v>-1346278.8389012949</v>
          </cell>
          <cell r="G24">
            <v>-1115478.366853226</v>
          </cell>
          <cell r="H24">
            <v>230800.47204806888</v>
          </cell>
          <cell r="K24">
            <v>-1600299.7228233686</v>
          </cell>
          <cell r="L24">
            <v>-254020.88392207376</v>
          </cell>
        </row>
        <row r="25">
          <cell r="C25">
            <v>-1105779.7928446084</v>
          </cell>
          <cell r="G25">
            <v>-907430.25987772737</v>
          </cell>
          <cell r="H25">
            <v>198349.53296688106</v>
          </cell>
          <cell r="K25">
            <v>-1326363.0464963191</v>
          </cell>
          <cell r="L25">
            <v>-220583.25365171069</v>
          </cell>
        </row>
        <row r="26">
          <cell r="C26">
            <v>-899319.18261397863</v>
          </cell>
          <cell r="G26">
            <v>-730931.51940029848</v>
          </cell>
          <cell r="H26">
            <v>168387.66321368015</v>
          </cell>
          <cell r="K26">
            <v>-1088086.5473443095</v>
          </cell>
          <cell r="L26">
            <v>-188767.36473033088</v>
          </cell>
        </row>
        <row r="27">
          <cell r="C27">
            <v>-733173.57590675238</v>
          </cell>
          <cell r="G27">
            <v>-590185.28605816909</v>
          </cell>
          <cell r="H27">
            <v>142988.28984858328</v>
          </cell>
          <cell r="K27">
            <v>-894653.81837026821</v>
          </cell>
          <cell r="L27">
            <v>-161480.24246351584</v>
          </cell>
        </row>
        <row r="28">
          <cell r="C28">
            <v>-614364.10842643643</v>
          </cell>
          <cell r="G28">
            <v>-489807.5115654816</v>
          </cell>
          <cell r="H28">
            <v>124556.59686095483</v>
          </cell>
          <cell r="K28">
            <v>-755981.59565884492</v>
          </cell>
          <cell r="L28">
            <v>-141617.48723240849</v>
          </cell>
        </row>
        <row r="29">
          <cell r="C29">
            <v>-498863.50668085396</v>
          </cell>
          <cell r="G29">
            <v>-393912.23855388025</v>
          </cell>
          <cell r="H29">
            <v>104951.26812697371</v>
          </cell>
          <cell r="K29">
            <v>-618995.1746998498</v>
          </cell>
          <cell r="L29">
            <v>-120131.66801899584</v>
          </cell>
        </row>
        <row r="30">
          <cell r="C30">
            <v>-359357.38324047765</v>
          </cell>
          <cell r="G30">
            <v>-281036.17927068676</v>
          </cell>
          <cell r="H30">
            <v>78321.203969790891</v>
          </cell>
          <cell r="K30">
            <v>-449609.49442821834</v>
          </cell>
          <cell r="L30">
            <v>-90252.111187740695</v>
          </cell>
        </row>
        <row r="31">
          <cell r="C31">
            <v>-244163.05705358658</v>
          </cell>
          <cell r="G31">
            <v>-189118.04097927673</v>
          </cell>
          <cell r="H31">
            <v>55045.016074309853</v>
          </cell>
          <cell r="K31">
            <v>-307977.64644826815</v>
          </cell>
          <cell r="L31">
            <v>-63814.589394681563</v>
          </cell>
        </row>
        <row r="32">
          <cell r="C32">
            <v>-161018.55487805823</v>
          </cell>
          <cell r="G32">
            <v>-123522.83627739204</v>
          </cell>
          <cell r="H32">
            <v>37495.718600666194</v>
          </cell>
          <cell r="K32">
            <v>-204722.46144558009</v>
          </cell>
          <cell r="L32">
            <v>-43703.906567521859</v>
          </cell>
        </row>
        <row r="33">
          <cell r="C33">
            <v>-147276.83027889836</v>
          </cell>
          <cell r="G33">
            <v>-111898.20157048393</v>
          </cell>
          <cell r="H33">
            <v>35378.628708414428</v>
          </cell>
          <cell r="K33">
            <v>-188733.81886252903</v>
          </cell>
          <cell r="L33">
            <v>-41456.988583630678</v>
          </cell>
        </row>
        <row r="34">
          <cell r="C34">
            <v>-147495.02865541712</v>
          </cell>
          <cell r="G34">
            <v>-110990.05343666795</v>
          </cell>
          <cell r="H34">
            <v>36504.975218749169</v>
          </cell>
          <cell r="K34">
            <v>-190526.4727742665</v>
          </cell>
          <cell r="L34">
            <v>-43031.44411884938</v>
          </cell>
        </row>
        <row r="35">
          <cell r="C35">
            <v>-74178.346935734924</v>
          </cell>
          <cell r="G35">
            <v>-55284.272541877421</v>
          </cell>
          <cell r="H35">
            <v>18894.074393857503</v>
          </cell>
          <cell r="K35">
            <v>-96581.993712481519</v>
          </cell>
          <cell r="L35">
            <v>-22403.646776746595</v>
          </cell>
        </row>
        <row r="36">
          <cell r="C36">
            <v>-35941.259043932652</v>
          </cell>
          <cell r="G36">
            <v>-26529.83614507832</v>
          </cell>
          <cell r="H36">
            <v>9411.4228988543327</v>
          </cell>
          <cell r="K36">
            <v>-47151.924610103248</v>
          </cell>
          <cell r="L36">
            <v>-11210.665566170595</v>
          </cell>
        </row>
        <row r="37">
          <cell r="C37">
            <v>-21382.767739060935</v>
          </cell>
          <cell r="G37">
            <v>-15632.302330914283</v>
          </cell>
          <cell r="H37">
            <v>5750.4654081466524</v>
          </cell>
          <cell r="K37">
            <v>-28263.581682877011</v>
          </cell>
          <cell r="L37">
            <v>-6880.8139438160761</v>
          </cell>
        </row>
        <row r="38">
          <cell r="C38">
            <v>-14856.021574353377</v>
          </cell>
          <cell r="G38">
            <v>-10756.696777722227</v>
          </cell>
          <cell r="H38">
            <v>4099.3247966311501</v>
          </cell>
          <cell r="K38">
            <v>-19786.291165033941</v>
          </cell>
          <cell r="L38">
            <v>-4930.2695906805639</v>
          </cell>
        </row>
        <row r="39">
          <cell r="C39">
            <v>-9417.4872571376272</v>
          </cell>
          <cell r="G39">
            <v>-6753.4972975426517</v>
          </cell>
          <cell r="H39">
            <v>2663.9899595949755</v>
          </cell>
          <cell r="K39">
            <v>-12637.762972166707</v>
          </cell>
          <cell r="L39">
            <v>-3220.2757150290799</v>
          </cell>
        </row>
        <row r="40">
          <cell r="C40">
            <v>-4100.9814232098634</v>
          </cell>
          <cell r="G40">
            <v>-2912.7218743050198</v>
          </cell>
          <cell r="H40">
            <v>1188.2595489048435</v>
          </cell>
          <cell r="K40">
            <v>-5543.6426771912775</v>
          </cell>
          <cell r="L40">
            <v>-1442.6612539814141</v>
          </cell>
        </row>
        <row r="41">
          <cell r="C41">
            <v>-1234.6265702991475</v>
          </cell>
          <cell r="G41">
            <v>-868.48734993427968</v>
          </cell>
          <cell r="H41">
            <v>366.13922036486781</v>
          </cell>
          <cell r="K41">
            <v>-1681.073005061651</v>
          </cell>
          <cell r="L41">
            <v>-446.44643476250349</v>
          </cell>
        </row>
        <row r="42">
          <cell r="C42">
            <v>-298.590180024598</v>
          </cell>
          <cell r="G42">
            <v>-208.02707162724579</v>
          </cell>
          <cell r="H42">
            <v>90.56310839735221</v>
          </cell>
          <cell r="K42">
            <v>-409.48728809614551</v>
          </cell>
          <cell r="L42">
            <v>-110.89710807154751</v>
          </cell>
        </row>
        <row r="43">
          <cell r="C43">
            <v>53.654487615860781</v>
          </cell>
          <cell r="G43">
            <v>37.022707022189266</v>
          </cell>
          <cell r="H43">
            <v>-16.631780593671515</v>
          </cell>
          <cell r="K43">
            <v>74.106144918140942</v>
          </cell>
          <cell r="L43">
            <v>20.451657302280161</v>
          </cell>
        </row>
        <row r="44">
          <cell r="C44">
            <v>290.62495679969015</v>
          </cell>
          <cell r="G44">
            <v>198.61509044299669</v>
          </cell>
          <cell r="H44">
            <v>-92.009866356693465</v>
          </cell>
          <cell r="K44">
            <v>404.23607983813588</v>
          </cell>
          <cell r="L44">
            <v>113.61112303844573</v>
          </cell>
        </row>
        <row r="45">
          <cell r="C45">
            <v>-14936.135827683574</v>
          </cell>
          <cell r="G45">
            <v>-10109.613963842761</v>
          </cell>
          <cell r="H45">
            <v>4826.5218638408132</v>
          </cell>
          <cell r="K45">
            <v>-20916.025351650071</v>
          </cell>
          <cell r="L45">
            <v>-5979.8895239664962</v>
          </cell>
        </row>
        <row r="46">
          <cell r="C46">
            <v>-5579.8892692645522</v>
          </cell>
          <cell r="G46">
            <v>-3740.5808066420332</v>
          </cell>
          <cell r="H46">
            <v>1839.3084626225191</v>
          </cell>
          <cell r="K46">
            <v>-7867.9051930334672</v>
          </cell>
          <cell r="L46">
            <v>-2288.0159237689149</v>
          </cell>
        </row>
        <row r="47">
          <cell r="C47">
            <v>-2203.5236029828848</v>
          </cell>
          <cell r="G47">
            <v>-1463.0096356788374</v>
          </cell>
          <cell r="H47">
            <v>740.51396730404736</v>
          </cell>
          <cell r="K47">
            <v>-3128.3496759460586</v>
          </cell>
          <cell r="L47">
            <v>-924.82607296317383</v>
          </cell>
        </row>
        <row r="48">
          <cell r="C48">
            <v>-1062.0574175756115</v>
          </cell>
          <cell r="G48">
            <v>-698.38428928440771</v>
          </cell>
          <cell r="H48">
            <v>363.67312829120374</v>
          </cell>
          <cell r="K48">
            <v>-1517.7036716565947</v>
          </cell>
          <cell r="L48">
            <v>-455.64625408098323</v>
          </cell>
        </row>
        <row r="49">
          <cell r="C49">
            <v>-557.4703112460619</v>
          </cell>
          <cell r="G49">
            <v>-363.06505474253112</v>
          </cell>
          <cell r="H49">
            <v>194.40525650353078</v>
          </cell>
          <cell r="K49">
            <v>-801.80497155195633</v>
          </cell>
          <cell r="L49">
            <v>-244.33466030589443</v>
          </cell>
        </row>
        <row r="50">
          <cell r="C50">
            <v>-282.31350168777294</v>
          </cell>
          <cell r="G50">
            <v>-182.10069415248913</v>
          </cell>
          <cell r="H50">
            <v>100.21280753528382</v>
          </cell>
          <cell r="K50">
            <v>-408.7411268965862</v>
          </cell>
          <cell r="L50">
            <v>-126.42762520881325</v>
          </cell>
        </row>
        <row r="51">
          <cell r="C51">
            <v>-120.88011162900288</v>
          </cell>
          <cell r="G51">
            <v>-77.223817922602976</v>
          </cell>
          <cell r="H51">
            <v>43.656293706399907</v>
          </cell>
          <cell r="K51">
            <v>-176.1621126952532</v>
          </cell>
          <cell r="L51">
            <v>-55.282001066250317</v>
          </cell>
        </row>
        <row r="52">
          <cell r="C52">
            <v>-33.199176400470108</v>
          </cell>
          <cell r="G52">
            <v>-21.005827774716408</v>
          </cell>
          <cell r="H52">
            <v>12.1933486257537</v>
          </cell>
          <cell r="K52">
            <v>-48.685071027052935</v>
          </cell>
          <cell r="L52">
            <v>-15.485894626582827</v>
          </cell>
        </row>
        <row r="53">
          <cell r="C53">
            <v>-0.98221145458566617</v>
          </cell>
          <cell r="G53">
            <v>-0.61550998542651736</v>
          </cell>
          <cell r="H53">
            <v>0.36670146915914881</v>
          </cell>
          <cell r="K53">
            <v>-1.449269858256274</v>
          </cell>
          <cell r="L53">
            <v>-0.4670584036706078</v>
          </cell>
        </row>
        <row r="54">
          <cell r="C54">
            <v>1.9770313020388429E-3</v>
          </cell>
          <cell r="G54">
            <v>1.2270448354619057E-3</v>
          </cell>
          <cell r="H54">
            <v>-7.4998646657693725E-4</v>
          </cell>
          <cell r="K54">
            <v>2.9349467777136915E-3</v>
          </cell>
          <cell r="L54">
            <v>9.5791547567484862E-4</v>
          </cell>
        </row>
      </sheetData>
      <sheetData sheetId="2">
        <row r="3">
          <cell r="D3">
            <v>-794932911.14205205</v>
          </cell>
          <cell r="G3">
            <v>-769559428.513726</v>
          </cell>
          <cell r="J3">
            <v>-753922449.63464248</v>
          </cell>
          <cell r="M3">
            <v>-784865725.27366352</v>
          </cell>
        </row>
        <row r="4">
          <cell r="D4">
            <v>-93053263.010376245</v>
          </cell>
          <cell r="G4">
            <v>-77866190.281300753</v>
          </cell>
          <cell r="J4">
            <v>-71550410.23021166</v>
          </cell>
          <cell r="M4">
            <v>-83307236.422457501</v>
          </cell>
        </row>
        <row r="5">
          <cell r="D5">
            <v>-44995417.320736989</v>
          </cell>
          <cell r="G5">
            <v>-29826423.311605554</v>
          </cell>
          <cell r="J5">
            <v>-25963479.466159731</v>
          </cell>
          <cell r="M5">
            <v>-33469552.911408961</v>
          </cell>
        </row>
        <row r="6">
          <cell r="D6">
            <v>-10161991.157087296</v>
          </cell>
          <cell r="G6">
            <v>-4910811.0205790671</v>
          </cell>
          <cell r="J6">
            <v>-3928832.1269900645</v>
          </cell>
          <cell r="M6">
            <v>-6025650.0765284542</v>
          </cell>
        </row>
        <row r="7">
          <cell r="D7">
            <v>-532324.03886970493</v>
          </cell>
          <cell r="G7">
            <v>-185842.25073223078</v>
          </cell>
          <cell r="J7">
            <v>-135365.80196451722</v>
          </cell>
          <cell r="M7">
            <v>-246444.23839762376</v>
          </cell>
        </row>
      </sheetData>
      <sheetData sheetId="3">
        <row r="3">
          <cell r="D3">
            <v>15636978.879083578</v>
          </cell>
          <cell r="G3">
            <v>-15306296.759937577</v>
          </cell>
          <cell r="J3">
            <v>-112441.818649831</v>
          </cell>
        </row>
        <row r="4">
          <cell r="D4">
            <v>6315780.0510891033</v>
          </cell>
          <cell r="G4">
            <v>-5441046.1411567423</v>
          </cell>
          <cell r="J4">
            <v>-52625.170956097601</v>
          </cell>
        </row>
        <row r="5">
          <cell r="D5">
            <v>3862943.8454458215</v>
          </cell>
          <cell r="G5">
            <v>-3643129.5998034067</v>
          </cell>
          <cell r="J5">
            <v>-39938.881492619163</v>
          </cell>
        </row>
        <row r="6">
          <cell r="D6">
            <v>981978.89358900336</v>
          </cell>
          <cell r="G6">
            <v>-1114839.055949386</v>
          </cell>
          <cell r="J6">
            <v>-11034.327518713921</v>
          </cell>
        </row>
        <row r="7">
          <cell r="D7">
            <v>50476.448767713562</v>
          </cell>
          <cell r="G7">
            <v>-60601.987665392953</v>
          </cell>
          <cell r="J7">
            <v>-593.32504628091885</v>
          </cell>
        </row>
      </sheetData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Febbraio26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-332328018.9768852</v>
          </cell>
        </row>
        <row r="6">
          <cell r="L6">
            <v>-254342110.90424085</v>
          </cell>
        </row>
        <row r="7">
          <cell r="L7">
            <v>-110740037.63940281</v>
          </cell>
        </row>
        <row r="8">
          <cell r="L8">
            <v>-58788329.173370369</v>
          </cell>
        </row>
        <row r="9">
          <cell r="L9">
            <v>-38734414.44815293</v>
          </cell>
        </row>
        <row r="10">
          <cell r="L10">
            <v>-29383482.820818491</v>
          </cell>
        </row>
        <row r="11">
          <cell r="L11">
            <v>-22772005.290521447</v>
          </cell>
        </row>
        <row r="12">
          <cell r="L12">
            <v>-17763753.223422579</v>
          </cell>
        </row>
        <row r="13">
          <cell r="L13">
            <v>-13370031.517351151</v>
          </cell>
        </row>
        <row r="14">
          <cell r="L14">
            <v>-9763990.1582625881</v>
          </cell>
        </row>
        <row r="15">
          <cell r="L15">
            <v>-7387436.2469859105</v>
          </cell>
        </row>
        <row r="16">
          <cell r="L16">
            <v>-6268950.3953608498</v>
          </cell>
        </row>
        <row r="17">
          <cell r="L17">
            <v>-5570224.8212080402</v>
          </cell>
        </row>
        <row r="18">
          <cell r="L18">
            <v>-5125904.4719555797</v>
          </cell>
        </row>
        <row r="19">
          <cell r="L19">
            <v>-4704630.3920186702</v>
          </cell>
        </row>
        <row r="20">
          <cell r="L20">
            <v>-4084159.8286188501</v>
          </cell>
        </row>
        <row r="21">
          <cell r="L21">
            <v>-3542359.4276053002</v>
          </cell>
        </row>
        <row r="22">
          <cell r="L22">
            <v>-3090042.0743299802</v>
          </cell>
        </row>
        <row r="23">
          <cell r="L23">
            <v>-2761813.1780957999</v>
          </cell>
        </row>
        <row r="24">
          <cell r="L24">
            <v>-2459896.48455801</v>
          </cell>
        </row>
        <row r="25">
          <cell r="L25">
            <v>-2088457.2148346601</v>
          </cell>
        </row>
        <row r="26">
          <cell r="L26">
            <v>-1755509.40696414</v>
          </cell>
        </row>
        <row r="27">
          <cell r="L27">
            <v>-1479317.4669733001</v>
          </cell>
        </row>
        <row r="28">
          <cell r="L28">
            <v>-1281215.08512918</v>
          </cell>
        </row>
        <row r="29">
          <cell r="L29">
            <v>-1075187.75728278</v>
          </cell>
        </row>
        <row r="30">
          <cell r="L30">
            <v>-800461.74630233599</v>
          </cell>
        </row>
        <row r="31">
          <cell r="L31">
            <v>-562015.95631909405</v>
          </cell>
        </row>
        <row r="32">
          <cell r="L32">
            <v>-383041.49649280601</v>
          </cell>
        </row>
        <row r="33">
          <cell r="L33">
            <v>-362069.20410660299</v>
          </cell>
        </row>
        <row r="34">
          <cell r="L34">
            <v>-374715.82268239598</v>
          </cell>
        </row>
        <row r="35">
          <cell r="L35">
            <v>-194763.278414653</v>
          </cell>
        </row>
        <row r="36">
          <cell r="L36">
            <v>-97506.573447479503</v>
          </cell>
        </row>
        <row r="37">
          <cell r="L37">
            <v>-59943.842251503796</v>
          </cell>
        </row>
        <row r="38">
          <cell r="L38">
            <v>-43038.071889319901</v>
          </cell>
        </row>
        <row r="39">
          <cell r="L39">
            <v>-28191.083045450901</v>
          </cell>
        </row>
        <row r="40">
          <cell r="L40">
            <v>-12685.751086259001</v>
          </cell>
        </row>
        <row r="41">
          <cell r="L41">
            <v>-3946.0659808047999</v>
          </cell>
        </row>
        <row r="42">
          <cell r="L42">
            <v>-985.93113195932006</v>
          </cell>
        </row>
        <row r="43">
          <cell r="L43">
            <v>183.06990320999901</v>
          </cell>
        </row>
        <row r="44">
          <cell r="L44">
            <v>1024.7200296256501</v>
          </cell>
        </row>
        <row r="45">
          <cell r="L45">
            <v>-54413.614338530497</v>
          </cell>
        </row>
        <row r="46">
          <cell r="L46">
            <v>-21004.324534694599</v>
          </cell>
        </row>
        <row r="47">
          <cell r="L47">
            <v>-8569.2442496456497</v>
          </cell>
        </row>
        <row r="48">
          <cell r="L48">
            <v>-4267.0358569913697</v>
          </cell>
        </row>
        <row r="49">
          <cell r="L49">
            <v>-2314.0195086311101</v>
          </cell>
        </row>
        <row r="50">
          <cell r="L50">
            <v>-1210.75301815789</v>
          </cell>
        </row>
        <row r="51">
          <cell r="L51">
            <v>-535.63758174284806</v>
          </cell>
        </row>
        <row r="52">
          <cell r="L52">
            <v>-151.96654878024</v>
          </cell>
        </row>
        <row r="53">
          <cell r="L53">
            <v>-4.64558014967246</v>
          </cell>
        </row>
        <row r="54">
          <cell r="L54">
            <v>9.6622135507758895E-3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2.5307302572328965</v>
          </cell>
          <cell r="P4">
            <v>-219579.83971134364</v>
          </cell>
        </row>
        <row r="5">
          <cell r="C5">
            <v>-328999658.31487298</v>
          </cell>
          <cell r="D5">
            <v>-16285.231607093559</v>
          </cell>
          <cell r="G5">
            <v>-326747734.53163427</v>
          </cell>
          <cell r="H5">
            <v>2251923.783238709</v>
          </cell>
          <cell r="J5">
            <v>0.5</v>
          </cell>
          <cell r="K5">
            <v>-331483237.72061878</v>
          </cell>
          <cell r="L5">
            <v>-2483579.4057458043</v>
          </cell>
        </row>
        <row r="6">
          <cell r="C6">
            <v>-246732060.12919298</v>
          </cell>
          <cell r="D6">
            <v>-36451.927751222895</v>
          </cell>
          <cell r="G6">
            <v>-241643345.10480431</v>
          </cell>
          <cell r="H6">
            <v>5088715.0243886709</v>
          </cell>
          <cell r="J6">
            <v>1.5</v>
          </cell>
          <cell r="K6">
            <v>-251888875.58263189</v>
          </cell>
          <cell r="L6">
            <v>-5156815.4534389079</v>
          </cell>
        </row>
        <row r="7">
          <cell r="C7">
            <v>-105175202.35858084</v>
          </cell>
          <cell r="D7">
            <v>-25845.77711382035</v>
          </cell>
          <cell r="G7">
            <v>-101700474.19221054</v>
          </cell>
          <cell r="H7">
            <v>3474728.1663703024</v>
          </cell>
          <cell r="J7">
            <v>2.5</v>
          </cell>
          <cell r="K7">
            <v>-108440078.80652909</v>
          </cell>
          <cell r="L7">
            <v>-3264876.4479482472</v>
          </cell>
        </row>
        <row r="8">
          <cell r="C8">
            <v>-54576043.992379658</v>
          </cell>
          <cell r="G8">
            <v>-52193378.473581791</v>
          </cell>
          <cell r="H8">
            <v>2382665.518797867</v>
          </cell>
          <cell r="K8">
            <v>-56737542.796065435</v>
          </cell>
          <cell r="L8">
            <v>-2161498.8036857769</v>
          </cell>
        </row>
        <row r="9">
          <cell r="C9">
            <v>-35096184.170691967</v>
          </cell>
          <cell r="G9">
            <v>-33217952.798555873</v>
          </cell>
          <cell r="H9">
            <v>1878231.3721360937</v>
          </cell>
          <cell r="K9">
            <v>-36778563.675608218</v>
          </cell>
          <cell r="L9">
            <v>-1682379.5049162507</v>
          </cell>
        </row>
        <row r="10">
          <cell r="C10">
            <v>-25945473.292213604</v>
          </cell>
          <cell r="G10">
            <v>-24308015.386789884</v>
          </cell>
          <cell r="H10">
            <v>1637457.9054237194</v>
          </cell>
          <cell r="K10">
            <v>-27389113.597551163</v>
          </cell>
          <cell r="L10">
            <v>-1443640.3053375594</v>
          </cell>
        </row>
        <row r="11">
          <cell r="C11">
            <v>-19566173.054746602</v>
          </cell>
          <cell r="G11">
            <v>-18151193.412009735</v>
          </cell>
          <cell r="H11">
            <v>1414979.6427368671</v>
          </cell>
          <cell r="K11">
            <v>-20793054.748804342</v>
          </cell>
          <cell r="L11">
            <v>-1226881.6940577403</v>
          </cell>
        </row>
        <row r="12">
          <cell r="C12">
            <v>-14832787.177479714</v>
          </cell>
          <cell r="G12">
            <v>-13625810.790094564</v>
          </cell>
          <cell r="H12">
            <v>1206976.3873851504</v>
          </cell>
          <cell r="K12">
            <v>-15858814.305710817</v>
          </cell>
          <cell r="L12">
            <v>-1026027.1282311026</v>
          </cell>
        </row>
        <row r="13">
          <cell r="C13">
            <v>-10836885.856788365</v>
          </cell>
          <cell r="G13">
            <v>-9868215.3339999672</v>
          </cell>
          <cell r="H13">
            <v>968670.52278839797</v>
          </cell>
          <cell r="K13">
            <v>-11642085.745826315</v>
          </cell>
          <cell r="L13">
            <v>-805199.88903794996</v>
          </cell>
        </row>
        <row r="14">
          <cell r="C14">
            <v>-7675061.1778482636</v>
          </cell>
          <cell r="G14">
            <v>-6934381.4287367165</v>
          </cell>
          <cell r="H14">
            <v>740679.74911154713</v>
          </cell>
          <cell r="K14">
            <v>-8283047.532564274</v>
          </cell>
          <cell r="L14">
            <v>-607986.35471601039</v>
          </cell>
        </row>
        <row r="15">
          <cell r="C15">
            <v>-5626807.200610104</v>
          </cell>
          <cell r="G15">
            <v>-5050393.9258765187</v>
          </cell>
          <cell r="H15">
            <v>576413.27473358531</v>
          </cell>
          <cell r="K15">
            <v>-6108895.4156416478</v>
          </cell>
          <cell r="L15">
            <v>-482088.21503154375</v>
          </cell>
        </row>
        <row r="16">
          <cell r="C16">
            <v>-4623405.8949269466</v>
          </cell>
          <cell r="G16">
            <v>-4127413.7514836839</v>
          </cell>
          <cell r="H16">
            <v>495992.14344326267</v>
          </cell>
          <cell r="K16">
            <v>-5053313.4857135313</v>
          </cell>
          <cell r="L16">
            <v>-429907.59078658465</v>
          </cell>
        </row>
        <row r="17">
          <cell r="C17">
            <v>-3975814.3654418425</v>
          </cell>
          <cell r="G17">
            <v>-3522108.7304894426</v>
          </cell>
          <cell r="H17">
            <v>453705.63495239988</v>
          </cell>
          <cell r="K17">
            <v>-4372600.5258269589</v>
          </cell>
          <cell r="L17">
            <v>-396786.16038511647</v>
          </cell>
        </row>
        <row r="18">
          <cell r="C18">
            <v>-3539653.1510617007</v>
          </cell>
          <cell r="G18">
            <v>-3106227.2411976461</v>
          </cell>
          <cell r="H18">
            <v>433425.90986405453</v>
          </cell>
          <cell r="K18">
            <v>-3922388.9708698583</v>
          </cell>
          <cell r="L18">
            <v>-382735.81980815763</v>
          </cell>
        </row>
        <row r="19">
          <cell r="C19">
            <v>-3142661.4577990873</v>
          </cell>
          <cell r="G19">
            <v>-2731424.5987582011</v>
          </cell>
          <cell r="H19">
            <v>411236.85904088616</v>
          </cell>
          <cell r="K19">
            <v>-3507256.8434080076</v>
          </cell>
          <cell r="L19">
            <v>-364595.38560892036</v>
          </cell>
        </row>
        <row r="20">
          <cell r="C20">
            <v>-2639792.7478424744</v>
          </cell>
          <cell r="G20">
            <v>-2272369.487119019</v>
          </cell>
          <cell r="H20">
            <v>367423.26072345534</v>
          </cell>
          <cell r="K20">
            <v>-2972876.8605738343</v>
          </cell>
          <cell r="L20">
            <v>-333084.1127313599</v>
          </cell>
        </row>
        <row r="21">
          <cell r="C21">
            <v>-2216430.7061034562</v>
          </cell>
          <cell r="G21">
            <v>-1889639.4698892043</v>
          </cell>
          <cell r="H21">
            <v>326791.23621425196</v>
          </cell>
          <cell r="K21">
            <v>-2524056.0925573134</v>
          </cell>
          <cell r="L21">
            <v>-307625.38645385718</v>
          </cell>
        </row>
        <row r="22">
          <cell r="C22">
            <v>-1872397.5720848548</v>
          </cell>
          <cell r="G22">
            <v>-1581018.0366238968</v>
          </cell>
          <cell r="H22">
            <v>291379.53546095802</v>
          </cell>
          <cell r="K22">
            <v>-2151285.066621332</v>
          </cell>
          <cell r="L22">
            <v>-278887.49453647714</v>
          </cell>
        </row>
        <row r="23">
          <cell r="C23">
            <v>-1621175.0147249259</v>
          </cell>
          <cell r="G23">
            <v>-1355756.1985959699</v>
          </cell>
          <cell r="H23">
            <v>265418.81612895592</v>
          </cell>
          <cell r="K23">
            <v>-1884166.8634965257</v>
          </cell>
          <cell r="L23">
            <v>-262991.84877159982</v>
          </cell>
        </row>
        <row r="24">
          <cell r="C24">
            <v>-1398981.2744736844</v>
          </cell>
          <cell r="G24">
            <v>-1158713.5758670804</v>
          </cell>
          <cell r="H24">
            <v>240267.69860660401</v>
          </cell>
          <cell r="K24">
            <v>-1645038.6446199329</v>
          </cell>
          <cell r="L24">
            <v>-246057.37014624849</v>
          </cell>
        </row>
        <row r="25">
          <cell r="C25">
            <v>-1150755.0559263844</v>
          </cell>
          <cell r="G25">
            <v>-943973.28871149279</v>
          </cell>
          <cell r="H25">
            <v>206781.76721489162</v>
          </cell>
          <cell r="K25">
            <v>-1364956.7318799281</v>
          </cell>
          <cell r="L25">
            <v>-214201.67595354374</v>
          </cell>
        </row>
        <row r="26">
          <cell r="C26">
            <v>-937129.37094915891</v>
          </cell>
          <cell r="G26">
            <v>-761358.45379519649</v>
          </cell>
          <cell r="H26">
            <v>175770.91715396242</v>
          </cell>
          <cell r="K26">
            <v>-1120720.7389105328</v>
          </cell>
          <cell r="L26">
            <v>-183591.36796137388</v>
          </cell>
        </row>
        <row r="27">
          <cell r="C27">
            <v>-765043.86036037572</v>
          </cell>
          <cell r="G27">
            <v>-615586.14973810583</v>
          </cell>
          <cell r="H27">
            <v>149457.71062226989</v>
          </cell>
          <cell r="K27">
            <v>-922449.93145836738</v>
          </cell>
          <cell r="L27">
            <v>-157406.07109799166</v>
          </cell>
        </row>
        <row r="28">
          <cell r="C28">
            <v>-641915.21915263077</v>
          </cell>
          <cell r="G28">
            <v>-511555.79353684129</v>
          </cell>
          <cell r="H28">
            <v>130359.42561578949</v>
          </cell>
          <cell r="K28">
            <v>-780346.62703398091</v>
          </cell>
          <cell r="L28">
            <v>-138431.40788135014</v>
          </cell>
        </row>
        <row r="29">
          <cell r="C29">
            <v>-521835.36305447086</v>
          </cell>
          <cell r="G29">
            <v>-411871.98059126624</v>
          </cell>
          <cell r="H29">
            <v>109963.38246320462</v>
          </cell>
          <cell r="K29">
            <v>-639499.92005826614</v>
          </cell>
          <cell r="L29">
            <v>-117664.55700379529</v>
          </cell>
        </row>
        <row r="30">
          <cell r="C30">
            <v>-376316.31642071391</v>
          </cell>
          <cell r="G30">
            <v>-294167.86341576831</v>
          </cell>
          <cell r="H30">
            <v>82148.453004945593</v>
          </cell>
          <cell r="K30">
            <v>-464829.86600768182</v>
          </cell>
          <cell r="L30">
            <v>-88513.549586967914</v>
          </cell>
        </row>
        <row r="31">
          <cell r="C31">
            <v>-255917.50014957995</v>
          </cell>
          <cell r="G31">
            <v>-198132.66114919694</v>
          </cell>
          <cell r="H31">
            <v>57784.839000383014</v>
          </cell>
          <cell r="K31">
            <v>-318612.37635646673</v>
          </cell>
          <cell r="L31">
            <v>-62694.87620688678</v>
          </cell>
        </row>
        <row r="32">
          <cell r="C32">
            <v>-168934.484513945</v>
          </cell>
          <cell r="G32">
            <v>-129535.31854446507</v>
          </cell>
          <cell r="H32">
            <v>39399.165969479931</v>
          </cell>
          <cell r="K32">
            <v>-211977.2489393334</v>
          </cell>
          <cell r="L32">
            <v>-43042.764425388392</v>
          </cell>
        </row>
        <row r="33">
          <cell r="C33">
            <v>-154679.82452527745</v>
          </cell>
          <cell r="G33">
            <v>-117467.26557368922</v>
          </cell>
          <cell r="H33">
            <v>37212.558951588231</v>
          </cell>
          <cell r="K33">
            <v>-195587.19940917808</v>
          </cell>
          <cell r="L33">
            <v>-40907.374883900629</v>
          </cell>
        </row>
        <row r="34">
          <cell r="C34">
            <v>-155064.56846682745</v>
          </cell>
          <cell r="G34">
            <v>-116629.75072668093</v>
          </cell>
          <cell r="H34">
            <v>38434.817740146522</v>
          </cell>
          <cell r="K34">
            <v>-197606.36696283802</v>
          </cell>
          <cell r="L34">
            <v>-42541.798496010568</v>
          </cell>
        </row>
        <row r="35">
          <cell r="C35">
            <v>-78059.745419591709</v>
          </cell>
          <cell r="G35">
            <v>-58148.437999798596</v>
          </cell>
          <cell r="H35">
            <v>19911.307419793113</v>
          </cell>
          <cell r="K35">
            <v>-100249.74553125132</v>
          </cell>
          <cell r="L35">
            <v>-22190.00011165961</v>
          </cell>
        </row>
        <row r="36">
          <cell r="C36">
            <v>-37850.434239974391</v>
          </cell>
          <cell r="G36">
            <v>-27925.151978679965</v>
          </cell>
          <cell r="H36">
            <v>9925.2822612944256</v>
          </cell>
          <cell r="K36">
            <v>-48972.090931451385</v>
          </cell>
          <cell r="L36">
            <v>-11121.656691476994</v>
          </cell>
        </row>
        <row r="37">
          <cell r="C37">
            <v>-22534.283683442958</v>
          </cell>
          <cell r="G37">
            <v>-16465.819545724571</v>
          </cell>
          <cell r="H37">
            <v>6068.4641377183871</v>
          </cell>
          <cell r="K37">
            <v>-29371.187510941803</v>
          </cell>
          <cell r="L37">
            <v>-6836.9038274988452</v>
          </cell>
        </row>
        <row r="38">
          <cell r="C38">
            <v>-15668.587990447755</v>
          </cell>
          <cell r="G38">
            <v>-11339.221110946217</v>
          </cell>
          <cell r="H38">
            <v>4329.3668795015383</v>
          </cell>
          <cell r="K38">
            <v>-20575.869910862362</v>
          </cell>
          <cell r="L38">
            <v>-4907.2819204146072</v>
          </cell>
        </row>
        <row r="39">
          <cell r="C39">
            <v>-9940.0608458968691</v>
          </cell>
          <cell r="G39">
            <v>-7124.5420629783321</v>
          </cell>
          <cell r="H39">
            <v>2815.518782918537</v>
          </cell>
          <cell r="K39">
            <v>-13148.524485729484</v>
          </cell>
          <cell r="L39">
            <v>-3208.4636398326147</v>
          </cell>
        </row>
        <row r="40">
          <cell r="C40">
            <v>-4331.5881960926035</v>
          </cell>
          <cell r="G40">
            <v>-3074.8885241507191</v>
          </cell>
          <cell r="H40">
            <v>1256.6996719418844</v>
          </cell>
          <cell r="K40">
            <v>-5771.3050632379191</v>
          </cell>
          <cell r="L40">
            <v>-1439.7168671453155</v>
          </cell>
        </row>
        <row r="41">
          <cell r="C41">
            <v>-1304.907411580059</v>
          </cell>
          <cell r="G41">
            <v>-917.43701977336775</v>
          </cell>
          <cell r="H41">
            <v>387.47039180669128</v>
          </cell>
          <cell r="K41">
            <v>-1751.1526955945819</v>
          </cell>
          <cell r="L41">
            <v>-446.24528401452289</v>
          </cell>
        </row>
        <row r="42">
          <cell r="C42">
            <v>-315.72154580638608</v>
          </cell>
          <cell r="G42">
            <v>-219.84446494661546</v>
          </cell>
          <cell r="H42">
            <v>95.877080859770615</v>
          </cell>
          <cell r="K42">
            <v>-426.72161871599724</v>
          </cell>
          <cell r="L42">
            <v>-111.00007290961116</v>
          </cell>
        </row>
        <row r="43">
          <cell r="C43">
            <v>56.764234602749553</v>
          </cell>
          <cell r="G43">
            <v>39.147249904811019</v>
          </cell>
          <cell r="H43">
            <v>-17.616984697938534</v>
          </cell>
          <cell r="K43">
            <v>77.266221217485821</v>
          </cell>
          <cell r="L43">
            <v>20.501986614736268</v>
          </cell>
        </row>
        <row r="44">
          <cell r="C44">
            <v>307.68339627316311</v>
          </cell>
          <cell r="G44">
            <v>210.15750077030916</v>
          </cell>
          <cell r="H44">
            <v>-97.525895502853956</v>
          </cell>
          <cell r="K44">
            <v>421.68586955590206</v>
          </cell>
          <cell r="L44">
            <v>114.00247328273895</v>
          </cell>
        </row>
        <row r="45">
          <cell r="C45">
            <v>-15820.132099968108</v>
          </cell>
          <cell r="G45">
            <v>-10702.037148008398</v>
          </cell>
          <cell r="H45">
            <v>5118.0949519597107</v>
          </cell>
          <cell r="K45">
            <v>-21829.254738893957</v>
          </cell>
          <cell r="L45">
            <v>-6009.1226389258482</v>
          </cell>
        </row>
        <row r="46">
          <cell r="C46">
            <v>-5912.5716816392505</v>
          </cell>
          <cell r="G46">
            <v>-3961.3921602396381</v>
          </cell>
          <cell r="H46">
            <v>1951.1795213996124</v>
          </cell>
          <cell r="K46">
            <v>-8213.4173992381329</v>
          </cell>
          <cell r="L46">
            <v>-2300.8457175988824</v>
          </cell>
        </row>
        <row r="47">
          <cell r="C47">
            <v>-2335.755221963936</v>
          </cell>
          <cell r="G47">
            <v>-1549.9358373878717</v>
          </cell>
          <cell r="H47">
            <v>785.81938457606429</v>
          </cell>
          <cell r="K47">
            <v>-3266.3911407898959</v>
          </cell>
          <cell r="L47">
            <v>-930.63591882595983</v>
          </cell>
        </row>
        <row r="48">
          <cell r="C48">
            <v>-1126.3820286560101</v>
          </cell>
          <cell r="G48">
            <v>-740.26306748136778</v>
          </cell>
          <cell r="H48">
            <v>386.11896117464232</v>
          </cell>
          <cell r="K48">
            <v>-1585.6060866682662</v>
          </cell>
          <cell r="L48">
            <v>-459.22405801225614</v>
          </cell>
        </row>
        <row r="49">
          <cell r="C49">
            <v>-591.52407606798704</v>
          </cell>
          <cell r="G49">
            <v>-385.0241073394721</v>
          </cell>
          <cell r="H49">
            <v>206.49996872851494</v>
          </cell>
          <cell r="K49">
            <v>-838.1553134453851</v>
          </cell>
          <cell r="L49">
            <v>-246.63123737739807</v>
          </cell>
        </row>
        <row r="50">
          <cell r="C50">
            <v>-299.62723215267323</v>
          </cell>
          <cell r="G50">
            <v>-193.15799157929237</v>
          </cell>
          <cell r="H50">
            <v>106.46924057338086</v>
          </cell>
          <cell r="K50">
            <v>-427.31658077606306</v>
          </cell>
          <cell r="L50">
            <v>-127.68934862338983</v>
          </cell>
        </row>
        <row r="51">
          <cell r="C51">
            <v>-128.34554022385311</v>
          </cell>
          <cell r="G51">
            <v>-81.945856442172541</v>
          </cell>
          <cell r="H51">
            <v>46.399683781680565</v>
          </cell>
          <cell r="K51">
            <v>-184.22180776488091</v>
          </cell>
          <cell r="L51">
            <v>-55.876267541027801</v>
          </cell>
        </row>
        <row r="52">
          <cell r="C52">
            <v>-35.26247583067633</v>
          </cell>
          <cell r="G52">
            <v>-22.298395024851803</v>
          </cell>
          <cell r="H52">
            <v>12.964080805824526</v>
          </cell>
          <cell r="K52">
            <v>-50.937742240474236</v>
          </cell>
          <cell r="L52">
            <v>-15.675266409797906</v>
          </cell>
        </row>
        <row r="53">
          <cell r="C53">
            <v>-1.0435975854169437</v>
          </cell>
          <cell r="G53">
            <v>-0.653597173382228</v>
          </cell>
          <cell r="H53">
            <v>0.39000041203471569</v>
          </cell>
          <cell r="K53">
            <v>-1.5170499148472283</v>
          </cell>
          <cell r="L53">
            <v>-0.47345232943028459</v>
          </cell>
        </row>
        <row r="54">
          <cell r="C54">
            <v>2.1011999572347257E-3</v>
          </cell>
          <cell r="G54">
            <v>1.3033471288050719E-3</v>
          </cell>
          <cell r="H54">
            <v>-7.9785282842965381E-4</v>
          </cell>
          <cell r="K54">
            <v>3.0728716091274469E-3</v>
          </cell>
          <cell r="L54">
            <v>9.7167165189272113E-4</v>
          </cell>
        </row>
      </sheetData>
      <sheetData sheetId="2">
        <row r="3">
          <cell r="D3">
            <v>-794932911.14205205</v>
          </cell>
          <cell r="G3">
            <v>-770579148.96571839</v>
          </cell>
          <cell r="J3">
            <v>-755502885.10078681</v>
          </cell>
          <cell r="M3">
            <v>-785328298.58145332</v>
          </cell>
        </row>
        <row r="4">
          <cell r="D4">
            <v>-93053263.010376245</v>
          </cell>
          <cell r="G4">
            <v>-78856380.559076548</v>
          </cell>
          <cell r="J4">
            <v>-72887616.351630867</v>
          </cell>
          <cell r="M4">
            <v>-83966115.930456907</v>
          </cell>
        </row>
        <row r="5">
          <cell r="D5">
            <v>-44995417.320736989</v>
          </cell>
          <cell r="G5">
            <v>-30657119.38506908</v>
          </cell>
          <cell r="J5">
            <v>-26795065.01590066</v>
          </cell>
          <cell r="M5">
            <v>-34141878.769328944</v>
          </cell>
        </row>
        <row r="6">
          <cell r="D6">
            <v>-10161991.157087296</v>
          </cell>
          <cell r="G6">
            <v>-5127591.5635193642</v>
          </cell>
          <cell r="J6">
            <v>-4100278.5257827034</v>
          </cell>
          <cell r="M6">
            <v>-6216587.007016574</v>
          </cell>
        </row>
        <row r="7">
          <cell r="D7">
            <v>-532324.03886970493</v>
          </cell>
          <cell r="G7">
            <v>-195891.52355484478</v>
          </cell>
          <cell r="J7">
            <v>-142602.74481365259</v>
          </cell>
          <cell r="M7">
            <v>-256164.46044387179</v>
          </cell>
        </row>
      </sheetData>
      <sheetData sheetId="3">
        <row r="3">
          <cell r="D3">
            <v>15076263.864931643</v>
          </cell>
          <cell r="G3">
            <v>-14749149.615734987</v>
          </cell>
          <cell r="J3">
            <v>-112817.5662980809</v>
          </cell>
        </row>
        <row r="4">
          <cell r="D4">
            <v>5968764.207445682</v>
          </cell>
          <cell r="G4">
            <v>-5109735.3713803627</v>
          </cell>
          <cell r="J4">
            <v>-53415.796243479504</v>
          </cell>
        </row>
        <row r="5">
          <cell r="D5">
            <v>3862054.3691684138</v>
          </cell>
          <cell r="G5">
            <v>-3484759.3842598656</v>
          </cell>
          <cell r="J5">
            <v>-41173.984182876171</v>
          </cell>
        </row>
        <row r="6">
          <cell r="D6">
            <v>1027313.0377366614</v>
          </cell>
          <cell r="G6">
            <v>-1088995.4434972091</v>
          </cell>
          <cell r="J6">
            <v>-11545.94855887013</v>
          </cell>
        </row>
        <row r="7">
          <cell r="D7">
            <v>53288.778741192189</v>
          </cell>
          <cell r="G7">
            <v>-60272.936889026983</v>
          </cell>
          <cell r="J7">
            <v>-626.54442803690881</v>
          </cell>
        </row>
      </sheetData>
      <sheetData sheetId="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Marzo26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-389173850.35002708</v>
          </cell>
        </row>
        <row r="6">
          <cell r="L6">
            <v>-286865944.48536301</v>
          </cell>
        </row>
        <row r="7">
          <cell r="L7">
            <v>-118535041.07855648</v>
          </cell>
        </row>
        <row r="8">
          <cell r="L8">
            <v>-62281675.693349212</v>
          </cell>
        </row>
        <row r="9">
          <cell r="L9">
            <v>-41581594.33412493</v>
          </cell>
        </row>
        <row r="10">
          <cell r="L10">
            <v>-31309013.60312615</v>
          </cell>
        </row>
        <row r="11">
          <cell r="L11">
            <v>-24378249.677626185</v>
          </cell>
        </row>
        <row r="12">
          <cell r="L12">
            <v>-19010843.511840597</v>
          </cell>
        </row>
        <row r="13">
          <cell r="L13">
            <v>-14326490.83992663</v>
          </cell>
        </row>
        <row r="14">
          <cell r="L14">
            <v>-10491449.34740244</v>
          </cell>
        </row>
        <row r="15">
          <cell r="L15">
            <v>-7939633.4522723453</v>
          </cell>
        </row>
        <row r="16">
          <cell r="L16">
            <v>-6533184.7615859499</v>
          </cell>
        </row>
        <row r="17">
          <cell r="L17">
            <v>-5825868.9430210013</v>
          </cell>
        </row>
        <row r="18">
          <cell r="L18">
            <v>-5364040.335493519</v>
          </cell>
        </row>
        <row r="19">
          <cell r="L19">
            <v>-4874838.2778374683</v>
          </cell>
        </row>
        <row r="20">
          <cell r="L20">
            <v>-4227955.3340803543</v>
          </cell>
        </row>
        <row r="21">
          <cell r="L21">
            <v>-3670071.9562838329</v>
          </cell>
        </row>
        <row r="22">
          <cell r="L22">
            <v>-3221336.9662346188</v>
          </cell>
        </row>
        <row r="23">
          <cell r="L23">
            <v>-2885934.7178470627</v>
          </cell>
        </row>
        <row r="24">
          <cell r="L24">
            <v>-2555942.8462349479</v>
          </cell>
        </row>
        <row r="25">
          <cell r="L25">
            <v>-2167180.4482887955</v>
          </cell>
        </row>
        <row r="26">
          <cell r="L26">
            <v>-1824713.8939708841</v>
          </cell>
        </row>
        <row r="27">
          <cell r="L27">
            <v>-1547819.9933533317</v>
          </cell>
        </row>
        <row r="28">
          <cell r="L28">
            <v>-1343074.0699189412</v>
          </cell>
        </row>
        <row r="29">
          <cell r="L29">
            <v>-1113912.745580011</v>
          </cell>
        </row>
        <row r="30">
          <cell r="L30">
            <v>-829749.07087330893</v>
          </cell>
        </row>
        <row r="31">
          <cell r="L31">
            <v>-581114.77473264316</v>
          </cell>
        </row>
        <row r="32">
          <cell r="L32">
            <v>-424529.50696712959</v>
          </cell>
        </row>
        <row r="33">
          <cell r="L33">
            <v>-424862.6886849294</v>
          </cell>
        </row>
        <row r="34">
          <cell r="L34">
            <v>-416715.17227250198</v>
          </cell>
        </row>
        <row r="35">
          <cell r="L35">
            <v>-224376.5980518554</v>
          </cell>
        </row>
        <row r="36">
          <cell r="L36">
            <v>-122417.63956019568</v>
          </cell>
        </row>
        <row r="37">
          <cell r="L37">
            <v>-83022.882127719728</v>
          </cell>
        </row>
        <row r="38">
          <cell r="L38">
            <v>-61845.152233089</v>
          </cell>
        </row>
        <row r="39">
          <cell r="L39">
            <v>-43023.245602240473</v>
          </cell>
        </row>
        <row r="40">
          <cell r="L40">
            <v>-25997.12004946579</v>
          </cell>
        </row>
        <row r="41">
          <cell r="L41">
            <v>-16199.233573095367</v>
          </cell>
        </row>
        <row r="42">
          <cell r="L42">
            <v>-13384.992702418429</v>
          </cell>
        </row>
        <row r="43">
          <cell r="L43">
            <v>-8852.3678865118527</v>
          </cell>
        </row>
        <row r="44">
          <cell r="L44">
            <v>-6519.5958247544877</v>
          </cell>
        </row>
        <row r="45">
          <cell r="L45">
            <v>-78217.929360555048</v>
          </cell>
        </row>
        <row r="46">
          <cell r="L46">
            <v>-37461.424827871677</v>
          </cell>
        </row>
        <row r="47">
          <cell r="L47">
            <v>-14616.078066385006</v>
          </cell>
        </row>
        <row r="48">
          <cell r="L48">
            <v>-6242.9182806587141</v>
          </cell>
        </row>
        <row r="49">
          <cell r="L49">
            <v>-3118.6215831068066</v>
          </cell>
        </row>
        <row r="50">
          <cell r="L50">
            <v>-1627.9835618553084</v>
          </cell>
        </row>
        <row r="51">
          <cell r="L51">
            <v>-783.82853921882997</v>
          </cell>
        </row>
        <row r="52">
          <cell r="L52">
            <v>-298.27026528754777</v>
          </cell>
        </row>
        <row r="53">
          <cell r="L53">
            <v>-62.287026525971783</v>
          </cell>
        </row>
        <row r="54">
          <cell r="L54">
            <v>9.7051567221127198E-3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2.4086365353934549</v>
          </cell>
          <cell r="P4">
            <v>-230971.5185437015</v>
          </cell>
        </row>
        <row r="5">
          <cell r="C5">
            <v>-384229859.06355286</v>
          </cell>
          <cell r="D5">
            <v>-18967.433765554313</v>
          </cell>
          <cell r="G5">
            <v>-380915756.54376405</v>
          </cell>
          <cell r="H5">
            <v>3314102.5197888017</v>
          </cell>
          <cell r="J5">
            <v>0.5</v>
          </cell>
          <cell r="K5">
            <v>-387913361.98204523</v>
          </cell>
          <cell r="L5">
            <v>-3683502.9184923768</v>
          </cell>
        </row>
        <row r="6">
          <cell r="C6">
            <v>-275784334.12786663</v>
          </cell>
          <cell r="D6">
            <v>-40560.766265686732</v>
          </cell>
          <cell r="G6">
            <v>-268473247.3060897</v>
          </cell>
          <cell r="H6">
            <v>7311086.8217769265</v>
          </cell>
          <cell r="J6">
            <v>1.5</v>
          </cell>
          <cell r="K6">
            <v>-283266673.36100596</v>
          </cell>
          <cell r="L6">
            <v>-7482339.2331393361</v>
          </cell>
        </row>
        <row r="7">
          <cell r="C7">
            <v>-110835788.91125928</v>
          </cell>
          <cell r="D7">
            <v>-27095.538062454445</v>
          </cell>
          <cell r="G7">
            <v>-106114242.19333605</v>
          </cell>
          <cell r="H7">
            <v>4721546.717923224</v>
          </cell>
          <cell r="J7">
            <v>2.5</v>
          </cell>
          <cell r="K7">
            <v>-115334728.8976752</v>
          </cell>
          <cell r="L7">
            <v>-4498939.9864159226</v>
          </cell>
        </row>
        <row r="8">
          <cell r="C8">
            <v>-56638860.171294563</v>
          </cell>
          <cell r="G8">
            <v>-53513019.473711036</v>
          </cell>
          <cell r="H8">
            <v>3125840.6975835264</v>
          </cell>
          <cell r="K8">
            <v>-59518590.41446054</v>
          </cell>
          <cell r="L8">
            <v>-2879730.2431659773</v>
          </cell>
        </row>
        <row r="9">
          <cell r="C9">
            <v>-36770700.976593815</v>
          </cell>
          <cell r="G9">
            <v>-34342842.064194322</v>
          </cell>
          <cell r="H9">
            <v>2427858.9123994932</v>
          </cell>
          <cell r="K9">
            <v>-38978092.470859669</v>
          </cell>
          <cell r="L9">
            <v>-2207391.4942658544</v>
          </cell>
        </row>
        <row r="10">
          <cell r="C10">
            <v>-26897902.109670643</v>
          </cell>
          <cell r="G10">
            <v>-24846968.354797442</v>
          </cell>
          <cell r="H10">
            <v>2050933.7548732013</v>
          </cell>
          <cell r="K10">
            <v>-28733134.160865925</v>
          </cell>
          <cell r="L10">
            <v>-1835232.0511952825</v>
          </cell>
        </row>
        <row r="11">
          <cell r="C11">
            <v>-20326111.944867536</v>
          </cell>
          <cell r="G11">
            <v>-18583294.029402863</v>
          </cell>
          <cell r="H11">
            <v>1742817.9154646732</v>
          </cell>
          <cell r="K11">
            <v>-21860740.165263284</v>
          </cell>
          <cell r="L11">
            <v>-1534628.2203957476</v>
          </cell>
        </row>
        <row r="12">
          <cell r="C12">
            <v>-15368219.503612306</v>
          </cell>
          <cell r="G12">
            <v>-13908726.859329131</v>
          </cell>
          <cell r="H12">
            <v>1459492.6442831755</v>
          </cell>
          <cell r="K12">
            <v>-16628694.321087535</v>
          </cell>
          <cell r="L12">
            <v>-1260474.8174752295</v>
          </cell>
        </row>
        <row r="13">
          <cell r="C13">
            <v>-11218628.881615886</v>
          </cell>
          <cell r="G13">
            <v>-10062623.058427092</v>
          </cell>
          <cell r="H13">
            <v>1156005.8231887948</v>
          </cell>
          <cell r="K13">
            <v>-12193509.781696605</v>
          </cell>
          <cell r="L13">
            <v>-974880.9000807181</v>
          </cell>
        </row>
        <row r="14">
          <cell r="C14">
            <v>-7952069.9735928345</v>
          </cell>
          <cell r="G14">
            <v>-7077174.352336783</v>
          </cell>
          <cell r="H14">
            <v>874895.62125605159</v>
          </cell>
          <cell r="K14">
            <v>-8680370.9096036814</v>
          </cell>
          <cell r="L14">
            <v>-728300.93601084687</v>
          </cell>
        </row>
        <row r="15">
          <cell r="C15">
            <v>-5820827.0544764819</v>
          </cell>
          <cell r="G15">
            <v>-5147573.8194949152</v>
          </cell>
          <cell r="H15">
            <v>673253.23498156667</v>
          </cell>
          <cell r="K15">
            <v>-6391936.111607085</v>
          </cell>
          <cell r="L15">
            <v>-571109.05713060312</v>
          </cell>
        </row>
        <row r="16">
          <cell r="C16">
            <v>-4629736.8527554013</v>
          </cell>
          <cell r="G16">
            <v>-4073403.550921327</v>
          </cell>
          <cell r="H16">
            <v>556333.30183407431</v>
          </cell>
          <cell r="K16">
            <v>-5118672.8363282243</v>
          </cell>
          <cell r="L16">
            <v>-488935.983572823</v>
          </cell>
        </row>
        <row r="17">
          <cell r="C17">
            <v>-3989276.1712525031</v>
          </cell>
          <cell r="G17">
            <v>-3490980.4163194615</v>
          </cell>
          <cell r="H17">
            <v>498295.75493304152</v>
          </cell>
          <cell r="K17">
            <v>-4438242.3660677616</v>
          </cell>
          <cell r="L17">
            <v>-448966.1948152585</v>
          </cell>
        </row>
        <row r="18">
          <cell r="C18">
            <v>-3548064.0165716219</v>
          </cell>
          <cell r="G18">
            <v>-3085658.2244309383</v>
          </cell>
          <cell r="H18">
            <v>462405.79214068362</v>
          </cell>
          <cell r="K18">
            <v>-3978115.2732147388</v>
          </cell>
          <cell r="L18">
            <v>-430051.25664311694</v>
          </cell>
        </row>
        <row r="19">
          <cell r="C19">
            <v>-3116340.0280715292</v>
          </cell>
          <cell r="G19">
            <v>-2690978.3684497322</v>
          </cell>
          <cell r="H19">
            <v>425361.65962179704</v>
          </cell>
          <cell r="K19">
            <v>-3519292.4391446123</v>
          </cell>
          <cell r="L19">
            <v>-402952.41107308306</v>
          </cell>
        </row>
        <row r="20">
          <cell r="C20">
            <v>-2615778.0795694534</v>
          </cell>
          <cell r="G20">
            <v>-2246531.3888878343</v>
          </cell>
          <cell r="H20">
            <v>369246.6906816191</v>
          </cell>
          <cell r="K20">
            <v>-2980720.3507879213</v>
          </cell>
          <cell r="L20">
            <v>-364942.27121846797</v>
          </cell>
        </row>
        <row r="21">
          <cell r="C21">
            <v>-2199425.9339135103</v>
          </cell>
          <cell r="G21">
            <v>-1875916.0091814988</v>
          </cell>
          <cell r="H21">
            <v>323509.92473201151</v>
          </cell>
          <cell r="K21">
            <v>-2534278.7145700115</v>
          </cell>
          <cell r="L21">
            <v>-334852.78065650119</v>
          </cell>
        </row>
        <row r="22">
          <cell r="C22">
            <v>-1871036.3276450695</v>
          </cell>
          <cell r="G22">
            <v>-1580508.6987805413</v>
          </cell>
          <cell r="H22">
            <v>290527.62886452815</v>
          </cell>
          <cell r="K22">
            <v>-2174676.881791539</v>
          </cell>
          <cell r="L22">
            <v>-303640.55414646957</v>
          </cell>
        </row>
        <row r="23">
          <cell r="C23">
            <v>-1625121.6292201292</v>
          </cell>
          <cell r="G23">
            <v>-1359596.6687110304</v>
          </cell>
          <cell r="H23">
            <v>265524.96050909883</v>
          </cell>
          <cell r="K23">
            <v>-1910606.0315359896</v>
          </cell>
          <cell r="L23">
            <v>-285484.40231586038</v>
          </cell>
        </row>
        <row r="24">
          <cell r="C24">
            <v>-1395560.188490737</v>
          </cell>
          <cell r="G24">
            <v>-1156330.7764057941</v>
          </cell>
          <cell r="H24">
            <v>239229.41208494292</v>
          </cell>
          <cell r="K24">
            <v>-1659954.5693479157</v>
          </cell>
          <cell r="L24">
            <v>-264394.38085717871</v>
          </cell>
        </row>
        <row r="25">
          <cell r="C25">
            <v>-1147358.1222297451</v>
          </cell>
          <cell r="G25">
            <v>-941546.38088075258</v>
          </cell>
          <cell r="H25">
            <v>205811.74134899257</v>
          </cell>
          <cell r="K25">
            <v>-1376373.4519840747</v>
          </cell>
          <cell r="L25">
            <v>-229015.32975432952</v>
          </cell>
        </row>
        <row r="26">
          <cell r="C26">
            <v>-936728.22798927606</v>
          </cell>
          <cell r="G26">
            <v>-761316.88462090294</v>
          </cell>
          <cell r="H26">
            <v>175411.34336837311</v>
          </cell>
          <cell r="K26">
            <v>-1132653.9713799609</v>
          </cell>
          <cell r="L26">
            <v>-195925.74339068483</v>
          </cell>
        </row>
        <row r="27">
          <cell r="C27">
            <v>-770313.0849758361</v>
          </cell>
          <cell r="G27">
            <v>-620054.06090447283</v>
          </cell>
          <cell r="H27">
            <v>150259.02407136327</v>
          </cell>
          <cell r="K27">
            <v>-938873.87504651072</v>
          </cell>
          <cell r="L27">
            <v>-168560.79007067461</v>
          </cell>
        </row>
        <row r="28">
          <cell r="C28">
            <v>-647927.34716249455</v>
          </cell>
          <cell r="G28">
            <v>-516533.88948936592</v>
          </cell>
          <cell r="H28">
            <v>131393.45767312864</v>
          </cell>
          <cell r="K28">
            <v>-796044.10715606587</v>
          </cell>
          <cell r="L28">
            <v>-148116.75999357132</v>
          </cell>
        </row>
        <row r="29">
          <cell r="C29">
            <v>-520897.49400409742</v>
          </cell>
          <cell r="G29">
            <v>-411278.04384073283</v>
          </cell>
          <cell r="H29">
            <v>109619.45016336459</v>
          </cell>
          <cell r="K29">
            <v>-644988.95129909448</v>
          </cell>
          <cell r="L29">
            <v>-124091.45729499706</v>
          </cell>
        </row>
        <row r="30">
          <cell r="C30">
            <v>-376066.82769809855</v>
          </cell>
          <cell r="G30">
            <v>-294075.84440930776</v>
          </cell>
          <cell r="H30">
            <v>81990.983288790798</v>
          </cell>
          <cell r="K30">
            <v>-469266.93226437533</v>
          </cell>
          <cell r="L30">
            <v>-93200.104566276772</v>
          </cell>
        </row>
        <row r="31">
          <cell r="C31">
            <v>-255230.73046098024</v>
          </cell>
          <cell r="G31">
            <v>-197669.31065976809</v>
          </cell>
          <cell r="H31">
            <v>57561.419801212149</v>
          </cell>
          <cell r="K31">
            <v>-320970.21112041362</v>
          </cell>
          <cell r="L31">
            <v>-65739.480659433379</v>
          </cell>
        </row>
        <row r="32">
          <cell r="C32">
            <v>-180683.89500333491</v>
          </cell>
          <cell r="G32">
            <v>-138591.7159227271</v>
          </cell>
          <cell r="H32">
            <v>42092.179080607806</v>
          </cell>
          <cell r="K32">
            <v>-228980.17673683228</v>
          </cell>
          <cell r="L32">
            <v>-48296.281733497366</v>
          </cell>
        </row>
        <row r="33">
          <cell r="C33">
            <v>-175221.64866817903</v>
          </cell>
          <cell r="G33">
            <v>-133112.18434469879</v>
          </cell>
          <cell r="H33">
            <v>42109.464323480235</v>
          </cell>
          <cell r="K33">
            <v>-223729.12642475328</v>
          </cell>
          <cell r="L33">
            <v>-48507.477756574255</v>
          </cell>
        </row>
        <row r="34">
          <cell r="C34">
            <v>-166506.62667553377</v>
          </cell>
          <cell r="G34">
            <v>-125277.83366280157</v>
          </cell>
          <cell r="H34">
            <v>41228.793012732203</v>
          </cell>
          <cell r="K34">
            <v>-214215.63653105166</v>
          </cell>
          <cell r="L34">
            <v>-47709.009855517885</v>
          </cell>
        </row>
        <row r="35">
          <cell r="C35">
            <v>-86857.229731737549</v>
          </cell>
          <cell r="G35">
            <v>-64723.428181909912</v>
          </cell>
          <cell r="H35">
            <v>22133.801549827636</v>
          </cell>
          <cell r="K35">
            <v>-112584.87776622246</v>
          </cell>
          <cell r="L35">
            <v>-25727.648034484911</v>
          </cell>
        </row>
        <row r="36">
          <cell r="C36">
            <v>-45908.360863898481</v>
          </cell>
          <cell r="G36">
            <v>-33881.319323530603</v>
          </cell>
          <cell r="H36">
            <v>12027.041540367878</v>
          </cell>
          <cell r="K36">
            <v>-59950.254779186602</v>
          </cell>
          <cell r="L36">
            <v>-14041.893915288121</v>
          </cell>
        </row>
        <row r="37">
          <cell r="C37">
            <v>-30161.16610343006</v>
          </cell>
          <cell r="G37">
            <v>-22046.000055847351</v>
          </cell>
          <cell r="H37">
            <v>8115.1660475827084</v>
          </cell>
          <cell r="K37">
            <v>-39677.309640556639</v>
          </cell>
          <cell r="L37">
            <v>-9516.1435371265798</v>
          </cell>
        </row>
        <row r="38">
          <cell r="C38">
            <v>-21764.148937311955</v>
          </cell>
          <cell r="G38">
            <v>-15755.66273996575</v>
          </cell>
          <cell r="H38">
            <v>6008.4861973462048</v>
          </cell>
          <cell r="K38">
            <v>-28840.396491614098</v>
          </cell>
          <cell r="L38">
            <v>-7076.2475543021428</v>
          </cell>
        </row>
        <row r="39">
          <cell r="C39">
            <v>-14665.877965982176</v>
          </cell>
          <cell r="G39">
            <v>-10515.175511633572</v>
          </cell>
          <cell r="H39">
            <v>4150.7024543486041</v>
          </cell>
          <cell r="K39">
            <v>-19575.049170295366</v>
          </cell>
          <cell r="L39">
            <v>-4909.1712043131902</v>
          </cell>
        </row>
        <row r="40">
          <cell r="C40">
            <v>-8583.851095944201</v>
          </cell>
          <cell r="G40">
            <v>-6095.4288793290161</v>
          </cell>
          <cell r="H40">
            <v>2488.4222166151849</v>
          </cell>
          <cell r="K40">
            <v>-11539.386533742869</v>
          </cell>
          <cell r="L40">
            <v>-2955.5354377986678</v>
          </cell>
        </row>
        <row r="41">
          <cell r="C41">
            <v>-5180.67811559646</v>
          </cell>
          <cell r="G41">
            <v>-3643.5312450256411</v>
          </cell>
          <cell r="H41">
            <v>1537.1468705708189</v>
          </cell>
          <cell r="K41">
            <v>-7013.952848216185</v>
          </cell>
          <cell r="L41">
            <v>-1833.274732619725</v>
          </cell>
        </row>
        <row r="42">
          <cell r="C42">
            <v>-4145.9938744858064</v>
          </cell>
          <cell r="G42">
            <v>-2887.8757345534186</v>
          </cell>
          <cell r="H42">
            <v>1258.1181399323877</v>
          </cell>
          <cell r="K42">
            <v>-5652.63513572594</v>
          </cell>
          <cell r="L42">
            <v>-1506.6412612401336</v>
          </cell>
        </row>
        <row r="43">
          <cell r="C43">
            <v>-2655.6541506237213</v>
          </cell>
          <cell r="G43">
            <v>-1832.0422271249925</v>
          </cell>
          <cell r="H43">
            <v>823.61192349872886</v>
          </cell>
          <cell r="K43">
            <v>-3645.943573147445</v>
          </cell>
          <cell r="L43">
            <v>-990.28942252372372</v>
          </cell>
        </row>
        <row r="44">
          <cell r="C44">
            <v>-1894.1634334079251</v>
          </cell>
          <cell r="G44">
            <v>-1294.1830045724253</v>
          </cell>
          <cell r="H44">
            <v>599.98042883549988</v>
          </cell>
          <cell r="K44">
            <v>-2617.9326182616392</v>
          </cell>
          <cell r="L44">
            <v>-723.76918485371402</v>
          </cell>
        </row>
        <row r="45">
          <cell r="C45">
            <v>-22007.513355643572</v>
          </cell>
          <cell r="G45">
            <v>-14892.364574891821</v>
          </cell>
          <cell r="H45">
            <v>7115.1487807517515</v>
          </cell>
          <cell r="K45">
            <v>-30624.318430238698</v>
          </cell>
          <cell r="L45">
            <v>-8616.8050745951259</v>
          </cell>
        </row>
        <row r="46">
          <cell r="C46">
            <v>-10207.044430300606</v>
          </cell>
          <cell r="G46">
            <v>-6840.8063027194376</v>
          </cell>
          <cell r="H46">
            <v>3366.2381275811686</v>
          </cell>
          <cell r="K46">
            <v>-14299.477445910157</v>
          </cell>
          <cell r="L46">
            <v>-4092.4330156095511</v>
          </cell>
        </row>
        <row r="47">
          <cell r="C47">
            <v>-3857.1793898228639</v>
          </cell>
          <cell r="G47">
            <v>-2560.2985120252465</v>
          </cell>
          <cell r="H47">
            <v>1296.8808777976174</v>
          </cell>
          <cell r="K47">
            <v>-5438.7079925432308</v>
          </cell>
          <cell r="L47">
            <v>-1581.528602720367</v>
          </cell>
        </row>
        <row r="48">
          <cell r="C48">
            <v>-1595.6514691922571</v>
          </cell>
          <cell r="G48">
            <v>-1048.9945891584889</v>
          </cell>
          <cell r="H48">
            <v>546.65688003376818</v>
          </cell>
          <cell r="K48">
            <v>-2264.7864664046924</v>
          </cell>
          <cell r="L48">
            <v>-669.13499721243534</v>
          </cell>
        </row>
        <row r="49">
          <cell r="C49">
            <v>-771.82322120499236</v>
          </cell>
          <cell r="G49">
            <v>-502.53706535540937</v>
          </cell>
          <cell r="H49">
            <v>269.286155849583</v>
          </cell>
          <cell r="K49">
            <v>-1102.6569104964819</v>
          </cell>
          <cell r="L49">
            <v>-330.83368929148958</v>
          </cell>
        </row>
        <row r="50">
          <cell r="C50">
            <v>-390.11542492375133</v>
          </cell>
          <cell r="G50">
            <v>-251.56984919055535</v>
          </cell>
          <cell r="H50">
            <v>138.54557573319599</v>
          </cell>
          <cell r="K50">
            <v>-560.94324684493711</v>
          </cell>
          <cell r="L50">
            <v>-170.82782192118577</v>
          </cell>
        </row>
        <row r="51">
          <cell r="C51">
            <v>-181.85920926608628</v>
          </cell>
          <cell r="G51">
            <v>-116.14917658297249</v>
          </cell>
          <cell r="H51">
            <v>65.710032683113795</v>
          </cell>
          <cell r="K51">
            <v>-263.16912565415043</v>
          </cell>
          <cell r="L51">
            <v>-81.309916388064153</v>
          </cell>
        </row>
        <row r="52">
          <cell r="C52">
            <v>-67.015901040005929</v>
          </cell>
          <cell r="G52">
            <v>-42.390915271016432</v>
          </cell>
          <cell r="H52">
            <v>24.624985768989497</v>
          </cell>
          <cell r="K52">
            <v>-97.57121939694585</v>
          </cell>
          <cell r="L52">
            <v>-30.555318356939921</v>
          </cell>
        </row>
        <row r="53">
          <cell r="C53">
            <v>-13.552133173997278</v>
          </cell>
          <cell r="G53">
            <v>-8.4901967176878959</v>
          </cell>
          <cell r="H53">
            <v>5.0619364563093825</v>
          </cell>
          <cell r="K53">
            <v>-19.854719145496315</v>
          </cell>
          <cell r="L53">
            <v>-6.3025859714990364</v>
          </cell>
        </row>
        <row r="54">
          <cell r="C54">
            <v>2.0442662556671813E-3</v>
          </cell>
          <cell r="G54">
            <v>1.2684208314169753E-3</v>
          </cell>
          <cell r="H54">
            <v>-7.7584542425020598E-4</v>
          </cell>
          <cell r="K54">
            <v>3.0135338266817908E-3</v>
          </cell>
          <cell r="L54">
            <v>9.6926757101460951E-4</v>
          </cell>
        </row>
      </sheetData>
      <sheetData sheetId="2">
        <row r="3">
          <cell r="D3">
            <v>-898438105.94142079</v>
          </cell>
          <cell r="G3">
            <v>-864259543.2505672</v>
          </cell>
          <cell r="J3">
            <v>-843359107.5810951</v>
          </cell>
          <cell r="M3">
            <v>-885011447.12604654</v>
          </cell>
        </row>
        <row r="4">
          <cell r="D4">
            <v>-99516046.979921997</v>
          </cell>
          <cell r="G4">
            <v>-81762932.41335921</v>
          </cell>
          <cell r="J4">
            <v>-74478786.654293314</v>
          </cell>
          <cell r="M4">
            <v>-88096449.33851704</v>
          </cell>
        </row>
        <row r="5">
          <cell r="D5">
            <v>-47098807.5908911</v>
          </cell>
          <cell r="G5">
            <v>-30811166.28196644</v>
          </cell>
          <cell r="J5">
            <v>-26707477.921583071</v>
          </cell>
          <cell r="M5">
            <v>-34706495.574395798</v>
          </cell>
        </row>
        <row r="6">
          <cell r="D6">
            <v>-10673672.364642477</v>
          </cell>
          <cell r="G6">
            <v>-5176934.0048675761</v>
          </cell>
          <cell r="J6">
            <v>-4139456.1487355307</v>
          </cell>
          <cell r="M6">
            <v>-6346096.4399431329</v>
          </cell>
        </row>
        <row r="7">
          <cell r="D7">
            <v>-748068.15941765439</v>
          </cell>
          <cell r="G7">
            <v>-260908.8767627202</v>
          </cell>
          <cell r="J7">
            <v>-188938.24681698449</v>
          </cell>
          <cell r="M7">
            <v>-345769.22110007022</v>
          </cell>
        </row>
      </sheetData>
      <sheetData sheetId="3">
        <row r="3">
          <cell r="D3">
            <v>20900435.669471972</v>
          </cell>
          <cell r="G3">
            <v>-20751903.875479467</v>
          </cell>
          <cell r="J3">
            <v>-122127.08228927435</v>
          </cell>
        </row>
        <row r="4">
          <cell r="D4">
            <v>7284145.7590658963</v>
          </cell>
          <cell r="G4">
            <v>-6333516.9251578245</v>
          </cell>
          <cell r="J4">
            <v>-55149.356301422871</v>
          </cell>
        </row>
        <row r="5">
          <cell r="D5">
            <v>4103688.3603833634</v>
          </cell>
          <cell r="G5">
            <v>-3895329.2924293624</v>
          </cell>
          <cell r="J5">
            <v>-41185.370020234608</v>
          </cell>
        </row>
        <row r="6">
          <cell r="D6">
            <v>1037477.8561320455</v>
          </cell>
          <cell r="G6">
            <v>-1169162.4350755571</v>
          </cell>
          <cell r="J6">
            <v>-11661.229139538702</v>
          </cell>
        </row>
        <row r="7">
          <cell r="D7">
            <v>71970.629945735724</v>
          </cell>
          <cell r="G7">
            <v>-84860.34433734999</v>
          </cell>
          <cell r="J7">
            <v>-848.48079323099557</v>
          </cell>
        </row>
      </sheetData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Aprile26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-389173850.35002708</v>
          </cell>
        </row>
        <row r="6">
          <cell r="L6">
            <v>-286865944.48536301</v>
          </cell>
        </row>
        <row r="7">
          <cell r="L7">
            <v>-118535041.07855648</v>
          </cell>
        </row>
        <row r="8">
          <cell r="L8">
            <v>-62281675.693349212</v>
          </cell>
        </row>
        <row r="9">
          <cell r="L9">
            <v>-41581594.33412493</v>
          </cell>
        </row>
        <row r="10">
          <cell r="L10">
            <v>-31309013.60312615</v>
          </cell>
        </row>
        <row r="11">
          <cell r="L11">
            <v>-24378249.677626185</v>
          </cell>
        </row>
        <row r="12">
          <cell r="L12">
            <v>-19010843.511840597</v>
          </cell>
        </row>
        <row r="13">
          <cell r="L13">
            <v>-14326490.83992663</v>
          </cell>
        </row>
        <row r="14">
          <cell r="L14">
            <v>-10491449.34740244</v>
          </cell>
        </row>
        <row r="15">
          <cell r="L15">
            <v>-7939633.4522723453</v>
          </cell>
        </row>
        <row r="16">
          <cell r="L16">
            <v>-6533184.7615859499</v>
          </cell>
        </row>
        <row r="17">
          <cell r="L17">
            <v>-5825868.9430210013</v>
          </cell>
        </row>
        <row r="18">
          <cell r="L18">
            <v>-5364040.335493519</v>
          </cell>
        </row>
        <row r="19">
          <cell r="L19">
            <v>-4874838.2778374683</v>
          </cell>
        </row>
        <row r="20">
          <cell r="L20">
            <v>-4227955.3340803543</v>
          </cell>
        </row>
        <row r="21">
          <cell r="L21">
            <v>-3670071.9562838329</v>
          </cell>
        </row>
        <row r="22">
          <cell r="L22">
            <v>-3221336.9662346188</v>
          </cell>
        </row>
        <row r="23">
          <cell r="L23">
            <v>-2885934.7178470627</v>
          </cell>
        </row>
        <row r="24">
          <cell r="L24">
            <v>-2555942.8462349479</v>
          </cell>
        </row>
        <row r="25">
          <cell r="L25">
            <v>-2167180.4482887955</v>
          </cell>
        </row>
        <row r="26">
          <cell r="L26">
            <v>-1824713.8939708841</v>
          </cell>
        </row>
        <row r="27">
          <cell r="L27">
            <v>-1547819.9933533317</v>
          </cell>
        </row>
        <row r="28">
          <cell r="L28">
            <v>-1343074.0699189412</v>
          </cell>
        </row>
        <row r="29">
          <cell r="L29">
            <v>-1113912.745580011</v>
          </cell>
        </row>
        <row r="30">
          <cell r="L30">
            <v>-829749.07087330893</v>
          </cell>
        </row>
        <row r="31">
          <cell r="L31">
            <v>-581114.77473264316</v>
          </cell>
        </row>
        <row r="32">
          <cell r="L32">
            <v>-424529.50696712959</v>
          </cell>
        </row>
        <row r="33">
          <cell r="L33">
            <v>-424862.6886849294</v>
          </cell>
        </row>
        <row r="34">
          <cell r="L34">
            <v>-416715.17227250198</v>
          </cell>
        </row>
        <row r="35">
          <cell r="L35">
            <v>-224376.5980518554</v>
          </cell>
        </row>
        <row r="36">
          <cell r="L36">
            <v>-122417.63956019568</v>
          </cell>
        </row>
        <row r="37">
          <cell r="L37">
            <v>-83022.882127719728</v>
          </cell>
        </row>
        <row r="38">
          <cell r="L38">
            <v>-61845.152233089</v>
          </cell>
        </row>
        <row r="39">
          <cell r="L39">
            <v>-43023.245602240473</v>
          </cell>
        </row>
        <row r="40">
          <cell r="L40">
            <v>-25997.12004946579</v>
          </cell>
        </row>
        <row r="41">
          <cell r="L41">
            <v>-16199.233573095367</v>
          </cell>
        </row>
        <row r="42">
          <cell r="L42">
            <v>-13384.992702418429</v>
          </cell>
        </row>
        <row r="43">
          <cell r="L43">
            <v>-8852.3678865118527</v>
          </cell>
        </row>
        <row r="44">
          <cell r="L44">
            <v>-6519.5958247544877</v>
          </cell>
        </row>
        <row r="45">
          <cell r="L45">
            <v>-78217.929360555048</v>
          </cell>
        </row>
        <row r="46">
          <cell r="L46">
            <v>-37461.424827871677</v>
          </cell>
        </row>
        <row r="47">
          <cell r="L47">
            <v>-14616.078066385006</v>
          </cell>
        </row>
        <row r="48">
          <cell r="L48">
            <v>-6242.9182806587141</v>
          </cell>
        </row>
        <row r="49">
          <cell r="L49">
            <v>-3118.6215831068066</v>
          </cell>
        </row>
        <row r="50">
          <cell r="L50">
            <v>-1627.9835618553084</v>
          </cell>
        </row>
        <row r="51">
          <cell r="L51">
            <v>-783.82853921882997</v>
          </cell>
        </row>
        <row r="52">
          <cell r="L52">
            <v>-298.27026528754777</v>
          </cell>
        </row>
        <row r="53">
          <cell r="L53">
            <v>-62.287026525971783</v>
          </cell>
        </row>
        <row r="54">
          <cell r="L54">
            <v>9.7051567221127198E-3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2.40685479791685</v>
          </cell>
          <cell r="P4">
            <v>-230622.24525733554</v>
          </cell>
        </row>
        <row r="5">
          <cell r="C5">
            <v>-384095033.05874312</v>
          </cell>
          <cell r="D5">
            <v>-18954.124780956867</v>
          </cell>
          <cell r="G5">
            <v>-380694776.63740075</v>
          </cell>
          <cell r="H5">
            <v>3400256.4213423729</v>
          </cell>
          <cell r="J5">
            <v>0.5</v>
          </cell>
          <cell r="K5">
            <v>-387878794.82338297</v>
          </cell>
          <cell r="L5">
            <v>-3783761.7646398544</v>
          </cell>
        </row>
        <row r="6">
          <cell r="C6">
            <v>-275542047.84299958</v>
          </cell>
          <cell r="D6">
            <v>-40507.326906957096</v>
          </cell>
          <cell r="G6">
            <v>-268082472.0414592</v>
          </cell>
          <cell r="H6">
            <v>7459575.8015403748</v>
          </cell>
          <cell r="J6">
            <v>1.5</v>
          </cell>
          <cell r="K6">
            <v>-283188218.6897825</v>
          </cell>
          <cell r="L6">
            <v>-7646170.8467829227</v>
          </cell>
        </row>
        <row r="7">
          <cell r="C7">
            <v>-110773549.22878297</v>
          </cell>
          <cell r="D7">
            <v>-27075.252679328692</v>
          </cell>
          <cell r="G7">
            <v>-106014114.61852807</v>
          </cell>
          <cell r="H7">
            <v>4759434.6102548987</v>
          </cell>
          <cell r="J7">
            <v>2.5</v>
          </cell>
          <cell r="K7">
            <v>-115311144.76732738</v>
          </cell>
          <cell r="L7">
            <v>-4537595.5385444164</v>
          </cell>
        </row>
        <row r="8">
          <cell r="C8">
            <v>-56643707.540274344</v>
          </cell>
          <cell r="G8">
            <v>-53519938.678478666</v>
          </cell>
          <cell r="H8">
            <v>3123768.8617956787</v>
          </cell>
          <cell r="K8">
            <v>-59521189.670570716</v>
          </cell>
          <cell r="L8">
            <v>-2877482.1302963719</v>
          </cell>
        </row>
        <row r="9">
          <cell r="C9">
            <v>-36775056.561004363</v>
          </cell>
          <cell r="G9">
            <v>-34349553.308810152</v>
          </cell>
          <cell r="H9">
            <v>2425503.2521942109</v>
          </cell>
          <cell r="K9">
            <v>-38980422.294687063</v>
          </cell>
          <cell r="L9">
            <v>-2205365.7336826995</v>
          </cell>
        </row>
        <row r="10">
          <cell r="C10">
            <v>-26897128.857119765</v>
          </cell>
          <cell r="G10">
            <v>-24846268.012105234</v>
          </cell>
          <cell r="H10">
            <v>2050860.8450145312</v>
          </cell>
          <cell r="K10">
            <v>-28733134.160865925</v>
          </cell>
          <cell r="L10">
            <v>-1836005.3037461601</v>
          </cell>
        </row>
        <row r="11">
          <cell r="C11">
            <v>-20324147.699400343</v>
          </cell>
          <cell r="G11">
            <v>-18580914.856886931</v>
          </cell>
          <cell r="H11">
            <v>1743232.8425134122</v>
          </cell>
          <cell r="K11">
            <v>-21859997.058307562</v>
          </cell>
          <cell r="L11">
            <v>-1535849.358907219</v>
          </cell>
        </row>
        <row r="12">
          <cell r="C12">
            <v>-15363629.998778537</v>
          </cell>
          <cell r="G12">
            <v>-13902597.001744164</v>
          </cell>
          <cell r="H12">
            <v>1461032.9970343728</v>
          </cell>
          <cell r="K12">
            <v>-16625537.297101665</v>
          </cell>
          <cell r="L12">
            <v>-1261907.2983231284</v>
          </cell>
        </row>
        <row r="13">
          <cell r="C13">
            <v>-11214041.076259535</v>
          </cell>
          <cell r="G13">
            <v>-10056952.591518043</v>
          </cell>
          <cell r="H13">
            <v>1157088.4847414922</v>
          </cell>
          <cell r="K13">
            <v>-12190506.611176522</v>
          </cell>
          <cell r="L13">
            <v>-976465.53491698764</v>
          </cell>
        </row>
        <row r="14">
          <cell r="C14">
            <v>-7944207.2551546097</v>
          </cell>
          <cell r="G14">
            <v>-7067646.3465206418</v>
          </cell>
          <cell r="H14">
            <v>876560.90863396786</v>
          </cell>
          <cell r="K14">
            <v>-8674565.6443449166</v>
          </cell>
          <cell r="L14">
            <v>-730358.38919030689</v>
          </cell>
        </row>
        <row r="15">
          <cell r="C15">
            <v>-5814724.3514573304</v>
          </cell>
          <cell r="G15">
            <v>-5139944.200810628</v>
          </cell>
          <cell r="H15">
            <v>674780.15064670239</v>
          </cell>
          <cell r="K15">
            <v>-6387111.8092086054</v>
          </cell>
          <cell r="L15">
            <v>-572387.45775127504</v>
          </cell>
        </row>
        <row r="16">
          <cell r="C16">
            <v>-4625554.8968052426</v>
          </cell>
          <cell r="G16">
            <v>-4068184.7710945215</v>
          </cell>
          <cell r="H16">
            <v>557370.12571072113</v>
          </cell>
          <cell r="K16">
            <v>-5115464.2766525447</v>
          </cell>
          <cell r="L16">
            <v>-489909.3798473021</v>
          </cell>
        </row>
        <row r="17">
          <cell r="C17">
            <v>-3983232.6305200276</v>
          </cell>
          <cell r="G17">
            <v>-3483873.3891119119</v>
          </cell>
          <cell r="H17">
            <v>499359.24140811572</v>
          </cell>
          <cell r="K17">
            <v>-4433626.5752792023</v>
          </cell>
          <cell r="L17">
            <v>-450393.94475917472</v>
          </cell>
        </row>
        <row r="18">
          <cell r="C18">
            <v>-3543215.7299447106</v>
          </cell>
          <cell r="G18">
            <v>-3080089.2363390331</v>
          </cell>
          <cell r="H18">
            <v>463126.4936056775</v>
          </cell>
          <cell r="K18">
            <v>-3974467.4204632207</v>
          </cell>
          <cell r="L18">
            <v>-431251.69051851006</v>
          </cell>
        </row>
        <row r="19">
          <cell r="C19">
            <v>-3109504.5473876712</v>
          </cell>
          <cell r="G19">
            <v>-2683079.5256859637</v>
          </cell>
          <cell r="H19">
            <v>426425.0217017075</v>
          </cell>
          <cell r="K19">
            <v>-3513752.966840968</v>
          </cell>
          <cell r="L19">
            <v>-404248.41945329681</v>
          </cell>
        </row>
        <row r="20">
          <cell r="C20">
            <v>-2604374.8068338023</v>
          </cell>
          <cell r="G20">
            <v>-2235525.942370703</v>
          </cell>
          <cell r="H20">
            <v>368848.86446309928</v>
          </cell>
          <cell r="K20">
            <v>-2971212.7833300163</v>
          </cell>
          <cell r="L20">
            <v>-366837.97649621405</v>
          </cell>
        </row>
        <row r="21">
          <cell r="C21">
            <v>-2186091.5904303873</v>
          </cell>
          <cell r="G21">
            <v>-1864657.7437942685</v>
          </cell>
          <cell r="H21">
            <v>321433.84663611883</v>
          </cell>
          <cell r="K21">
            <v>-2523253.2329001613</v>
          </cell>
          <cell r="L21">
            <v>-337161.642469774</v>
          </cell>
        </row>
        <row r="22">
          <cell r="C22">
            <v>-1857756.6588233595</v>
          </cell>
          <cell r="G22">
            <v>-1569401.1450532186</v>
          </cell>
          <cell r="H22">
            <v>288355.51377014094</v>
          </cell>
          <cell r="K22">
            <v>-2163540.8393314714</v>
          </cell>
          <cell r="L22">
            <v>-305784.18050811184</v>
          </cell>
        </row>
        <row r="23">
          <cell r="C23">
            <v>-1612791.1642773354</v>
          </cell>
          <cell r="G23">
            <v>-1349380.2517555822</v>
          </cell>
          <cell r="H23">
            <v>263410.91252175323</v>
          </cell>
          <cell r="K23">
            <v>-1900274.3946444367</v>
          </cell>
          <cell r="L23">
            <v>-287483.23036710126</v>
          </cell>
        </row>
        <row r="24">
          <cell r="C24">
            <v>-1384794.5368583768</v>
          </cell>
          <cell r="G24">
            <v>-1147495.946073439</v>
          </cell>
          <cell r="H24">
            <v>237298.59078493784</v>
          </cell>
          <cell r="K24">
            <v>-1650961.9224906012</v>
          </cell>
          <cell r="L24">
            <v>-266167.38563222438</v>
          </cell>
        </row>
        <row r="25">
          <cell r="C25">
            <v>-1138506.6437675292</v>
          </cell>
          <cell r="G25">
            <v>-934352.08884688199</v>
          </cell>
          <cell r="H25">
            <v>204154.55492064718</v>
          </cell>
          <cell r="K25">
            <v>-1368809.8901536867</v>
          </cell>
          <cell r="L25">
            <v>-230303.24638615758</v>
          </cell>
        </row>
        <row r="26">
          <cell r="C26">
            <v>-929439.75225267373</v>
          </cell>
          <cell r="G26">
            <v>-755450.17171857716</v>
          </cell>
          <cell r="H26">
            <v>173989.58053409657</v>
          </cell>
          <cell r="K26">
            <v>-1126363.6843981461</v>
          </cell>
          <cell r="L26">
            <v>-196923.93214547238</v>
          </cell>
        </row>
        <row r="27">
          <cell r="C27">
            <v>-764292.04083569755</v>
          </cell>
          <cell r="G27">
            <v>-615253.71284161194</v>
          </cell>
          <cell r="H27">
            <v>149038.32799408562</v>
          </cell>
          <cell r="K27">
            <v>-933623.31443089084</v>
          </cell>
          <cell r="L27">
            <v>-169331.27359519328</v>
          </cell>
        </row>
        <row r="28">
          <cell r="C28">
            <v>-642857.64046046708</v>
          </cell>
          <cell r="G28">
            <v>-512531.04948628921</v>
          </cell>
          <cell r="H28">
            <v>130326.59097417787</v>
          </cell>
          <cell r="K28">
            <v>-791485.10279249784</v>
          </cell>
          <cell r="L28">
            <v>-148627.46233203076</v>
          </cell>
        </row>
        <row r="29">
          <cell r="C29">
            <v>-516771.56422571518</v>
          </cell>
          <cell r="G29">
            <v>-408051.6238015428</v>
          </cell>
          <cell r="H29">
            <v>108719.94042417238</v>
          </cell>
          <cell r="K29">
            <v>-641215.90991175978</v>
          </cell>
          <cell r="L29">
            <v>-124444.3456860446</v>
          </cell>
        </row>
        <row r="30">
          <cell r="C30">
            <v>-373059.10265823413</v>
          </cell>
          <cell r="G30">
            <v>-291746.4067910774</v>
          </cell>
          <cell r="H30">
            <v>81312.695867156726</v>
          </cell>
          <cell r="K30">
            <v>-466526.45358270791</v>
          </cell>
          <cell r="L30">
            <v>-93467.35092447378</v>
          </cell>
        </row>
        <row r="31">
          <cell r="C31">
            <v>-253174.69184305158</v>
          </cell>
          <cell r="G31">
            <v>-196092.21181123587</v>
          </cell>
          <cell r="H31">
            <v>57082.480031815707</v>
          </cell>
          <cell r="K31">
            <v>-319063.56667644321</v>
          </cell>
          <cell r="L31">
            <v>-65888.87483339163</v>
          </cell>
        </row>
        <row r="32">
          <cell r="C32">
            <v>-179221.41415514925</v>
          </cell>
          <cell r="G32">
            <v>-137480.6700134025</v>
          </cell>
          <cell r="H32">
            <v>41740.744141746749</v>
          </cell>
          <cell r="K32">
            <v>-227599.6400218652</v>
          </cell>
          <cell r="L32">
            <v>-48378.225866715948</v>
          </cell>
        </row>
        <row r="33">
          <cell r="C33">
            <v>-173799.99813984064</v>
          </cell>
          <cell r="G33">
            <v>-132042.5151993692</v>
          </cell>
          <cell r="H33">
            <v>41757.48294047144</v>
          </cell>
          <cell r="K33">
            <v>-222393.3318652345</v>
          </cell>
          <cell r="L33">
            <v>-48593.333725393866</v>
          </cell>
        </row>
        <row r="34">
          <cell r="C34">
            <v>-165155.67918179266</v>
          </cell>
          <cell r="G34">
            <v>-124271.10996208648</v>
          </cell>
          <cell r="H34">
            <v>40884.569219706173</v>
          </cell>
          <cell r="K34">
            <v>-212953.33518549462</v>
          </cell>
          <cell r="L34">
            <v>-47797.656003701966</v>
          </cell>
        </row>
        <row r="35">
          <cell r="C35">
            <v>-86154.18270265084</v>
          </cell>
          <cell r="G35">
            <v>-64204.542680888953</v>
          </cell>
          <cell r="H35">
            <v>21949.640021761887</v>
          </cell>
          <cell r="K35">
            <v>-111932.41196295082</v>
          </cell>
          <cell r="L35">
            <v>-25778.229260299981</v>
          </cell>
        </row>
        <row r="36">
          <cell r="C36">
            <v>-45538.529381222092</v>
          </cell>
          <cell r="G36">
            <v>-33610.98168245142</v>
          </cell>
          <cell r="H36">
            <v>11927.547698770672</v>
          </cell>
          <cell r="K36">
            <v>-59600.617483992544</v>
          </cell>
          <cell r="L36">
            <v>-14062.088102770453</v>
          </cell>
        </row>
        <row r="37">
          <cell r="C37">
            <v>-29919.930627685815</v>
          </cell>
          <cell r="G37">
            <v>-21871.353725049663</v>
          </cell>
          <cell r="H37">
            <v>8048.5769026361522</v>
          </cell>
          <cell r="K37">
            <v>-39444.876805567765</v>
          </cell>
          <cell r="L37">
            <v>-9524.9461778819496</v>
          </cell>
        </row>
        <row r="38">
          <cell r="C38">
            <v>-21591.74783998659</v>
          </cell>
          <cell r="G38">
            <v>-15632.046891873102</v>
          </cell>
          <cell r="H38">
            <v>5959.7009481134883</v>
          </cell>
          <cell r="K38">
            <v>-28670.95043317242</v>
          </cell>
          <cell r="L38">
            <v>-7079.2025931858298</v>
          </cell>
        </row>
        <row r="39">
          <cell r="C39">
            <v>-14548.686215077023</v>
          </cell>
          <cell r="G39">
            <v>-10431.96020420013</v>
          </cell>
          <cell r="H39">
            <v>4116.7260108768933</v>
          </cell>
          <cell r="K39">
            <v>-19459.90954511247</v>
          </cell>
          <cell r="L39">
            <v>-4911.2233300354474</v>
          </cell>
        </row>
        <row r="40">
          <cell r="C40">
            <v>-8514.7417499599305</v>
          </cell>
          <cell r="G40">
            <v>-6046.821524210698</v>
          </cell>
          <cell r="H40">
            <v>2467.9202257492325</v>
          </cell>
          <cell r="K40">
            <v>-11471.539433449607</v>
          </cell>
          <cell r="L40">
            <v>-2956.7976834896763</v>
          </cell>
        </row>
        <row r="41">
          <cell r="C41">
            <v>-5139.6153126648951</v>
          </cell>
          <cell r="G41">
            <v>-3614.9270211834519</v>
          </cell>
          <cell r="H41">
            <v>1524.6882914814432</v>
          </cell>
          <cell r="K41">
            <v>-6972.8021615759726</v>
          </cell>
          <cell r="L41">
            <v>-1833.1868489110775</v>
          </cell>
        </row>
        <row r="42">
          <cell r="C42">
            <v>-4112.9847272039206</v>
          </cell>
          <cell r="G42">
            <v>-2865.1046124963409</v>
          </cell>
          <cell r="H42">
            <v>1247.8801147075797</v>
          </cell>
          <cell r="K42">
            <v>-5618.5650993513391</v>
          </cell>
          <cell r="L42">
            <v>-1505.5803721474185</v>
          </cell>
        </row>
        <row r="43">
          <cell r="C43">
            <v>-2634.4391921859669</v>
          </cell>
          <cell r="G43">
            <v>-1817.545974634663</v>
          </cell>
          <cell r="H43">
            <v>816.89321755130391</v>
          </cell>
          <cell r="K43">
            <v>-3624.0679582184262</v>
          </cell>
          <cell r="L43">
            <v>-989.62876603245923</v>
          </cell>
        </row>
        <row r="44">
          <cell r="C44">
            <v>-1879.0011048754811</v>
          </cell>
          <cell r="G44">
            <v>-1283.9230351191213</v>
          </cell>
          <cell r="H44">
            <v>595.07806975635981</v>
          </cell>
          <cell r="K44">
            <v>-2602.822915148608</v>
          </cell>
          <cell r="L44">
            <v>-723.82181027312686</v>
          </cell>
        </row>
        <row r="45">
          <cell r="C45">
            <v>-21831.176032396532</v>
          </cell>
          <cell r="G45">
            <v>-14774.171940012784</v>
          </cell>
          <cell r="H45">
            <v>7057.0040923837478</v>
          </cell>
          <cell r="K45">
            <v>-30443.113816355952</v>
          </cell>
          <cell r="L45">
            <v>-8611.9377839594199</v>
          </cell>
        </row>
        <row r="46">
          <cell r="C46">
            <v>-10125.292409447804</v>
          </cell>
          <cell r="G46">
            <v>-6786.5426367699392</v>
          </cell>
          <cell r="H46">
            <v>3338.7497726778647</v>
          </cell>
          <cell r="K46">
            <v>-14215.667693242198</v>
          </cell>
          <cell r="L46">
            <v>-4090.3752837943939</v>
          </cell>
        </row>
        <row r="47">
          <cell r="C47">
            <v>-3825.5446851227275</v>
          </cell>
          <cell r="G47">
            <v>-2539.5020750957092</v>
          </cell>
          <cell r="H47">
            <v>1286.0426100270183</v>
          </cell>
          <cell r="K47">
            <v>-5407.1903314380343</v>
          </cell>
          <cell r="L47">
            <v>-1581.6456463153067</v>
          </cell>
        </row>
        <row r="48">
          <cell r="C48">
            <v>-1582.2582563067865</v>
          </cell>
          <cell r="G48">
            <v>-1040.2744098440087</v>
          </cell>
          <cell r="H48">
            <v>541.98384646277782</v>
          </cell>
          <cell r="K48">
            <v>-2250.8770863479567</v>
          </cell>
          <cell r="L48">
            <v>-668.61883004117021</v>
          </cell>
        </row>
        <row r="49">
          <cell r="C49">
            <v>-765.36083125201856</v>
          </cell>
          <cell r="G49">
            <v>-498.36930413468951</v>
          </cell>
          <cell r="H49">
            <v>266.99152711732904</v>
          </cell>
          <cell r="K49">
            <v>-1095.7292741877666</v>
          </cell>
          <cell r="L49">
            <v>-330.36844293574802</v>
          </cell>
        </row>
        <row r="50">
          <cell r="C50">
            <v>-386.94649315024481</v>
          </cell>
          <cell r="G50">
            <v>-249.545708444046</v>
          </cell>
          <cell r="H50">
            <v>137.40078470619881</v>
          </cell>
          <cell r="K50">
            <v>-557.46431017921452</v>
          </cell>
          <cell r="L50">
            <v>-170.51781702896972</v>
          </cell>
        </row>
        <row r="51">
          <cell r="C51">
            <v>-180.39048067201725</v>
          </cell>
          <cell r="G51">
            <v>-115.22014837873878</v>
          </cell>
          <cell r="H51">
            <v>65.170332293278463</v>
          </cell>
          <cell r="K51">
            <v>-261.56053874135495</v>
          </cell>
          <cell r="L51">
            <v>-81.170058069337699</v>
          </cell>
        </row>
        <row r="52">
          <cell r="C52">
            <v>-66.463081719068128</v>
          </cell>
          <cell r="G52">
            <v>-42.044588922078255</v>
          </cell>
          <cell r="H52">
            <v>24.418492796989874</v>
          </cell>
          <cell r="K52">
            <v>-96.984614217704177</v>
          </cell>
          <cell r="L52">
            <v>-30.521532498636049</v>
          </cell>
        </row>
        <row r="53">
          <cell r="C53">
            <v>-13.441137156563991</v>
          </cell>
          <cell r="G53">
            <v>-8.4213180418314373</v>
          </cell>
          <cell r="H53">
            <v>5.0198191147325542</v>
          </cell>
          <cell r="K53">
            <v>-19.732851517518359</v>
          </cell>
          <cell r="L53">
            <v>-6.2917143609543675</v>
          </cell>
        </row>
        <row r="54">
          <cell r="C54">
            <v>2.0276685366229352E-3</v>
          </cell>
          <cell r="G54">
            <v>1.2582212474313941E-3</v>
          </cell>
          <cell r="H54">
            <v>-7.6944728919154108E-4</v>
          </cell>
          <cell r="K54">
            <v>2.9946576839246994E-3</v>
          </cell>
          <cell r="L54">
            <v>9.6698914730176423E-4</v>
          </cell>
        </row>
      </sheetData>
      <sheetData sheetId="2">
        <row r="3">
          <cell r="D3">
            <v>-898438105.94142079</v>
          </cell>
          <cell r="G3">
            <v>-863829394.23180449</v>
          </cell>
          <cell r="J3">
            <v>-842660855.28467691</v>
          </cell>
          <cell r="M3">
            <v>-884879770.24575067</v>
          </cell>
        </row>
        <row r="4">
          <cell r="D4">
            <v>-99516046.979921997</v>
          </cell>
          <cell r="G4">
            <v>-81743154.88671279</v>
          </cell>
          <cell r="J4">
            <v>-74454378.808775023</v>
          </cell>
          <cell r="M4">
            <v>-88083740.771796584</v>
          </cell>
        </row>
        <row r="5">
          <cell r="D5">
            <v>-47098807.5908911</v>
          </cell>
          <cell r="G5">
            <v>-30722040.91333824</v>
          </cell>
          <cell r="J5">
            <v>-26621632.152089272</v>
          </cell>
          <cell r="M5">
            <v>-34633666.221141227</v>
          </cell>
        </row>
        <row r="6">
          <cell r="D6">
            <v>-10673672.364642477</v>
          </cell>
          <cell r="G6">
            <v>-5136278.5275201509</v>
          </cell>
          <cell r="J6">
            <v>-4107271.5604720749</v>
          </cell>
          <cell r="M6">
            <v>-6310034.2290187264</v>
          </cell>
        </row>
        <row r="7">
          <cell r="D7">
            <v>-748068.15941765439</v>
          </cell>
          <cell r="G7">
            <v>-258810.73023306776</v>
          </cell>
          <cell r="J7">
            <v>-187433.29822353012</v>
          </cell>
          <cell r="M7">
            <v>-343746.88132011</v>
          </cell>
        </row>
      </sheetData>
      <sheetData sheetId="3">
        <row r="3">
          <cell r="D3">
            <v>21168538.947127536</v>
          </cell>
          <cell r="G3">
            <v>-21050376.013946265</v>
          </cell>
          <cell r="J3">
            <v>-122044.4144587756</v>
          </cell>
        </row>
        <row r="4">
          <cell r="D4">
            <v>7288776.0779377762</v>
          </cell>
          <cell r="G4">
            <v>-6340585.885083802</v>
          </cell>
          <cell r="J4">
            <v>-55131.471817210644</v>
          </cell>
        </row>
        <row r="5">
          <cell r="D5">
            <v>4100408.7612489751</v>
          </cell>
          <cell r="G5">
            <v>-3911625.307802984</v>
          </cell>
          <cell r="J5">
            <v>-41039.248252516009</v>
          </cell>
        </row>
        <row r="6">
          <cell r="D6">
            <v>1029006.9670480764</v>
          </cell>
          <cell r="G6">
            <v>-1173755.701498576</v>
          </cell>
          <cell r="J6">
            <v>-11565.651699186727</v>
          </cell>
        </row>
        <row r="7">
          <cell r="D7">
            <v>71377.432009537661</v>
          </cell>
          <cell r="G7">
            <v>-84936.151087042206</v>
          </cell>
          <cell r="J7">
            <v>-841.45902964654124</v>
          </cell>
        </row>
      </sheetData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Maggio26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-389173850.35002708</v>
          </cell>
        </row>
        <row r="6">
          <cell r="L6">
            <v>-286865944.48536301</v>
          </cell>
        </row>
        <row r="7">
          <cell r="L7">
            <v>-118535041.07855648</v>
          </cell>
        </row>
        <row r="8">
          <cell r="L8">
            <v>-62281675.693349212</v>
          </cell>
        </row>
        <row r="9">
          <cell r="L9">
            <v>-41581594.33412493</v>
          </cell>
        </row>
        <row r="10">
          <cell r="L10">
            <v>-31309013.60312615</v>
          </cell>
        </row>
        <row r="11">
          <cell r="L11">
            <v>-24378249.677626185</v>
          </cell>
        </row>
        <row r="12">
          <cell r="L12">
            <v>-19010843.511840597</v>
          </cell>
        </row>
        <row r="13">
          <cell r="L13">
            <v>-14326490.83992663</v>
          </cell>
        </row>
        <row r="14">
          <cell r="L14">
            <v>-10491449.34740244</v>
          </cell>
        </row>
        <row r="15">
          <cell r="L15">
            <v>-7939633.4522723453</v>
          </cell>
        </row>
        <row r="16">
          <cell r="L16">
            <v>-6533184.7615859499</v>
          </cell>
        </row>
        <row r="17">
          <cell r="L17">
            <v>-5825868.9430210013</v>
          </cell>
        </row>
        <row r="18">
          <cell r="L18">
            <v>-5364040.335493519</v>
          </cell>
        </row>
        <row r="19">
          <cell r="L19">
            <v>-4874838.2778374683</v>
          </cell>
        </row>
        <row r="20">
          <cell r="L20">
            <v>-4227955.3340803543</v>
          </cell>
        </row>
        <row r="21">
          <cell r="L21">
            <v>-3670071.9562838329</v>
          </cell>
        </row>
        <row r="22">
          <cell r="L22">
            <v>-3221336.9662346188</v>
          </cell>
        </row>
        <row r="23">
          <cell r="L23">
            <v>-2885934.7178470627</v>
          </cell>
        </row>
        <row r="24">
          <cell r="L24">
            <v>-2555942.8462349479</v>
          </cell>
        </row>
        <row r="25">
          <cell r="L25">
            <v>-2167180.4482887955</v>
          </cell>
        </row>
        <row r="26">
          <cell r="L26">
            <v>-1824713.8939708841</v>
          </cell>
        </row>
        <row r="27">
          <cell r="L27">
            <v>-1547819.9933533317</v>
          </cell>
        </row>
        <row r="28">
          <cell r="L28">
            <v>-1343074.0699189412</v>
          </cell>
        </row>
        <row r="29">
          <cell r="L29">
            <v>-1113912.745580011</v>
          </cell>
        </row>
        <row r="30">
          <cell r="L30">
            <v>-829749.07087330893</v>
          </cell>
        </row>
        <row r="31">
          <cell r="L31">
            <v>-581114.77473264316</v>
          </cell>
        </row>
        <row r="32">
          <cell r="L32">
            <v>-424529.50696712959</v>
          </cell>
        </row>
        <row r="33">
          <cell r="L33">
            <v>-424862.6886849294</v>
          </cell>
        </row>
        <row r="34">
          <cell r="L34">
            <v>-416715.17227250198</v>
          </cell>
        </row>
        <row r="35">
          <cell r="L35">
            <v>-224376.5980518554</v>
          </cell>
        </row>
        <row r="36">
          <cell r="L36">
            <v>-122417.63956019568</v>
          </cell>
        </row>
        <row r="37">
          <cell r="L37">
            <v>-83022.882127719728</v>
          </cell>
        </row>
        <row r="38">
          <cell r="L38">
            <v>-61845.152233089</v>
          </cell>
        </row>
        <row r="39">
          <cell r="L39">
            <v>-43023.245602240473</v>
          </cell>
        </row>
        <row r="40">
          <cell r="L40">
            <v>-25997.12004946579</v>
          </cell>
        </row>
        <row r="41">
          <cell r="L41">
            <v>-16199.233573095367</v>
          </cell>
        </row>
        <row r="42">
          <cell r="L42">
            <v>-13384.992702418429</v>
          </cell>
        </row>
        <row r="43">
          <cell r="L43">
            <v>-8852.3678865118527</v>
          </cell>
        </row>
        <row r="44">
          <cell r="L44">
            <v>-6519.5958247544877</v>
          </cell>
        </row>
        <row r="45">
          <cell r="L45">
            <v>-78217.929360555048</v>
          </cell>
        </row>
        <row r="46">
          <cell r="L46">
            <v>-37461.424827871677</v>
          </cell>
        </row>
        <row r="47">
          <cell r="L47">
            <v>-14616.078066385006</v>
          </cell>
        </row>
        <row r="48">
          <cell r="L48">
            <v>-6242.9182806587141</v>
          </cell>
        </row>
        <row r="49">
          <cell r="L49">
            <v>-3118.6215831068066</v>
          </cell>
        </row>
        <row r="50">
          <cell r="L50">
            <v>-1627.9835618553084</v>
          </cell>
        </row>
        <row r="51">
          <cell r="L51">
            <v>-783.82853921882997</v>
          </cell>
        </row>
        <row r="52">
          <cell r="L52">
            <v>-298.27026528754777</v>
          </cell>
        </row>
        <row r="53">
          <cell r="L53">
            <v>-62.287026525971783</v>
          </cell>
        </row>
        <row r="54">
          <cell r="L54">
            <v>9.7051567221127198E-3</v>
          </cell>
        </row>
      </sheetData>
      <sheetData sheetId="1">
        <row r="3">
          <cell r="J3" t="str">
            <v>IR DOWN BEL</v>
          </cell>
        </row>
        <row r="4">
          <cell r="D4" t="str">
            <v>DollarDuration</v>
          </cell>
          <cell r="G4" t="str">
            <v>Amount</v>
          </cell>
          <cell r="J4" t="str">
            <v>Maturity</v>
          </cell>
          <cell r="N4">
            <v>2.4127878714670352</v>
          </cell>
          <cell r="P4">
            <v>-231893.05226856651</v>
          </cell>
        </row>
        <row r="5">
          <cell r="C5">
            <v>-384250191.94468641</v>
          </cell>
          <cell r="D5">
            <v>-18969.441276274345</v>
          </cell>
          <cell r="G5">
            <v>-380949662.74122995</v>
          </cell>
          <cell r="H5">
            <v>3300529.2034564614</v>
          </cell>
          <cell r="J5">
            <v>0.5</v>
          </cell>
          <cell r="K5">
            <v>-387919124.37720484</v>
          </cell>
          <cell r="L5">
            <v>-3668932.4325184226</v>
          </cell>
        </row>
        <row r="6">
          <cell r="C6">
            <v>-275990211.47617483</v>
          </cell>
          <cell r="D6">
            <v>-40606.193617223893</v>
          </cell>
          <cell r="G6">
            <v>-268807211.02577883</v>
          </cell>
          <cell r="H6">
            <v>7183000.4503960013</v>
          </cell>
          <cell r="J6">
            <v>1.5</v>
          </cell>
          <cell r="K6">
            <v>-283340670.04593116</v>
          </cell>
          <cell r="L6">
            <v>-7350458.5697563291</v>
          </cell>
        </row>
        <row r="7">
          <cell r="C7">
            <v>-111109771.74229099</v>
          </cell>
          <cell r="D7">
            <v>-27184.8806734709</v>
          </cell>
          <cell r="G7">
            <v>-106541218.55777036</v>
          </cell>
          <cell r="H7">
            <v>4568553.184520632</v>
          </cell>
          <cell r="J7">
            <v>2.5</v>
          </cell>
          <cell r="K7">
            <v>-115453460.05192447</v>
          </cell>
          <cell r="L7">
            <v>-4343688.3096334785</v>
          </cell>
        </row>
        <row r="8">
          <cell r="C8">
            <v>-56875495.342311338</v>
          </cell>
          <cell r="G8">
            <v>-53868188.608128615</v>
          </cell>
          <cell r="H8">
            <v>3007306.7341827229</v>
          </cell>
          <cell r="K8">
            <v>-59638056.396286704</v>
          </cell>
          <cell r="L8">
            <v>-2762561.0539753661</v>
          </cell>
        </row>
        <row r="9">
          <cell r="C9">
            <v>-36961092.609776989</v>
          </cell>
          <cell r="G9">
            <v>-34618510.508671716</v>
          </cell>
          <cell r="H9">
            <v>2342582.1011052728</v>
          </cell>
          <cell r="K9">
            <v>-39085353.586523354</v>
          </cell>
          <cell r="L9">
            <v>-2124260.9767463654</v>
          </cell>
        </row>
        <row r="10">
          <cell r="C10">
            <v>-27059994.741257921</v>
          </cell>
          <cell r="G10">
            <v>-25074083.420245357</v>
          </cell>
          <cell r="H10">
            <v>1985911.321012564</v>
          </cell>
          <cell r="K10">
            <v>-28832216.03690033</v>
          </cell>
          <cell r="L10">
            <v>-1772221.2956424095</v>
          </cell>
        </row>
        <row r="11">
          <cell r="C11">
            <v>-20465697.322464734</v>
          </cell>
          <cell r="G11">
            <v>-18772543.545971554</v>
          </cell>
          <cell r="H11">
            <v>1693153.7764931805</v>
          </cell>
          <cell r="K11">
            <v>-21950954.824389037</v>
          </cell>
          <cell r="L11">
            <v>-1485257.5019243024</v>
          </cell>
        </row>
        <row r="12">
          <cell r="C12">
            <v>-15483817.120307699</v>
          </cell>
          <cell r="G12">
            <v>-14061312.248313431</v>
          </cell>
          <cell r="H12">
            <v>1422504.8719942681</v>
          </cell>
          <cell r="K12">
            <v>-16707241.617125809</v>
          </cell>
          <cell r="L12">
            <v>-1223424.4968181103</v>
          </cell>
        </row>
        <row r="13">
          <cell r="C13">
            <v>-11308214.205481408</v>
          </cell>
          <cell r="G13">
            <v>-10178295.171930147</v>
          </cell>
          <cell r="H13">
            <v>1129919.0335512608</v>
          </cell>
          <cell r="K13">
            <v>-12258202.540381456</v>
          </cell>
          <cell r="L13">
            <v>-949988.33490004763</v>
          </cell>
        </row>
        <row r="14">
          <cell r="C14">
            <v>-8011761.4500078103</v>
          </cell>
          <cell r="G14">
            <v>-7152319.7020059992</v>
          </cell>
          <cell r="H14">
            <v>859441.74800181109</v>
          </cell>
          <cell r="K14">
            <v>-8725097.4087739009</v>
          </cell>
          <cell r="L14">
            <v>-713335.95876609068</v>
          </cell>
        </row>
        <row r="15">
          <cell r="C15">
            <v>-5865575.0803230945</v>
          </cell>
          <cell r="G15">
            <v>-5202391.4938562019</v>
          </cell>
          <cell r="H15">
            <v>663183.58646689262</v>
          </cell>
          <cell r="K15">
            <v>-6426292.6644128328</v>
          </cell>
          <cell r="L15">
            <v>-560717.58408973832</v>
          </cell>
        </row>
        <row r="16">
          <cell r="C16">
            <v>-4668035.1183331115</v>
          </cell>
          <cell r="G16">
            <v>-4119406.8678083224</v>
          </cell>
          <cell r="H16">
            <v>548628.25052478909</v>
          </cell>
          <cell r="K16">
            <v>-5148947.5110013597</v>
          </cell>
          <cell r="L16">
            <v>-480912.39266824815</v>
          </cell>
        </row>
        <row r="17">
          <cell r="C17">
            <v>-4020302.2955996757</v>
          </cell>
          <cell r="G17">
            <v>-3527545.7145665279</v>
          </cell>
          <cell r="H17">
            <v>492756.58103314787</v>
          </cell>
          <cell r="K17">
            <v>-4463232.7214912297</v>
          </cell>
          <cell r="L17">
            <v>-442930.42589155398</v>
          </cell>
        </row>
        <row r="18">
          <cell r="C18">
            <v>-3576752.7281256323</v>
          </cell>
          <cell r="G18">
            <v>-3119024.2650548108</v>
          </cell>
          <cell r="H18">
            <v>457728.46307082148</v>
          </cell>
          <cell r="K18">
            <v>-4001572.8595174369</v>
          </cell>
          <cell r="L18">
            <v>-424820.13139180467</v>
          </cell>
        </row>
        <row r="19">
          <cell r="C19">
            <v>-3137994.8762682639</v>
          </cell>
          <cell r="G19">
            <v>-2715895.342920064</v>
          </cell>
          <cell r="H19">
            <v>422099.53334819991</v>
          </cell>
          <cell r="K19">
            <v>-3537197.767848589</v>
          </cell>
          <cell r="L19">
            <v>-399202.89158032509</v>
          </cell>
        </row>
        <row r="20">
          <cell r="C20">
            <v>-2625152.7546896143</v>
          </cell>
          <cell r="G20">
            <v>-2256500.187347366</v>
          </cell>
          <cell r="H20">
            <v>368652.56734224828</v>
          </cell>
          <cell r="K20">
            <v>-2988547.7781515829</v>
          </cell>
          <cell r="L20">
            <v>-363395.02346196864</v>
          </cell>
        </row>
        <row r="21">
          <cell r="C21">
            <v>-2201150.5001102304</v>
          </cell>
          <cell r="G21">
            <v>-1877382.5896104481</v>
          </cell>
          <cell r="H21">
            <v>323767.9104997823</v>
          </cell>
          <cell r="K21">
            <v>-2535876.3593873712</v>
          </cell>
          <cell r="L21">
            <v>-334725.85927714081</v>
          </cell>
        </row>
        <row r="22">
          <cell r="C22">
            <v>-1868957.2223793317</v>
          </cell>
          <cell r="G22">
            <v>-1578775.2701252785</v>
          </cell>
          <cell r="H22">
            <v>290181.95225405321</v>
          </cell>
          <cell r="K22">
            <v>-2172981.4409990469</v>
          </cell>
          <cell r="L22">
            <v>-304024.21861971519</v>
          </cell>
        </row>
        <row r="23">
          <cell r="C23">
            <v>-1621332.3290444452</v>
          </cell>
          <cell r="G23">
            <v>-1356459.6252075443</v>
          </cell>
          <cell r="H23">
            <v>264872.70383690088</v>
          </cell>
          <cell r="K23">
            <v>-1907491.8957584945</v>
          </cell>
          <cell r="L23">
            <v>-286159.56671404932</v>
          </cell>
        </row>
        <row r="24">
          <cell r="C24">
            <v>-1391344.8400797769</v>
          </cell>
          <cell r="G24">
            <v>-1152872.9803369257</v>
          </cell>
          <cell r="H24">
            <v>238471.85974285123</v>
          </cell>
          <cell r="K24">
            <v>-1656472.156934445</v>
          </cell>
          <cell r="L24">
            <v>-265127.31685466808</v>
          </cell>
        </row>
        <row r="25">
          <cell r="C25">
            <v>-1143260.9550205809</v>
          </cell>
          <cell r="G25">
            <v>-938217.66204083711</v>
          </cell>
          <cell r="H25">
            <v>205043.2929797438</v>
          </cell>
          <cell r="K25">
            <v>-1372788.1265736884</v>
          </cell>
          <cell r="L25">
            <v>-229527.17155310744</v>
          </cell>
        </row>
        <row r="26">
          <cell r="C26">
            <v>-932831.73536998197</v>
          </cell>
          <cell r="G26">
            <v>-758181.49393339502</v>
          </cell>
          <cell r="H26">
            <v>174650.24143658695</v>
          </cell>
          <cell r="K26">
            <v>-1129205.4388068873</v>
          </cell>
          <cell r="L26">
            <v>-196373.70343690529</v>
          </cell>
        </row>
        <row r="27">
          <cell r="C27">
            <v>-766794.17272759252</v>
          </cell>
          <cell r="G27">
            <v>-617248.98750526411</v>
          </cell>
          <cell r="H27">
            <v>149545.18522232841</v>
          </cell>
          <cell r="K27">
            <v>-935780.94326019927</v>
          </cell>
          <cell r="L27">
            <v>-168986.77053260675</v>
          </cell>
        </row>
        <row r="28">
          <cell r="C28">
            <v>-644688.61563014053</v>
          </cell>
          <cell r="G28">
            <v>-513977.48862741463</v>
          </cell>
          <cell r="H28">
            <v>130711.1270027259</v>
          </cell>
          <cell r="K28">
            <v>-793121.47314365453</v>
          </cell>
          <cell r="L28">
            <v>-148432.857513514</v>
          </cell>
        </row>
        <row r="29">
          <cell r="C29">
            <v>-518060.89487233618</v>
          </cell>
          <cell r="G29">
            <v>-409060.04934968636</v>
          </cell>
          <cell r="H29">
            <v>109000.84552264982</v>
          </cell>
          <cell r="K29">
            <v>-642368.01778586465</v>
          </cell>
          <cell r="L29">
            <v>-124307.12291352847</v>
          </cell>
        </row>
        <row r="30">
          <cell r="C30">
            <v>-373889.19486202142</v>
          </cell>
          <cell r="G30">
            <v>-292389.6165385159</v>
          </cell>
          <cell r="H30">
            <v>81499.578323505528</v>
          </cell>
          <cell r="K30">
            <v>-467282.46376726066</v>
          </cell>
          <cell r="L30">
            <v>-93393.268905239238</v>
          </cell>
        </row>
        <row r="31">
          <cell r="C31">
            <v>-253695.25212466475</v>
          </cell>
          <cell r="G31">
            <v>-196491.49267379887</v>
          </cell>
          <cell r="H31">
            <v>57203.75945086588</v>
          </cell>
          <cell r="K31">
            <v>-319559.81586779497</v>
          </cell>
          <cell r="L31">
            <v>-65864.563743130217</v>
          </cell>
        </row>
        <row r="32">
          <cell r="C32">
            <v>-179555.87632130313</v>
          </cell>
          <cell r="G32">
            <v>-137734.92379171686</v>
          </cell>
          <cell r="H32">
            <v>41820.95252958627</v>
          </cell>
          <cell r="K32">
            <v>-227905.3432041473</v>
          </cell>
          <cell r="L32">
            <v>-48349.466882844165</v>
          </cell>
        </row>
        <row r="33">
          <cell r="C33">
            <v>-174064.11080569527</v>
          </cell>
          <cell r="G33">
            <v>-132241.31461767323</v>
          </cell>
          <cell r="H33">
            <v>41822.796188022039</v>
          </cell>
          <cell r="K33">
            <v>-222641.25680509856</v>
          </cell>
          <cell r="L33">
            <v>-48577.145999403292</v>
          </cell>
        </row>
        <row r="34">
          <cell r="C34">
            <v>-165368.21003578024</v>
          </cell>
          <cell r="G34">
            <v>-124429.56446168678</v>
          </cell>
          <cell r="H34">
            <v>40938.645574093462</v>
          </cell>
          <cell r="K34">
            <v>-213137.30567893523</v>
          </cell>
          <cell r="L34">
            <v>-47769.095643154986</v>
          </cell>
        </row>
        <row r="35">
          <cell r="C35">
            <v>-86256.078739195291</v>
          </cell>
          <cell r="G35">
            <v>-64279.743283252275</v>
          </cell>
          <cell r="H35">
            <v>21976.335455943015</v>
          </cell>
          <cell r="K35">
            <v>-112015.92373773688</v>
          </cell>
          <cell r="L35">
            <v>-25759.844998541594</v>
          </cell>
        </row>
        <row r="36">
          <cell r="C36">
            <v>-45587.198659250382</v>
          </cell>
          <cell r="G36">
            <v>-33646.580225040707</v>
          </cell>
          <cell r="H36">
            <v>11940.618434209675</v>
          </cell>
          <cell r="K36">
            <v>-59646.468970884431</v>
          </cell>
          <cell r="L36">
            <v>-14059.270311634049</v>
          </cell>
        </row>
        <row r="37">
          <cell r="C37">
            <v>-29943.495343037397</v>
          </cell>
          <cell r="G37">
            <v>-21888.429229288955</v>
          </cell>
          <cell r="H37">
            <v>8055.0661137484421</v>
          </cell>
          <cell r="K37">
            <v>-39469.938974174176</v>
          </cell>
          <cell r="L37">
            <v>-9526.443631136779</v>
          </cell>
        </row>
        <row r="38">
          <cell r="C38">
            <v>-21602.265869509338</v>
          </cell>
          <cell r="G38">
            <v>-15639.60022901969</v>
          </cell>
          <cell r="H38">
            <v>5962.6656404896476</v>
          </cell>
          <cell r="K38">
            <v>-28685.019802143877</v>
          </cell>
          <cell r="L38">
            <v>-7082.7539326345395</v>
          </cell>
        </row>
        <row r="39">
          <cell r="C39">
            <v>-14553.549909947036</v>
          </cell>
          <cell r="G39">
            <v>-10435.413940153912</v>
          </cell>
          <cell r="H39">
            <v>4118.1359697931239</v>
          </cell>
          <cell r="K39">
            <v>-19463.183054214078</v>
          </cell>
          <cell r="L39">
            <v>-4909.6331442670416</v>
          </cell>
        </row>
        <row r="40">
          <cell r="C40">
            <v>-8517.6707735150048</v>
          </cell>
          <cell r="G40">
            <v>-6048.8814903224729</v>
          </cell>
          <cell r="H40">
            <v>2468.7892831925319</v>
          </cell>
          <cell r="K40">
            <v>-11473.532574841689</v>
          </cell>
          <cell r="L40">
            <v>-2955.8618013266841</v>
          </cell>
        </row>
        <row r="41">
          <cell r="C41">
            <v>-5140.5262208047488</v>
          </cell>
          <cell r="G41">
            <v>-3615.5645643011976</v>
          </cell>
          <cell r="H41">
            <v>1524.9616565035512</v>
          </cell>
          <cell r="K41">
            <v>-6974.044120796575</v>
          </cell>
          <cell r="L41">
            <v>-1833.5178999918262</v>
          </cell>
        </row>
        <row r="42">
          <cell r="C42">
            <v>-4112.9847272039206</v>
          </cell>
          <cell r="G42">
            <v>-2865.1046124963409</v>
          </cell>
          <cell r="H42">
            <v>1247.8801147075797</v>
          </cell>
          <cell r="K42">
            <v>-5618.5650993513391</v>
          </cell>
          <cell r="L42">
            <v>-1505.5803721474185</v>
          </cell>
        </row>
        <row r="43">
          <cell r="C43">
            <v>-2634.4391921859669</v>
          </cell>
          <cell r="G43">
            <v>-1817.545974634663</v>
          </cell>
          <cell r="H43">
            <v>816.89321755130391</v>
          </cell>
          <cell r="K43">
            <v>-3624.0679582184262</v>
          </cell>
          <cell r="L43">
            <v>-989.62876603245923</v>
          </cell>
        </row>
        <row r="44">
          <cell r="C44">
            <v>-1879.0011048754811</v>
          </cell>
          <cell r="G44">
            <v>-1283.9230351191213</v>
          </cell>
          <cell r="H44">
            <v>595.07806975635981</v>
          </cell>
          <cell r="K44">
            <v>-2602.822915148608</v>
          </cell>
          <cell r="L44">
            <v>-723.82181027312686</v>
          </cell>
        </row>
        <row r="45">
          <cell r="C45">
            <v>-21826.909539482389</v>
          </cell>
          <cell r="G45">
            <v>-14771.326310483673</v>
          </cell>
          <cell r="H45">
            <v>7055.5832289987156</v>
          </cell>
          <cell r="K45">
            <v>-30437.095161528312</v>
          </cell>
          <cell r="L45">
            <v>-8610.1856220459231</v>
          </cell>
        </row>
        <row r="46">
          <cell r="C46">
            <v>-10123.249030073173</v>
          </cell>
          <cell r="G46">
            <v>-6785.1797607955396</v>
          </cell>
          <cell r="H46">
            <v>3338.0692692776338</v>
          </cell>
          <cell r="K46">
            <v>-14212.785139494817</v>
          </cell>
          <cell r="L46">
            <v>-4089.5361094216441</v>
          </cell>
        </row>
        <row r="47">
          <cell r="C47">
            <v>-3824.7606342187919</v>
          </cell>
          <cell r="G47">
            <v>-2538.9891179557421</v>
          </cell>
          <cell r="H47">
            <v>1285.7715162630498</v>
          </cell>
          <cell r="K47">
            <v>-5406.0694051868377</v>
          </cell>
          <cell r="L47">
            <v>-1581.3087709680458</v>
          </cell>
        </row>
        <row r="48">
          <cell r="C48">
            <v>-1581.9233671731272</v>
          </cell>
          <cell r="G48">
            <v>-1040.0553121153466</v>
          </cell>
          <cell r="H48">
            <v>541.86805505778057</v>
          </cell>
          <cell r="K48">
            <v>-2250.3983087338061</v>
          </cell>
          <cell r="L48">
            <v>-668.47494156067887</v>
          </cell>
        </row>
        <row r="49">
          <cell r="C49">
            <v>-765.19668394697669</v>
          </cell>
          <cell r="G49">
            <v>-498.2639623796116</v>
          </cell>
          <cell r="H49">
            <v>266.93272156736509</v>
          </cell>
          <cell r="K49">
            <v>-1095.4916138295864</v>
          </cell>
          <cell r="L49">
            <v>-330.29492988260972</v>
          </cell>
        </row>
        <row r="50">
          <cell r="C50">
            <v>-386.77597421229893</v>
          </cell>
          <cell r="G50">
            <v>-249.43679986573787</v>
          </cell>
          <cell r="H50">
            <v>137.33917434656107</v>
          </cell>
          <cell r="K50">
            <v>-557.34024666393645</v>
          </cell>
          <cell r="L50">
            <v>-170.56427245163752</v>
          </cell>
        </row>
        <row r="51">
          <cell r="C51">
            <v>-180.34963705184495</v>
          </cell>
          <cell r="G51">
            <v>-115.19418834568674</v>
          </cell>
          <cell r="H51">
            <v>65.155448706158211</v>
          </cell>
          <cell r="K51">
            <v>-261.56053874135495</v>
          </cell>
          <cell r="L51">
            <v>-81.210901689509996</v>
          </cell>
        </row>
        <row r="52">
          <cell r="C52">
            <v>-66.447878392517538</v>
          </cell>
          <cell r="G52">
            <v>-42.035110188959536</v>
          </cell>
          <cell r="H52">
            <v>24.412768203558002</v>
          </cell>
          <cell r="K52">
            <v>-96.962183110966762</v>
          </cell>
          <cell r="L52">
            <v>-30.514304718449225</v>
          </cell>
        </row>
        <row r="53">
          <cell r="C53">
            <v>-13.434823666558389</v>
          </cell>
          <cell r="G53">
            <v>-8.4174005736351951</v>
          </cell>
          <cell r="H53">
            <v>5.0174230929231936</v>
          </cell>
          <cell r="K53">
            <v>-19.723508768196542</v>
          </cell>
          <cell r="L53">
            <v>-6.2886851016381531</v>
          </cell>
        </row>
        <row r="54">
          <cell r="C54">
            <v>2.0266964927786782E-3</v>
          </cell>
          <cell r="G54">
            <v>1.2576238843624097E-3</v>
          </cell>
          <cell r="H54">
            <v>-7.6907260841626852E-4</v>
          </cell>
          <cell r="K54">
            <v>2.9939318241572598E-3</v>
          </cell>
          <cell r="L54">
            <v>9.6723533137858158E-4</v>
          </cell>
        </row>
      </sheetData>
      <sheetData sheetId="2">
        <row r="3">
          <cell r="D3">
            <v>-898438105.94142079</v>
          </cell>
          <cell r="G3">
            <v>-865186763.11524057</v>
          </cell>
          <cell r="J3">
            <v>-844784791.44157958</v>
          </cell>
          <cell r="M3">
            <v>-885436664.45787048</v>
          </cell>
        </row>
        <row r="4">
          <cell r="D4">
            <v>-99516046.979921997</v>
          </cell>
          <cell r="G4">
            <v>-82329484.839519575</v>
          </cell>
          <cell r="J4">
            <v>-75238554.08846648</v>
          </cell>
          <cell r="M4">
            <v>-88473712.427570537</v>
          </cell>
        </row>
        <row r="5">
          <cell r="D5">
            <v>-47098807.5908911</v>
          </cell>
          <cell r="G5">
            <v>-30976597.744953178</v>
          </cell>
          <cell r="J5">
            <v>-26906254.336833492</v>
          </cell>
          <cell r="M5">
            <v>-34838613.155502386</v>
          </cell>
        </row>
        <row r="6">
          <cell r="D6">
            <v>-10673672.364642477</v>
          </cell>
          <cell r="G6">
            <v>-5152209.0177700957</v>
          </cell>
          <cell r="J6">
            <v>-4119972.5935399891</v>
          </cell>
          <cell r="M6">
            <v>-6323790.1848935299</v>
          </cell>
        </row>
        <row r="7">
          <cell r="D7">
            <v>-748068.15941765439</v>
          </cell>
          <cell r="G7">
            <v>-258996.25608104572</v>
          </cell>
          <cell r="J7">
            <v>-187569.68328870938</v>
          </cell>
          <cell r="M7">
            <v>-343910.99031963607</v>
          </cell>
        </row>
      </sheetData>
      <sheetData sheetId="3">
        <row r="3">
          <cell r="D3">
            <v>20401971.67366109</v>
          </cell>
          <cell r="G3">
            <v>-20249901.342629962</v>
          </cell>
          <cell r="J3">
            <v>-122465.37720491539</v>
          </cell>
        </row>
        <row r="4">
          <cell r="D4">
            <v>7090930.7510530846</v>
          </cell>
          <cell r="G4">
            <v>-6144227.5880509606</v>
          </cell>
          <cell r="J4">
            <v>-55589.993672739365</v>
          </cell>
        </row>
        <row r="5">
          <cell r="D5">
            <v>4070343.4081196869</v>
          </cell>
          <cell r="G5">
            <v>-3862015.4105492122</v>
          </cell>
          <cell r="J5">
            <v>-41393.642251204546</v>
          </cell>
        </row>
        <row r="6">
          <cell r="D6">
            <v>1032236.424230108</v>
          </cell>
          <cell r="G6">
            <v>-1171581.1671234337</v>
          </cell>
          <cell r="J6">
            <v>-11602.005789938878</v>
          </cell>
        </row>
        <row r="7">
          <cell r="D7">
            <v>71426.572792336359</v>
          </cell>
          <cell r="G7">
            <v>-84914.734238590318</v>
          </cell>
          <cell r="J7">
            <v>-842.0333497683273</v>
          </cell>
        </row>
      </sheetData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_BEL"/>
      <sheetName val="Result"/>
      <sheetName val="Stat by Mat"/>
      <sheetName val="Stat by Mat 2"/>
      <sheetName val="ISPP_BEL_Summary_31Dicembre24"/>
    </sheetNames>
    <definedNames>
      <definedName name="DELTA1PERC" refersTo="='Result'!$P$4"/>
      <definedName name="DURATION" refersTo="='Result'!$N$4"/>
    </definedNames>
    <sheetDataSet>
      <sheetData sheetId="0">
        <row r="5">
          <cell r="L5">
            <v>-410761441.88604856</v>
          </cell>
        </row>
        <row r="6">
          <cell r="L6">
            <v>-221463796.43262094</v>
          </cell>
        </row>
        <row r="7">
          <cell r="L7">
            <v>-110286279.41700368</v>
          </cell>
        </row>
        <row r="8">
          <cell r="L8">
            <v>-61569787.045042247</v>
          </cell>
        </row>
        <row r="9">
          <cell r="L9">
            <v>-44622320.258215055</v>
          </cell>
        </row>
        <row r="10">
          <cell r="L10">
            <v>-35347016.025933817</v>
          </cell>
        </row>
        <row r="11">
          <cell r="L11">
            <v>-27851121.843706787</v>
          </cell>
        </row>
        <row r="12">
          <cell r="L12">
            <v>-22169217.191406183</v>
          </cell>
        </row>
        <row r="13">
          <cell r="L13">
            <v>-17687370.371356182</v>
          </cell>
        </row>
        <row r="14">
          <cell r="L14">
            <v>-15306876.983461281</v>
          </cell>
        </row>
        <row r="15">
          <cell r="L15">
            <v>-12390596.071672451</v>
          </cell>
        </row>
        <row r="16">
          <cell r="L16">
            <v>-9328454.3494528625</v>
          </cell>
        </row>
        <row r="17">
          <cell r="L17">
            <v>-8056794.6031108005</v>
          </cell>
        </row>
        <row r="18">
          <cell r="L18">
            <v>-7081022.4628984118</v>
          </cell>
        </row>
        <row r="19">
          <cell r="L19">
            <v>-6421670.6972385729</v>
          </cell>
        </row>
        <row r="20">
          <cell r="L20">
            <v>-5495414.7957005659</v>
          </cell>
        </row>
        <row r="21">
          <cell r="L21">
            <v>-4694345.207257309</v>
          </cell>
        </row>
        <row r="22">
          <cell r="L22">
            <v>-3957281.2232167013</v>
          </cell>
        </row>
        <row r="23">
          <cell r="L23">
            <v>-3349298.4023447423</v>
          </cell>
        </row>
        <row r="24">
          <cell r="L24">
            <v>-3000174.4738639593</v>
          </cell>
        </row>
        <row r="25">
          <cell r="L25">
            <v>-2592655.3461945285</v>
          </cell>
        </row>
        <row r="26">
          <cell r="L26">
            <v>-2225910.9597484022</v>
          </cell>
        </row>
        <row r="27">
          <cell r="L27">
            <v>-1890458.9746624578</v>
          </cell>
        </row>
        <row r="28">
          <cell r="L28">
            <v>-1610602.1758844741</v>
          </cell>
        </row>
        <row r="29">
          <cell r="L29">
            <v>-1416250.05750589</v>
          </cell>
        </row>
        <row r="30">
          <cell r="L30">
            <v>-1128927.2459539161</v>
          </cell>
        </row>
        <row r="31">
          <cell r="L31">
            <v>-870297.4756838769</v>
          </cell>
        </row>
        <row r="32">
          <cell r="L32">
            <v>-638297.0482077268</v>
          </cell>
        </row>
        <row r="33">
          <cell r="L33">
            <v>-471378.34718957852</v>
          </cell>
        </row>
        <row r="34">
          <cell r="L34">
            <v>-494216.78725635784</v>
          </cell>
        </row>
        <row r="35">
          <cell r="L35">
            <v>-281307.04179014836</v>
          </cell>
        </row>
        <row r="36">
          <cell r="L36">
            <v>-171416.89690077261</v>
          </cell>
        </row>
        <row r="37">
          <cell r="L37">
            <v>-122010.59837319028</v>
          </cell>
        </row>
        <row r="38">
          <cell r="L38">
            <v>-102040.15119655791</v>
          </cell>
        </row>
        <row r="39">
          <cell r="L39">
            <v>-83850.062950062362</v>
          </cell>
        </row>
        <row r="40">
          <cell r="L40">
            <v>-58208.782723055891</v>
          </cell>
        </row>
        <row r="41">
          <cell r="L41">
            <v>-42850.997455033634</v>
          </cell>
        </row>
        <row r="42">
          <cell r="L42">
            <v>-33508.139041651033</v>
          </cell>
        </row>
        <row r="43">
          <cell r="L43">
            <v>-30631.270322038941</v>
          </cell>
        </row>
        <row r="44">
          <cell r="L44">
            <v>-25107.345636600981</v>
          </cell>
        </row>
        <row r="45">
          <cell r="L45">
            <v>-10330.270501460576</v>
          </cell>
        </row>
        <row r="46">
          <cell r="L46">
            <v>-4345.7647109164582</v>
          </cell>
        </row>
        <row r="47">
          <cell r="L47">
            <v>-2247.7539742395365</v>
          </cell>
        </row>
        <row r="48">
          <cell r="L48">
            <v>-1370.7656215021145</v>
          </cell>
        </row>
        <row r="49">
          <cell r="L49">
            <v>-783.02277338053375</v>
          </cell>
        </row>
        <row r="50">
          <cell r="L50">
            <v>-439.49065664601306</v>
          </cell>
        </row>
        <row r="51">
          <cell r="L51">
            <v>-234.21458037811101</v>
          </cell>
        </row>
        <row r="52">
          <cell r="L52">
            <v>-108.71119017222405</v>
          </cell>
        </row>
        <row r="53">
          <cell r="L53">
            <v>-41.184322737764781</v>
          </cell>
        </row>
        <row r="54">
          <cell r="L54">
            <v>-11.016512418472226</v>
          </cell>
        </row>
      </sheetData>
      <sheetData sheetId="1">
        <row r="4">
          <cell r="N4">
            <v>2.7727166875900955</v>
          </cell>
          <cell r="P4">
            <v>-266547.37028452335</v>
          </cell>
        </row>
        <row r="5">
          <cell r="C5">
            <v>-406269567.28191108</v>
          </cell>
          <cell r="G5">
            <v>-403240781.00316268</v>
          </cell>
          <cell r="H5">
            <v>3028786.2787483931</v>
          </cell>
          <cell r="K5">
            <v>-409619745.73744774</v>
          </cell>
          <cell r="L5">
            <v>-3350178.4555366635</v>
          </cell>
        </row>
        <row r="6">
          <cell r="C6">
            <v>-214548311.52601832</v>
          </cell>
          <cell r="G6">
            <v>-209930757.11303619</v>
          </cell>
          <cell r="H6">
            <v>4617554.412982136</v>
          </cell>
          <cell r="K6">
            <v>-219242592.07457894</v>
          </cell>
          <cell r="L6">
            <v>-4694280.5485606194</v>
          </cell>
        </row>
        <row r="7">
          <cell r="C7">
            <v>-104726083.85934186</v>
          </cell>
          <cell r="G7">
            <v>-101251732.20096369</v>
          </cell>
          <cell r="H7">
            <v>3474351.6583781689</v>
          </cell>
          <cell r="K7">
            <v>-107990718.18380034</v>
          </cell>
          <cell r="L7">
            <v>-3264634.3244584799</v>
          </cell>
        </row>
        <row r="8">
          <cell r="C8">
            <v>-57237126.48041036</v>
          </cell>
          <cell r="G8">
            <v>-54781624.292204224</v>
          </cell>
          <cell r="H8">
            <v>2455502.1882061362</v>
          </cell>
          <cell r="K8">
            <v>-59463221.512449503</v>
          </cell>
          <cell r="L8">
            <v>-2226095.0320391431</v>
          </cell>
        </row>
        <row r="9">
          <cell r="C9">
            <v>-40583177.742402881</v>
          </cell>
          <cell r="G9">
            <v>-38489727.707574375</v>
          </cell>
          <cell r="H9">
            <v>2093450.0348285064</v>
          </cell>
          <cell r="K9">
            <v>-42453791.686544105</v>
          </cell>
          <cell r="L9">
            <v>-1870613.944141224</v>
          </cell>
        </row>
        <row r="10">
          <cell r="C10">
            <v>-31434025.285527989</v>
          </cell>
          <cell r="G10">
            <v>-29557621.85310461</v>
          </cell>
          <cell r="H10">
            <v>1876403.4324233793</v>
          </cell>
          <cell r="K10">
            <v>-33081007.143572282</v>
          </cell>
          <cell r="L10">
            <v>-1646981.8580442928</v>
          </cell>
        </row>
        <row r="11">
          <cell r="C11">
            <v>-24202142.482976034</v>
          </cell>
          <cell r="G11">
            <v>-22575404.271454871</v>
          </cell>
          <cell r="H11">
            <v>1626738.2115211636</v>
          </cell>
          <cell r="K11">
            <v>-25604221.734046802</v>
          </cell>
          <cell r="L11">
            <v>-1402079.2510707676</v>
          </cell>
        </row>
        <row r="12">
          <cell r="C12">
            <v>-18817189.625253856</v>
          </cell>
          <cell r="G12">
            <v>-17417735.248921089</v>
          </cell>
          <cell r="H12">
            <v>1399454.3763327673</v>
          </cell>
          <cell r="K12">
            <v>-19998371.059304893</v>
          </cell>
          <cell r="L12">
            <v>-1181181.4340510368</v>
          </cell>
        </row>
        <row r="13">
          <cell r="C13">
            <v>-14661063.072744768</v>
          </cell>
          <cell r="G13">
            <v>-13474429.017516943</v>
          </cell>
          <cell r="H13">
            <v>1186634.0552278254</v>
          </cell>
          <cell r="K13">
            <v>-15631630.322843688</v>
          </cell>
          <cell r="L13">
            <v>-970567.2500989195</v>
          </cell>
        </row>
        <row r="14">
          <cell r="C14">
            <v>-12384844.152366603</v>
          </cell>
          <cell r="G14">
            <v>-11291968.521259354</v>
          </cell>
          <cell r="H14">
            <v>1092875.6311072484</v>
          </cell>
          <cell r="K14">
            <v>-13245136.154642856</v>
          </cell>
          <cell r="L14">
            <v>-860292.00227625296</v>
          </cell>
        </row>
        <row r="15">
          <cell r="C15">
            <v>-9782683.9619774539</v>
          </cell>
          <cell r="G15">
            <v>-8833234.5150406864</v>
          </cell>
          <cell r="H15">
            <v>949449.44693676755</v>
          </cell>
          <cell r="K15">
            <v>-10507473.155028401</v>
          </cell>
          <cell r="L15">
            <v>-724789.19305094704</v>
          </cell>
        </row>
        <row r="16">
          <cell r="C16">
            <v>-7184515.3141524699</v>
          </cell>
          <cell r="G16">
            <v>-6424569.2629000656</v>
          </cell>
          <cell r="H16">
            <v>759946.05125240423</v>
          </cell>
          <cell r="K16">
            <v>-7754517.1771637099</v>
          </cell>
          <cell r="L16">
            <v>-570001.86301124003</v>
          </cell>
        </row>
        <row r="17">
          <cell r="C17">
            <v>-6051418.5801915471</v>
          </cell>
          <cell r="G17">
            <v>-5359060.7431114502</v>
          </cell>
          <cell r="H17">
            <v>692357.83708009683</v>
          </cell>
          <cell r="K17">
            <v>-6560831.9450118011</v>
          </cell>
          <cell r="L17">
            <v>-509413.36482025404</v>
          </cell>
        </row>
        <row r="18">
          <cell r="C18">
            <v>-5189275.8439747514</v>
          </cell>
          <cell r="G18">
            <v>-4551144.0685484186</v>
          </cell>
          <cell r="H18">
            <v>638131.77542633284</v>
          </cell>
          <cell r="K18">
            <v>-5657170.7119789897</v>
          </cell>
          <cell r="L18">
            <v>-467894.86800423823</v>
          </cell>
        </row>
        <row r="19">
          <cell r="C19">
            <v>-4596746.7932551373</v>
          </cell>
          <cell r="G19">
            <v>-3992467.9502771958</v>
          </cell>
          <cell r="H19">
            <v>604278.8429779415</v>
          </cell>
          <cell r="K19">
            <v>-5035580.8891943507</v>
          </cell>
          <cell r="L19">
            <v>-438834.09593921341</v>
          </cell>
        </row>
        <row r="20">
          <cell r="C20">
            <v>-3848470.8486842792</v>
          </cell>
          <cell r="G20">
            <v>-3310160.3877502163</v>
          </cell>
          <cell r="H20">
            <v>538310.46093406295</v>
          </cell>
          <cell r="K20">
            <v>-4241254.1835849546</v>
          </cell>
          <cell r="L20">
            <v>-392783.33490067534</v>
          </cell>
        </row>
        <row r="21">
          <cell r="C21">
            <v>-3220826.4771181652</v>
          </cell>
          <cell r="G21">
            <v>-2743423.4779524943</v>
          </cell>
          <cell r="H21">
            <v>477402.99916567095</v>
          </cell>
          <cell r="K21">
            <v>-3575828.7827632939</v>
          </cell>
          <cell r="L21">
            <v>-355002.30564512871</v>
          </cell>
        </row>
        <row r="22">
          <cell r="C22">
            <v>-2661997.4845032752</v>
          </cell>
          <cell r="G22">
            <v>-2245409.6224873122</v>
          </cell>
          <cell r="H22">
            <v>416587.86201596307</v>
          </cell>
          <cell r="K22">
            <v>-2971700.7335733278</v>
          </cell>
          <cell r="L22">
            <v>-309703.24907005252</v>
          </cell>
        </row>
        <row r="23">
          <cell r="C23">
            <v>-2209104.353709267</v>
          </cell>
          <cell r="G23">
            <v>-1845299.4251797888</v>
          </cell>
          <cell r="H23">
            <v>363804.92852947814</v>
          </cell>
          <cell r="K23">
            <v>-2485004.6222076043</v>
          </cell>
          <cell r="L23">
            <v>-275900.26849833736</v>
          </cell>
        </row>
        <row r="24">
          <cell r="C24">
            <v>-1939217.5681337025</v>
          </cell>
          <cell r="G24">
            <v>-1604141.9643414931</v>
          </cell>
          <cell r="H24">
            <v>335075.60379220941</v>
          </cell>
          <cell r="K24">
            <v>-2198639.5781404981</v>
          </cell>
          <cell r="L24">
            <v>-259422.01000679564</v>
          </cell>
        </row>
        <row r="25">
          <cell r="C25">
            <v>-1640508.4787056614</v>
          </cell>
          <cell r="G25">
            <v>-1343894.8256911838</v>
          </cell>
          <cell r="H25">
            <v>296613.65301447758</v>
          </cell>
          <cell r="K25">
            <v>-1870865.1846193932</v>
          </cell>
          <cell r="L25">
            <v>-230356.70591373183</v>
          </cell>
        </row>
        <row r="26">
          <cell r="C26">
            <v>-1377049.5566974862</v>
          </cell>
          <cell r="G26">
            <v>-1117151.7834582352</v>
          </cell>
          <cell r="H26">
            <v>259897.77323925099</v>
          </cell>
          <cell r="K26">
            <v>-1579674.3494934409</v>
          </cell>
          <cell r="L26">
            <v>-202624.79279595474</v>
          </cell>
        </row>
        <row r="27">
          <cell r="C27">
            <v>-1142047.5792431154</v>
          </cell>
          <cell r="G27">
            <v>-917545.75427443837</v>
          </cell>
          <cell r="H27">
            <v>224501.82496867701</v>
          </cell>
          <cell r="K27">
            <v>-1318184.5299149656</v>
          </cell>
          <cell r="L27">
            <v>-176136.95067185024</v>
          </cell>
        </row>
        <row r="28">
          <cell r="C28">
            <v>-949243.76978392259</v>
          </cell>
          <cell r="G28">
            <v>-755275.71717289777</v>
          </cell>
          <cell r="H28">
            <v>193968.05261102482</v>
          </cell>
          <cell r="K28">
            <v>-1102635.8839728311</v>
          </cell>
          <cell r="L28">
            <v>-153392.11418890848</v>
          </cell>
        </row>
        <row r="29">
          <cell r="C29">
            <v>-813587.9784367627</v>
          </cell>
          <cell r="G29">
            <v>-641092.86048556375</v>
          </cell>
          <cell r="H29">
            <v>172495.11795119895</v>
          </cell>
          <cell r="K29">
            <v>-951198.60167908727</v>
          </cell>
          <cell r="L29">
            <v>-137610.62324232457</v>
          </cell>
        </row>
        <row r="30">
          <cell r="C30">
            <v>-631576.88766809157</v>
          </cell>
          <cell r="G30">
            <v>-492872.16860138945</v>
          </cell>
          <cell r="H30">
            <v>138704.71906670212</v>
          </cell>
          <cell r="K30">
            <v>-743389.39326805295</v>
          </cell>
          <cell r="L30">
            <v>-111812.50559996138</v>
          </cell>
        </row>
        <row r="31">
          <cell r="C31">
            <v>-473892.66461746511</v>
          </cell>
          <cell r="G31">
            <v>-366253.75678502617</v>
          </cell>
          <cell r="H31">
            <v>107638.90783243894</v>
          </cell>
          <cell r="K31">
            <v>-561569.76077279693</v>
          </cell>
          <cell r="L31">
            <v>-87677.096155331819</v>
          </cell>
        </row>
        <row r="32">
          <cell r="C32">
            <v>-338088.76697134081</v>
          </cell>
          <cell r="G32">
            <v>-258779.2123143888</v>
          </cell>
          <cell r="H32">
            <v>79309.554656952008</v>
          </cell>
          <cell r="K32">
            <v>-403366.76997246849</v>
          </cell>
          <cell r="L32">
            <v>-65278.003001127683</v>
          </cell>
        </row>
        <row r="33">
          <cell r="C33">
            <v>-242719.23956742758</v>
          </cell>
          <cell r="G33">
            <v>-183993.30491281356</v>
          </cell>
          <cell r="H33">
            <v>58725.934654614015</v>
          </cell>
          <cell r="K33">
            <v>-291643.18613309751</v>
          </cell>
          <cell r="L33">
            <v>-48923.946565669932</v>
          </cell>
        </row>
        <row r="34">
          <cell r="C34">
            <v>-247263.40375689088</v>
          </cell>
          <cell r="G34">
            <v>-185634.49140525653</v>
          </cell>
          <cell r="H34">
            <v>61628.912351634353</v>
          </cell>
          <cell r="K34">
            <v>-299229.86953206715</v>
          </cell>
          <cell r="L34">
            <v>-51966.465775176272</v>
          </cell>
        </row>
        <row r="35">
          <cell r="C35">
            <v>-136700.46246529298</v>
          </cell>
          <cell r="G35">
            <v>-101641.57244029923</v>
          </cell>
          <cell r="H35">
            <v>35058.890024993743</v>
          </cell>
          <cell r="K35">
            <v>-166597.34146416438</v>
          </cell>
          <cell r="L35">
            <v>-29896.878998871398</v>
          </cell>
        </row>
        <row r="36">
          <cell r="C36">
            <v>-80877.801430090927</v>
          </cell>
          <cell r="G36">
            <v>-59557.277934605903</v>
          </cell>
          <cell r="H36">
            <v>21320.523495485024</v>
          </cell>
          <cell r="K36">
            <v>-99265.044391061077</v>
          </cell>
          <cell r="L36">
            <v>-18387.24296097015</v>
          </cell>
        </row>
        <row r="37">
          <cell r="C37">
            <v>-55872.606960176388</v>
          </cell>
          <cell r="G37">
            <v>-40748.356712837667</v>
          </cell>
          <cell r="H37">
            <v>15124.250247338721</v>
          </cell>
          <cell r="K37">
            <v>-69063.850992885404</v>
          </cell>
          <cell r="L37">
            <v>-13191.244032709015</v>
          </cell>
        </row>
        <row r="38">
          <cell r="C38">
            <v>-45335.408136546612</v>
          </cell>
          <cell r="G38">
            <v>-32745.822406670712</v>
          </cell>
          <cell r="H38">
            <v>12589.5857298759</v>
          </cell>
          <cell r="K38">
            <v>-56440.409715087895</v>
          </cell>
          <cell r="L38">
            <v>-11105.001578541283</v>
          </cell>
        </row>
        <row r="39">
          <cell r="C39">
            <v>-36136.604794043742</v>
          </cell>
          <cell r="G39">
            <v>-25850.765850852436</v>
          </cell>
          <cell r="H39">
            <v>10285.838943191306</v>
          </cell>
          <cell r="K39">
            <v>-45312.435889271255</v>
          </cell>
          <cell r="L39">
            <v>-9175.8310952275133</v>
          </cell>
        </row>
        <row r="40">
          <cell r="C40">
            <v>-24329.259676013822</v>
          </cell>
          <cell r="G40">
            <v>-17237.082905745283</v>
          </cell>
          <cell r="H40">
            <v>7092.1767702685393</v>
          </cell>
          <cell r="K40">
            <v>-30727.878126770429</v>
          </cell>
          <cell r="L40">
            <v>-6398.6184507566068</v>
          </cell>
        </row>
        <row r="41">
          <cell r="C41">
            <v>-17366.921184933359</v>
          </cell>
          <cell r="G41">
            <v>-12186.159655784773</v>
          </cell>
          <cell r="H41">
            <v>5180.7615291485854</v>
          </cell>
          <cell r="K41">
            <v>-22090.163156288876</v>
          </cell>
          <cell r="L41">
            <v>-4723.2419713555173</v>
          </cell>
        </row>
        <row r="42">
          <cell r="C42">
            <v>-13166.350836826845</v>
          </cell>
          <cell r="G42">
            <v>-9149.9688805807182</v>
          </cell>
          <cell r="H42">
            <v>4016.3819562461267</v>
          </cell>
          <cell r="K42">
            <v>-16863.439475386109</v>
          </cell>
          <cell r="L42">
            <v>-3697.0886385592639</v>
          </cell>
        </row>
        <row r="43">
          <cell r="C43">
            <v>-11667.318777223181</v>
          </cell>
          <cell r="G43">
            <v>-8030.371258332998</v>
          </cell>
          <cell r="H43">
            <v>3636.9475188901833</v>
          </cell>
          <cell r="K43">
            <v>-15047.515492846174</v>
          </cell>
          <cell r="L43">
            <v>-3380.196715622993</v>
          </cell>
        </row>
        <row r="44">
          <cell r="C44">
            <v>-9269.2003532640229</v>
          </cell>
          <cell r="G44">
            <v>-6318.5598314359777</v>
          </cell>
          <cell r="H44">
            <v>2950.6405218280452</v>
          </cell>
          <cell r="K44">
            <v>-12038.06935482667</v>
          </cell>
          <cell r="L44">
            <v>-2768.8690015626471</v>
          </cell>
        </row>
        <row r="45">
          <cell r="C45">
            <v>-3695.3322332462694</v>
          </cell>
          <cell r="G45">
            <v>-2494.8353898652531</v>
          </cell>
          <cell r="H45">
            <v>1200.4968433810163</v>
          </cell>
          <cell r="K45">
            <v>-4832.7739009349471</v>
          </cell>
          <cell r="L45">
            <v>-1137.4416676886776</v>
          </cell>
        </row>
        <row r="46">
          <cell r="C46">
            <v>-1506.1241171591437</v>
          </cell>
          <cell r="G46">
            <v>-1007.0749016701059</v>
          </cell>
          <cell r="H46">
            <v>499.04921548903781</v>
          </cell>
          <cell r="K46">
            <v>-1983.5385125659845</v>
          </cell>
          <cell r="L46">
            <v>-477.41439540684087</v>
          </cell>
        </row>
        <row r="47">
          <cell r="C47">
            <v>-754.82288074760118</v>
          </cell>
          <cell r="G47">
            <v>-499.87125510393378</v>
          </cell>
          <cell r="H47">
            <v>254.9516256436674</v>
          </cell>
          <cell r="K47">
            <v>-1000.8757465373787</v>
          </cell>
          <cell r="L47">
            <v>-246.05286578977757</v>
          </cell>
        </row>
        <row r="48">
          <cell r="C48">
            <v>-445.90216911249036</v>
          </cell>
          <cell r="G48">
            <v>-292.46023079290791</v>
          </cell>
          <cell r="H48">
            <v>153.44193831958245</v>
          </cell>
          <cell r="K48">
            <v>-595.29550746382574</v>
          </cell>
          <cell r="L48">
            <v>-149.39333835133539</v>
          </cell>
        </row>
        <row r="49">
          <cell r="C49">
            <v>-246.71830702360589</v>
          </cell>
          <cell r="G49">
            <v>-160.26610577731816</v>
          </cell>
          <cell r="H49">
            <v>86.452201246287729</v>
          </cell>
          <cell r="K49">
            <v>-331.63282405154064</v>
          </cell>
          <cell r="L49">
            <v>-84.91451702793475</v>
          </cell>
        </row>
        <row r="50">
          <cell r="C50">
            <v>-134.15362518630113</v>
          </cell>
          <cell r="G50">
            <v>-86.308970310823227</v>
          </cell>
          <cell r="H50">
            <v>47.8446548754779</v>
          </cell>
          <cell r="K50">
            <v>-181.52179988052393</v>
          </cell>
          <cell r="L50">
            <v>-47.368174694222802</v>
          </cell>
        </row>
        <row r="51">
          <cell r="C51">
            <v>-69.244102596421072</v>
          </cell>
          <cell r="G51">
            <v>-44.121531939008854</v>
          </cell>
          <cell r="H51">
            <v>25.122570657412219</v>
          </cell>
          <cell r="K51">
            <v>-94.314546606133291</v>
          </cell>
          <cell r="L51">
            <v>-25.070444009712219</v>
          </cell>
        </row>
        <row r="52">
          <cell r="C52">
            <v>-31.127872028427742</v>
          </cell>
          <cell r="G52">
            <v>-19.644053164130273</v>
          </cell>
          <cell r="H52">
            <v>11.483818864297469</v>
          </cell>
          <cell r="K52">
            <v>-42.669172624576248</v>
          </cell>
          <cell r="L52">
            <v>-11.541300596148506</v>
          </cell>
        </row>
        <row r="53">
          <cell r="C53">
            <v>-11.421182053603079</v>
          </cell>
          <cell r="G53">
            <v>-7.1385019670464098</v>
          </cell>
          <cell r="H53">
            <v>4.2826800865566694</v>
          </cell>
          <cell r="K53">
            <v>-15.755772783179024</v>
          </cell>
          <cell r="L53">
            <v>-4.3345907295759449</v>
          </cell>
        </row>
        <row r="54">
          <cell r="C54">
            <v>-2.9581894307432091</v>
          </cell>
          <cell r="G54">
            <v>-1.8312065982877002</v>
          </cell>
          <cell r="H54">
            <v>1.1269828324555089</v>
          </cell>
          <cell r="K54">
            <v>-4.1069001151269227</v>
          </cell>
          <cell r="L54">
            <v>-1.1487106843837136</v>
          </cell>
        </row>
      </sheetData>
      <sheetData sheetId="2">
        <row r="3">
          <cell r="D3">
            <v>-848703625.03893054</v>
          </cell>
          <cell r="G3">
            <v>-823364266.89008451</v>
          </cell>
          <cell r="J3">
            <v>-807694622.31694126</v>
          </cell>
          <cell r="M3">
            <v>-838770069.19482064</v>
          </cell>
        </row>
        <row r="4">
          <cell r="D4">
            <v>-118361602.41586424</v>
          </cell>
          <cell r="G4">
            <v>-101499264.61886926</v>
          </cell>
          <cell r="J4">
            <v>-94317158.912256852</v>
          </cell>
          <cell r="M4">
            <v>-107560366.41441052</v>
          </cell>
        </row>
        <row r="5">
          <cell r="D5">
            <v>-63775052.286756374</v>
          </cell>
          <cell r="G5">
            <v>-46684257.225700051</v>
          </cell>
          <cell r="J5">
            <v>-40908911.417589121</v>
          </cell>
          <cell r="M5">
            <v>-50988001.778646939</v>
          </cell>
        </row>
        <row r="6">
          <cell r="D6">
            <v>-13338994.418287208</v>
          </cell>
          <cell r="G6">
            <v>-7855978.3254481629</v>
          </cell>
          <cell r="J6">
            <v>-6262493.8751011919</v>
          </cell>
          <cell r="M6">
            <v>-9121757.5293582026</v>
          </cell>
        </row>
        <row r="7">
          <cell r="D7">
            <v>-970843.48123296374</v>
          </cell>
          <cell r="G7">
            <v>-437619.73929299647</v>
          </cell>
          <cell r="J7">
            <v>-318079.49002433452</v>
          </cell>
          <cell r="M7">
            <v>-542528.6327421515</v>
          </cell>
        </row>
      </sheetData>
      <sheetData sheetId="3">
        <row r="3">
          <cell r="D3">
            <v>15669644.573143341</v>
          </cell>
          <cell r="G3">
            <v>-15405802.30473613</v>
          </cell>
          <cell r="J3">
            <v>-115091.07027372628</v>
          </cell>
        </row>
        <row r="4">
          <cell r="D4">
            <v>7182105.7066123839</v>
          </cell>
          <cell r="G4">
            <v>-6061101.7955412697</v>
          </cell>
          <cell r="J4">
            <v>-69923.261821246153</v>
          </cell>
        </row>
        <row r="5">
          <cell r="D5">
            <v>5775345.8081109282</v>
          </cell>
          <cell r="G5">
            <v>-4303744.5529468823</v>
          </cell>
          <cell r="J5">
            <v>-62194.28691335531</v>
          </cell>
        </row>
        <row r="6">
          <cell r="D6">
            <v>1593484.4503469707</v>
          </cell>
          <cell r="G6">
            <v>-1265779.2039100369</v>
          </cell>
          <cell r="J6">
            <v>-17933.44425435214</v>
          </cell>
        </row>
        <row r="7">
          <cell r="D7">
            <v>119540.24926866197</v>
          </cell>
          <cell r="G7">
            <v>-104908.89344915499</v>
          </cell>
          <cell r="J7">
            <v>-1405.307021843427</v>
          </cell>
        </row>
      </sheetData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ing_BEL"/>
      <sheetName val="Result"/>
      <sheetName val="Stat by Mat"/>
      <sheetName val="Stat by Mat 2"/>
      <sheetName val="ISPP_BEL_Summary_Giugno26"/>
    </sheetNames>
    <definedNames>
      <definedName name="BEL_1_5" refersTo="='Stat by Mat'!$D$3"/>
      <definedName name="BEL_11_20" refersTo="='Stat by Mat'!$D$5"/>
      <definedName name="BEL_21_30" refersTo="='Stat by Mat'!$D$6"/>
      <definedName name="BEL_31_50" refersTo="='Stat by Mat'!$D$7"/>
      <definedName name="BEL_6_10" refersTo="='Stat by Mat'!$D$4"/>
      <definedName name="DELTA_21_30" refersTo="='Stat by Mat 2'!$G$6"/>
      <definedName name="DELTA_6_10" refersTo="='Stat by Mat 2'!$G$4"/>
      <definedName name="DELTA_DOWN_1_5" refersTo="='Stat by Mat 2'!$G$3"/>
      <definedName name="DELTA_DOWN_11_20" refersTo="='Stat by Mat 2'!$G$5"/>
      <definedName name="DELTA_DOWN_31_50" refersTo="='Stat by Mat 2'!$G$7"/>
      <definedName name="DELTA_UP_1_5" refersTo="='Stat by Mat 2'!$D$3"/>
      <definedName name="DELTA_UP_11_20" refersTo="='Stat by Mat 2'!$D$5"/>
      <definedName name="DELTA_UP_21_30" refersTo="='Stat by Mat 2'!$D$6"/>
      <definedName name="DELTA_UP_31_50" refersTo="='Stat by Mat 2'!$D$7"/>
      <definedName name="DELTA_UP_6_10" refersTo="='Stat by Mat 2'!$D$4"/>
      <definedName name="DELTA1PERC" refersTo="='Result'!$P$4"/>
      <definedName name="DURATION" refersTo="='Result'!$N$4"/>
      <definedName name="DV01_1_5" refersTo="='Stat by Mat 2'!$J$3"/>
      <definedName name="DV01_11_20" refersTo="='Stat by Mat 2'!$J$5"/>
      <definedName name="DV01_21_30" refersTo="='Stat by Mat 2'!$J$6"/>
      <definedName name="DV01_31_50" refersTo="='Stat by Mat 2'!$J$7"/>
      <definedName name="DV01_6_10" refersTo="='Stat by Mat 2'!$J$4"/>
      <definedName name="PV_1_5" refersTo="='Stat by Mat'!$G$3"/>
      <definedName name="PV_11_20" refersTo="='Stat by Mat'!$G$5"/>
      <definedName name="PV_21_30" refersTo="='Stat by Mat'!$G$6"/>
      <definedName name="PV_31_50" refersTo="='Stat by Mat'!$G$7"/>
      <definedName name="PV_6_10" refersTo="='Stat by Mat'!$G$4"/>
      <definedName name="PV_DOWN_1_5" refersTo="='Stat by Mat'!$M$3"/>
      <definedName name="PV_DOWN_11_20" refersTo="='Stat by Mat'!$M$5"/>
      <definedName name="PV_DOWN_21_30" refersTo="='Stat by Mat'!$M$6"/>
      <definedName name="PV_DOWN_31_50" refersTo="='Stat by Mat'!$M$7"/>
      <definedName name="PV_DOWN_6_10" refersTo="='Stat by Mat'!$M$4"/>
      <definedName name="PV_UP_1_5" refersTo="='Stat by Mat'!$J$3"/>
      <definedName name="PV_UP_11_20" refersTo="='Stat by Mat'!$J$5"/>
      <definedName name="PV_UP_21_30" refersTo="='Stat by Mat'!$J$6"/>
      <definedName name="PV_UP_31_50" refersTo="='Stat by Mat'!$J$7"/>
      <definedName name="PV_UP_6_10" refersTo="='Stat by Mat'!$J$4"/>
    </definedNames>
    <sheetDataSet>
      <sheetData sheetId="0">
        <row r="5">
          <cell r="L5">
            <v>-389173850.35002708</v>
          </cell>
        </row>
        <row r="6">
          <cell r="L6">
            <v>-286865944.48536301</v>
          </cell>
        </row>
        <row r="7">
          <cell r="L7">
            <v>-118535041.07855648</v>
          </cell>
        </row>
        <row r="8">
          <cell r="L8">
            <v>-62281675.693349212</v>
          </cell>
        </row>
        <row r="9">
          <cell r="L9">
            <v>-41581594.33412493</v>
          </cell>
        </row>
        <row r="10">
          <cell r="L10">
            <v>-31309013.60312615</v>
          </cell>
        </row>
        <row r="11">
          <cell r="L11">
            <v>-24378249.677626185</v>
          </cell>
        </row>
        <row r="12">
          <cell r="L12">
            <v>-19010843.511840597</v>
          </cell>
        </row>
        <row r="13">
          <cell r="L13">
            <v>-14326490.83992663</v>
          </cell>
        </row>
        <row r="14">
          <cell r="L14">
            <v>-10491449.34740244</v>
          </cell>
        </row>
        <row r="15">
          <cell r="L15">
            <v>-7939633.4522723453</v>
          </cell>
        </row>
        <row r="16">
          <cell r="L16">
            <v>-6533184.7615859499</v>
          </cell>
        </row>
        <row r="17">
          <cell r="L17">
            <v>-5825868.9430210013</v>
          </cell>
        </row>
        <row r="18">
          <cell r="L18">
            <v>-5364040.335493519</v>
          </cell>
        </row>
        <row r="19">
          <cell r="L19">
            <v>-4874838.2778374683</v>
          </cell>
        </row>
        <row r="20">
          <cell r="L20">
            <v>-4227955.3340803543</v>
          </cell>
        </row>
        <row r="21">
          <cell r="L21">
            <v>-3670071.9562838329</v>
          </cell>
        </row>
        <row r="22">
          <cell r="L22">
            <v>-3221336.9662346188</v>
          </cell>
        </row>
        <row r="23">
          <cell r="L23">
            <v>-2885934.7178470627</v>
          </cell>
        </row>
        <row r="24">
          <cell r="L24">
            <v>-2555942.8462349479</v>
          </cell>
        </row>
        <row r="25">
          <cell r="L25">
            <v>-2167180.4482887955</v>
          </cell>
        </row>
        <row r="26">
          <cell r="L26">
            <v>-1824713.8939708841</v>
          </cell>
        </row>
        <row r="27">
          <cell r="L27">
            <v>-1547819.9933533317</v>
          </cell>
        </row>
        <row r="28">
          <cell r="L28">
            <v>-1343074.0699189412</v>
          </cell>
        </row>
        <row r="29">
          <cell r="L29">
            <v>-1113912.745580011</v>
          </cell>
        </row>
        <row r="30">
          <cell r="L30">
            <v>-829749.07087330893</v>
          </cell>
        </row>
        <row r="31">
          <cell r="L31">
            <v>-581114.77473264316</v>
          </cell>
        </row>
        <row r="32">
          <cell r="L32">
            <v>-424529.50696712959</v>
          </cell>
        </row>
        <row r="33">
          <cell r="L33">
            <v>-424862.6886849294</v>
          </cell>
        </row>
        <row r="34">
          <cell r="L34">
            <v>-416715.17227250198</v>
          </cell>
        </row>
        <row r="35">
          <cell r="L35">
            <v>-224376.5980518554</v>
          </cell>
        </row>
        <row r="36">
          <cell r="L36">
            <v>-122417.63956019568</v>
          </cell>
        </row>
        <row r="37">
          <cell r="L37">
            <v>-83022.882127719728</v>
          </cell>
        </row>
        <row r="38">
          <cell r="L38">
            <v>-61845.152233089</v>
          </cell>
        </row>
        <row r="39">
          <cell r="L39">
            <v>-43023.245602240473</v>
          </cell>
        </row>
        <row r="40">
          <cell r="L40">
            <v>-25997.12004946579</v>
          </cell>
        </row>
        <row r="41">
          <cell r="L41">
            <v>-16199.233573095367</v>
          </cell>
        </row>
        <row r="42">
          <cell r="L42">
            <v>-13384.992702418429</v>
          </cell>
        </row>
        <row r="43">
          <cell r="L43">
            <v>-8852.3678865118527</v>
          </cell>
        </row>
        <row r="44">
          <cell r="L44">
            <v>-6519.5958247544877</v>
          </cell>
        </row>
        <row r="45">
          <cell r="L45">
            <v>-78217.929360555048</v>
          </cell>
        </row>
        <row r="46">
          <cell r="L46">
            <v>-37461.424827871677</v>
          </cell>
        </row>
        <row r="47">
          <cell r="L47">
            <v>-14616.078066385006</v>
          </cell>
        </row>
        <row r="48">
          <cell r="L48">
            <v>-6242.9182806587141</v>
          </cell>
        </row>
        <row r="49">
          <cell r="L49">
            <v>-3118.6215831068066</v>
          </cell>
        </row>
        <row r="50">
          <cell r="L50">
            <v>-1627.9835618553084</v>
          </cell>
        </row>
        <row r="51">
          <cell r="L51">
            <v>-783.82853921882997</v>
          </cell>
        </row>
        <row r="52">
          <cell r="L52">
            <v>-298.27026528754777</v>
          </cell>
        </row>
        <row r="53">
          <cell r="L53">
            <v>-62.287026525971783</v>
          </cell>
        </row>
        <row r="54">
          <cell r="L54">
            <v>9.7051567221127198E-3</v>
          </cell>
        </row>
      </sheetData>
      <sheetData sheetId="1">
        <row r="4">
          <cell r="N4">
            <v>2.4198950521970328</v>
          </cell>
          <cell r="P4">
            <v>-232857.52145026793</v>
          </cell>
        </row>
        <row r="5">
          <cell r="C5">
            <v>-384257586.80068958</v>
          </cell>
          <cell r="G5">
            <v>-380962157.60898626</v>
          </cell>
          <cell r="H5">
            <v>3295429.1917033195</v>
          </cell>
          <cell r="K5">
            <v>-387921045.25192869</v>
          </cell>
          <cell r="L5">
            <v>-3663458.451239109</v>
          </cell>
        </row>
        <row r="6">
          <cell r="C6">
            <v>-276046103.02543885</v>
          </cell>
          <cell r="G6">
            <v>-268896982.87945217</v>
          </cell>
          <cell r="H6">
            <v>7149120.1459866762</v>
          </cell>
          <cell r="K6">
            <v>-283361625.00007826</v>
          </cell>
          <cell r="L6">
            <v>-7315521.9746394157</v>
          </cell>
        </row>
        <row r="7">
          <cell r="C7">
            <v>-111149855.07895122</v>
          </cell>
          <cell r="G7">
            <v>-106603060.93939669</v>
          </cell>
          <cell r="H7">
            <v>4546794.1395545304</v>
          </cell>
          <cell r="K7">
            <v>-115471724.12834555</v>
          </cell>
          <cell r="L7">
            <v>-4321869.0493943244</v>
          </cell>
        </row>
        <row r="8">
          <cell r="C8">
            <v>-56914058.841264881</v>
          </cell>
          <cell r="G8">
            <v>-53924825.766585931</v>
          </cell>
          <cell r="H8">
            <v>2989233.07467895</v>
          </cell>
          <cell r="K8">
            <v>-59658582.621571444</v>
          </cell>
          <cell r="L8">
            <v>-2744523.7803065628</v>
          </cell>
        </row>
        <row r="9">
          <cell r="C9">
            <v>-37016523.653359197</v>
          </cell>
          <cell r="G9">
            <v>-34698569.790476017</v>
          </cell>
          <cell r="H9">
            <v>2317953.8628831804</v>
          </cell>
          <cell r="K9">
            <v>-39116485.142737858</v>
          </cell>
          <cell r="L9">
            <v>-2099961.4893786609</v>
          </cell>
        </row>
        <row r="10">
          <cell r="C10">
            <v>-27124106.698636893</v>
          </cell>
          <cell r="G10">
            <v>-25163848.854125917</v>
          </cell>
          <cell r="H10">
            <v>1960257.8445109762</v>
          </cell>
          <cell r="K10">
            <v>-28870792.782998737</v>
          </cell>
          <cell r="L10">
            <v>-1746686.0843618438</v>
          </cell>
        </row>
        <row r="11">
          <cell r="C11">
            <v>-20527972.944714189</v>
          </cell>
          <cell r="G11">
            <v>-18857717.30445677</v>
          </cell>
          <cell r="H11">
            <v>1670255.6402574182</v>
          </cell>
          <cell r="K11">
            <v>-21991111.957278691</v>
          </cell>
          <cell r="L11">
            <v>-1463139.0125645027</v>
          </cell>
        </row>
        <row r="12">
          <cell r="C12">
            <v>-15541622.634386988</v>
          </cell>
          <cell r="G12">
            <v>-14138528.992127845</v>
          </cell>
          <cell r="H12">
            <v>1403093.6422591433</v>
          </cell>
          <cell r="K12">
            <v>-16746805.881770095</v>
          </cell>
          <cell r="L12">
            <v>-1205183.2473831065</v>
          </cell>
        </row>
        <row r="13">
          <cell r="C13">
            <v>-11362730.521121711</v>
          </cell>
          <cell r="G13">
            <v>-10248925.871494897</v>
          </cell>
          <cell r="H13">
            <v>1113804.6496268138</v>
          </cell>
          <cell r="K13">
            <v>-12297297.084978346</v>
          </cell>
          <cell r="L13">
            <v>-934566.56385663524</v>
          </cell>
        </row>
        <row r="14">
          <cell r="C14">
            <v>-8057707.4675271548</v>
          </cell>
          <cell r="G14">
            <v>-7210555.3265894977</v>
          </cell>
          <cell r="H14">
            <v>847152.1409376571</v>
          </cell>
          <cell r="K14">
            <v>-8759289.4237055387</v>
          </cell>
          <cell r="L14">
            <v>-701581.9561783839</v>
          </cell>
        </row>
        <row r="15">
          <cell r="C15">
            <v>-5905280.6934302226</v>
          </cell>
          <cell r="G15">
            <v>-5251495.4269698244</v>
          </cell>
          <cell r="H15">
            <v>653785.26646039821</v>
          </cell>
          <cell r="K15">
            <v>-6456866.9713118402</v>
          </cell>
          <cell r="L15">
            <v>-551586.27788161766</v>
          </cell>
        </row>
        <row r="16">
          <cell r="C16">
            <v>-4707880.9874304663</v>
          </cell>
          <cell r="G16">
            <v>-4167517.5763841993</v>
          </cell>
          <cell r="H16">
            <v>540363.41104626702</v>
          </cell>
          <cell r="K16">
            <v>-5180120.6897827378</v>
          </cell>
          <cell r="L16">
            <v>-472239.70235227142</v>
          </cell>
        </row>
        <row r="17">
          <cell r="C17">
            <v>-4060000.4578816518</v>
          </cell>
          <cell r="G17">
            <v>-3574647.8095016703</v>
          </cell>
          <cell r="H17">
            <v>485352.64837998152</v>
          </cell>
          <cell r="K17">
            <v>-4495026.4004305899</v>
          </cell>
          <cell r="L17">
            <v>-435025.9425489381</v>
          </cell>
        </row>
        <row r="18">
          <cell r="C18">
            <v>-3614176.1061233045</v>
          </cell>
          <cell r="G18">
            <v>-3162574.8407845292</v>
          </cell>
          <cell r="H18">
            <v>451601.26533877524</v>
          </cell>
          <cell r="K18">
            <v>-4032058.7094399207</v>
          </cell>
          <cell r="L18">
            <v>-417882.60331661627</v>
          </cell>
        </row>
        <row r="19">
          <cell r="C19">
            <v>-3171697.388188574</v>
          </cell>
          <cell r="G19">
            <v>-2754341.5453682262</v>
          </cell>
          <cell r="H19">
            <v>417355.84282034775</v>
          </cell>
          <cell r="K19">
            <v>-3564880.7479753918</v>
          </cell>
          <cell r="L19">
            <v>-393183.3597868178</v>
          </cell>
        </row>
        <row r="20">
          <cell r="C20">
            <v>-2653900.9164088038</v>
          </cell>
          <cell r="G20">
            <v>-2285003.2700655712</v>
          </cell>
          <cell r="H20">
            <v>368897.6463432326</v>
          </cell>
          <cell r="K20">
            <v>-3012406.6706557623</v>
          </cell>
          <cell r="L20">
            <v>-358505.75424695853</v>
          </cell>
        </row>
        <row r="21">
          <cell r="C21">
            <v>-2225927.495078132</v>
          </cell>
          <cell r="G21">
            <v>-1898309.409808821</v>
          </cell>
          <cell r="H21">
            <v>327618.08526931098</v>
          </cell>
          <cell r="K21">
            <v>-2556406.4794741627</v>
          </cell>
          <cell r="L21">
            <v>-330478.98439603066</v>
          </cell>
        </row>
        <row r="22">
          <cell r="C22">
            <v>-1891121.6409798793</v>
          </cell>
          <cell r="G22">
            <v>-1597314.2760742914</v>
          </cell>
          <cell r="H22">
            <v>293807.36490558786</v>
          </cell>
          <cell r="K22">
            <v>-2191656.4293278446</v>
          </cell>
          <cell r="L22">
            <v>-300534.78834796534</v>
          </cell>
        </row>
        <row r="23">
          <cell r="C23">
            <v>-1641810.6639552386</v>
          </cell>
          <cell r="G23">
            <v>-1373424.6898694688</v>
          </cell>
          <cell r="H23">
            <v>268385.97408576985</v>
          </cell>
          <cell r="K23">
            <v>-1924817.6473636152</v>
          </cell>
          <cell r="L23">
            <v>-283006.98340837657</v>
          </cell>
        </row>
        <row r="24">
          <cell r="C24">
            <v>-1410009.3085402537</v>
          </cell>
          <cell r="G24">
            <v>-1168186.4887550308</v>
          </cell>
          <cell r="H24">
            <v>241822.81978522288</v>
          </cell>
          <cell r="K24">
            <v>-1672185.2099774489</v>
          </cell>
          <cell r="L24">
            <v>-262175.90143719525</v>
          </cell>
        </row>
        <row r="25">
          <cell r="C25">
            <v>-1159619.9410759318</v>
          </cell>
          <cell r="G25">
            <v>-951510.81504755502</v>
          </cell>
          <cell r="H25">
            <v>208109.12602837675</v>
          </cell>
          <cell r="K25">
            <v>-1386758.7748532072</v>
          </cell>
          <cell r="L25">
            <v>-227138.8337772754</v>
          </cell>
        </row>
        <row r="26">
          <cell r="C26">
            <v>-946834.099010039</v>
          </cell>
          <cell r="G26">
            <v>-769451.26538573683</v>
          </cell>
          <cell r="H26">
            <v>177382.83362430218</v>
          </cell>
          <cell r="K26">
            <v>-1141378.7386322878</v>
          </cell>
          <cell r="L26">
            <v>-194544.63962224883</v>
          </cell>
        </row>
        <row r="27">
          <cell r="C27">
            <v>-778759.53759298357</v>
          </cell>
          <cell r="G27">
            <v>-626786.55549118039</v>
          </cell>
          <cell r="H27">
            <v>151972.98210180318</v>
          </cell>
          <cell r="K27">
            <v>-946235.32509313594</v>
          </cell>
          <cell r="L27">
            <v>-167475.78750015236</v>
          </cell>
        </row>
        <row r="28">
          <cell r="C28">
            <v>-655199.30507903756</v>
          </cell>
          <cell r="G28">
            <v>-522275.15638400556</v>
          </cell>
          <cell r="H28">
            <v>132924.148695032</v>
          </cell>
          <cell r="K28">
            <v>-802379.65767986421</v>
          </cell>
          <cell r="L28">
            <v>-147180.35260082665</v>
          </cell>
        </row>
        <row r="29">
          <cell r="C29">
            <v>-526806.68571622088</v>
          </cell>
          <cell r="G29">
            <v>-415898.40607454436</v>
          </cell>
          <cell r="H29">
            <v>110908.27964167652</v>
          </cell>
          <cell r="K29">
            <v>-650185.693845795</v>
          </cell>
          <cell r="L29">
            <v>-123379.00812957413</v>
          </cell>
        </row>
        <row r="30">
          <cell r="C30">
            <v>-380366.94948450098</v>
          </cell>
          <cell r="G30">
            <v>-297406.00337507093</v>
          </cell>
          <cell r="H30">
            <v>82960.94610943005</v>
          </cell>
          <cell r="K30">
            <v>-473084.7282963061</v>
          </cell>
          <cell r="L30">
            <v>-92717.778811805125</v>
          </cell>
        </row>
        <row r="31">
          <cell r="C31">
            <v>-258164.9103780915</v>
          </cell>
          <cell r="G31">
            <v>-199919.72411179286</v>
          </cell>
          <cell r="H31">
            <v>58245.186266298639</v>
          </cell>
          <cell r="K31">
            <v>-323600.39969627681</v>
          </cell>
          <cell r="L31">
            <v>-65435.489318185311</v>
          </cell>
        </row>
        <row r="32">
          <cell r="C32">
            <v>-182791.18734435015</v>
          </cell>
          <cell r="G32">
            <v>-140192.42946228775</v>
          </cell>
          <cell r="H32">
            <v>42598.757882062404</v>
          </cell>
          <cell r="K32">
            <v>-230896.75044177097</v>
          </cell>
          <cell r="L32">
            <v>-48105.563097420818</v>
          </cell>
        </row>
        <row r="33">
          <cell r="C33">
            <v>-177291.00402458571</v>
          </cell>
          <cell r="G33">
            <v>-134669.00229014386</v>
          </cell>
          <cell r="H33">
            <v>42622.001734441845</v>
          </cell>
          <cell r="K33">
            <v>-225670.04184648787</v>
          </cell>
          <cell r="L33">
            <v>-48379.037821902166</v>
          </cell>
        </row>
        <row r="34">
          <cell r="C34">
            <v>-168494.27227783366</v>
          </cell>
          <cell r="G34">
            <v>-126758.83707088145</v>
          </cell>
          <cell r="H34">
            <v>41735.435206952214</v>
          </cell>
          <cell r="K34">
            <v>-216076.78807687166</v>
          </cell>
          <cell r="L34">
            <v>-47582.515799037996</v>
          </cell>
        </row>
        <row r="35">
          <cell r="C35">
            <v>-87903.436226992591</v>
          </cell>
          <cell r="G35">
            <v>-65495.484567918153</v>
          </cell>
          <cell r="H35">
            <v>22407.951659074439</v>
          </cell>
          <cell r="K35">
            <v>-113562.59119279623</v>
          </cell>
          <cell r="L35">
            <v>-25659.154965803638</v>
          </cell>
        </row>
        <row r="36">
          <cell r="C36">
            <v>-46465.380846854896</v>
          </cell>
          <cell r="G36">
            <v>-34288.434267823774</v>
          </cell>
          <cell r="H36">
            <v>12176.946579031122</v>
          </cell>
          <cell r="K36">
            <v>-60478.649017149299</v>
          </cell>
          <cell r="L36">
            <v>-14013.268170294403</v>
          </cell>
        </row>
        <row r="37">
          <cell r="C37">
            <v>-30529.188173279552</v>
          </cell>
          <cell r="G37">
            <v>-22312.400511227679</v>
          </cell>
          <cell r="H37">
            <v>8216.7876620518728</v>
          </cell>
          <cell r="K37">
            <v>-40031.81845249005</v>
          </cell>
          <cell r="L37">
            <v>-9502.630279210498</v>
          </cell>
        </row>
        <row r="38">
          <cell r="C38">
            <v>-22030.77665103101</v>
          </cell>
          <cell r="G38">
            <v>-15946.815862125211</v>
          </cell>
          <cell r="H38">
            <v>6083.9607889057988</v>
          </cell>
          <cell r="K38">
            <v>-29101.253742498371</v>
          </cell>
          <cell r="L38">
            <v>-7070.4770914673609</v>
          </cell>
        </row>
        <row r="39">
          <cell r="C39">
            <v>-14845.976026825876</v>
          </cell>
          <cell r="G39">
            <v>-10643.054837350841</v>
          </cell>
          <cell r="H39">
            <v>4202.9211894750351</v>
          </cell>
          <cell r="K39">
            <v>-19750.743234277546</v>
          </cell>
          <cell r="L39">
            <v>-4904.7672074516704</v>
          </cell>
        </row>
        <row r="40">
          <cell r="C40">
            <v>-8689.344428358736</v>
          </cell>
          <cell r="G40">
            <v>-6169.6165439724546</v>
          </cell>
          <cell r="H40">
            <v>2519.7278843862814</v>
          </cell>
          <cell r="K40">
            <v>-11641.928242851483</v>
          </cell>
          <cell r="L40">
            <v>-2952.5838144927475</v>
          </cell>
        </row>
        <row r="41">
          <cell r="C41">
            <v>-5245.2215409305627</v>
          </cell>
          <cell r="G41">
            <v>-3688.4826614894027</v>
          </cell>
          <cell r="H41">
            <v>1556.73887944116</v>
          </cell>
          <cell r="K41">
            <v>-7078.0447937603331</v>
          </cell>
          <cell r="L41">
            <v>-1832.8232528297704</v>
          </cell>
        </row>
        <row r="42">
          <cell r="C42">
            <v>-4198.3089787651033</v>
          </cell>
          <cell r="G42">
            <v>-2923.9637900183643</v>
          </cell>
          <cell r="H42">
            <v>1274.345188746739</v>
          </cell>
          <cell r="K42">
            <v>-5704.658241481141</v>
          </cell>
          <cell r="L42">
            <v>-1506.3492627160376</v>
          </cell>
        </row>
        <row r="43">
          <cell r="C43">
            <v>-2689.0591379195744</v>
          </cell>
          <cell r="G43">
            <v>-1854.8647493458645</v>
          </cell>
          <cell r="H43">
            <v>834.19438857370983</v>
          </cell>
          <cell r="K43">
            <v>-3679.0122428859099</v>
          </cell>
          <cell r="L43">
            <v>-989.95310496633556</v>
          </cell>
        </row>
        <row r="44">
          <cell r="C44">
            <v>-1917.8779390041502</v>
          </cell>
          <cell r="G44">
            <v>-1310.2295874982744</v>
          </cell>
          <cell r="H44">
            <v>607.64835150587578</v>
          </cell>
          <cell r="K44">
            <v>-2642.2954922620852</v>
          </cell>
          <cell r="L44">
            <v>-724.41755325793497</v>
          </cell>
        </row>
        <row r="45">
          <cell r="C45">
            <v>-22285.669194034712</v>
          </cell>
          <cell r="G45">
            <v>-15078.761701662868</v>
          </cell>
          <cell r="H45">
            <v>7206.9074923718435</v>
          </cell>
          <cell r="K45">
            <v>-30910.432438387539</v>
          </cell>
          <cell r="L45">
            <v>-8624.7632443528273</v>
          </cell>
        </row>
        <row r="46">
          <cell r="C46">
            <v>-10337.185580339854</v>
          </cell>
          <cell r="G46">
            <v>-6927.1865004421006</v>
          </cell>
          <cell r="H46">
            <v>3409.9990798977533</v>
          </cell>
          <cell r="K46">
            <v>-14433.452940733681</v>
          </cell>
          <cell r="L46">
            <v>-4096.2673603938274</v>
          </cell>
        </row>
        <row r="47">
          <cell r="C47">
            <v>-3905.141109234652</v>
          </cell>
          <cell r="G47">
            <v>-2591.8301015384254</v>
          </cell>
          <cell r="H47">
            <v>1313.3110076962266</v>
          </cell>
          <cell r="K47">
            <v>-5489.7569624654707</v>
          </cell>
          <cell r="L47">
            <v>-1584.6158532308186</v>
          </cell>
        </row>
        <row r="48">
          <cell r="C48">
            <v>-1615.277969017968</v>
          </cell>
          <cell r="G48">
            <v>-1061.7718917625673</v>
          </cell>
          <cell r="H48">
            <v>553.50607725540067</v>
          </cell>
          <cell r="K48">
            <v>-2285.5744167766661</v>
          </cell>
          <cell r="L48">
            <v>-670.29644775869815</v>
          </cell>
        </row>
        <row r="49">
          <cell r="C49">
            <v>-781.53609641384821</v>
          </cell>
          <cell r="G49">
            <v>-508.79973086376589</v>
          </cell>
          <cell r="H49">
            <v>272.73636555008233</v>
          </cell>
          <cell r="K49">
            <v>-1113.0104620956179</v>
          </cell>
          <cell r="L49">
            <v>-331.47436568176965</v>
          </cell>
        </row>
        <row r="50">
          <cell r="C50">
            <v>-395.04904848655895</v>
          </cell>
          <cell r="G50">
            <v>-254.72071599618172</v>
          </cell>
          <cell r="H50">
            <v>140.32833249037722</v>
          </cell>
          <cell r="K50">
            <v>-566.3293971041445</v>
          </cell>
          <cell r="L50">
            <v>-171.28034861758556</v>
          </cell>
        </row>
        <row r="51">
          <cell r="C51">
            <v>-184.16822360513194</v>
          </cell>
          <cell r="G51">
            <v>-117.60956905186029</v>
          </cell>
          <cell r="H51">
            <v>66.558654553271651</v>
          </cell>
          <cell r="K51">
            <v>-265.69126881663215</v>
          </cell>
          <cell r="L51">
            <v>-81.523045211500204</v>
          </cell>
        </row>
        <row r="52">
          <cell r="C52">
            <v>-67.869652803412464</v>
          </cell>
          <cell r="G52">
            <v>-42.925759603765847</v>
          </cell>
          <cell r="H52">
            <v>24.943893199646617</v>
          </cell>
          <cell r="K52">
            <v>-98.503677761086664</v>
          </cell>
          <cell r="L52">
            <v>-30.6340249576742</v>
          </cell>
        </row>
        <row r="53">
          <cell r="C53">
            <v>-13.721987225949286</v>
          </cell>
          <cell r="G53">
            <v>-8.5955842567435141</v>
          </cell>
          <cell r="H53">
            <v>5.1264029692057722</v>
          </cell>
          <cell r="K53">
            <v>-20.038975638107161</v>
          </cell>
          <cell r="L53">
            <v>-6.3169884121578743</v>
          </cell>
        </row>
        <row r="54">
          <cell r="C54">
            <v>2.0699195794265492E-3</v>
          </cell>
          <cell r="G54">
            <v>1.2841836396406694E-3</v>
          </cell>
          <cell r="H54">
            <v>-7.8573593978587984E-4</v>
          </cell>
          <cell r="K54">
            <v>3.0420737518003257E-3</v>
          </cell>
          <cell r="L54">
            <v>9.7215417237377652E-4</v>
          </cell>
        </row>
      </sheetData>
      <sheetData sheetId="2">
        <row r="3">
          <cell r="D3">
            <v>-898438105.94142079</v>
          </cell>
          <cell r="G3">
            <v>-865384127.39970374</v>
          </cell>
          <cell r="J3">
            <v>-845085596.98489702</v>
          </cell>
          <cell r="M3">
            <v>-885529462.14466178</v>
          </cell>
        </row>
        <row r="4">
          <cell r="D4">
            <v>-99516046.979921997</v>
          </cell>
          <cell r="G4">
            <v>-82614140.266386926</v>
          </cell>
          <cell r="J4">
            <v>-75619576.348794922</v>
          </cell>
          <cell r="M4">
            <v>-88665297.130731389</v>
          </cell>
        </row>
        <row r="5">
          <cell r="D5">
            <v>-47098807.5908911</v>
          </cell>
          <cell r="G5">
            <v>-31281805.658016525</v>
          </cell>
          <cell r="J5">
            <v>-27232815.333581634</v>
          </cell>
          <cell r="M5">
            <v>-35086425.955739312</v>
          </cell>
        </row>
        <row r="6">
          <cell r="D6">
            <v>-10673672.364642477</v>
          </cell>
          <cell r="G6">
            <v>-5234327.8919835743</v>
          </cell>
          <cell r="J6">
            <v>-4184868.1946931994</v>
          </cell>
          <cell r="M6">
            <v>-6396266.898462004</v>
          </cell>
        </row>
        <row r="7">
          <cell r="D7">
            <v>-748068.15941765439</v>
          </cell>
          <cell r="G7">
            <v>-264100.18674120458</v>
          </cell>
          <cell r="J7">
            <v>-191225.54764976466</v>
          </cell>
          <cell r="M7">
            <v>-348853.78215015761</v>
          </cell>
        </row>
      </sheetData>
      <sheetData sheetId="3">
        <row r="3">
          <cell r="D3">
            <v>20298530.414806657</v>
          </cell>
          <cell r="G3">
            <v>-20145334.744958073</v>
          </cell>
          <cell r="J3">
            <v>-122537.2542181554</v>
          </cell>
        </row>
        <row r="4">
          <cell r="D4">
            <v>6994563.9175920086</v>
          </cell>
          <cell r="G4">
            <v>-6051156.8643444721</v>
          </cell>
          <cell r="J4">
            <v>-55819.746093925132</v>
          </cell>
        </row>
        <row r="5">
          <cell r="D5">
            <v>4048990.3244348937</v>
          </cell>
          <cell r="G5">
            <v>-3804620.2977227876</v>
          </cell>
          <cell r="J5">
            <v>-41844.894853747523</v>
          </cell>
        </row>
        <row r="6">
          <cell r="D6">
            <v>1049459.6972903758</v>
          </cell>
          <cell r="G6">
            <v>-1161939.0064784288</v>
          </cell>
          <cell r="J6">
            <v>-11796.441319921536</v>
          </cell>
        </row>
        <row r="7">
          <cell r="D7">
            <v>72874.639091439894</v>
          </cell>
          <cell r="G7">
            <v>-84753.595408953086</v>
          </cell>
          <cell r="J7">
            <v>-859.18496451838791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671E-5D63-4F34-A028-3F718E8EA646}">
  <sheetPr codeName="Sheet5">
    <tabColor rgb="FF00B0F0"/>
  </sheetPr>
  <dimension ref="A1:AK1039"/>
  <sheetViews>
    <sheetView showGridLines="0" tabSelected="1" zoomScale="115" zoomScaleNormal="115" workbookViewId="0">
      <pane xSplit="1" topLeftCell="B1" activePane="topRight" state="frozen"/>
      <selection pane="topRight" activeCell="E349" sqref="E349"/>
    </sheetView>
  </sheetViews>
  <sheetFormatPr defaultRowHeight="13.5" outlineLevelRow="2" x14ac:dyDescent="0.25"/>
  <cols>
    <col min="1" max="1" width="23.7109375" style="11" bestFit="1" customWidth="1"/>
    <col min="2" max="2" width="18.140625" style="11" bestFit="1" customWidth="1"/>
    <col min="3" max="3" width="17.85546875" style="11" bestFit="1" customWidth="1"/>
    <col min="4" max="4" width="17.85546875" style="14" bestFit="1" customWidth="1"/>
    <col min="5" max="5" width="17.85546875" style="11" bestFit="1" customWidth="1"/>
    <col min="6" max="6" width="18.42578125" style="11" bestFit="1" customWidth="1"/>
    <col min="7" max="7" width="18" style="14" bestFit="1" customWidth="1"/>
    <col min="8" max="8" width="16.5703125" style="11" bestFit="1" customWidth="1"/>
    <col min="9" max="9" width="17" style="11" bestFit="1" customWidth="1"/>
    <col min="10" max="10" width="18" style="14" bestFit="1" customWidth="1"/>
    <col min="11" max="11" width="18.140625" style="11" bestFit="1" customWidth="1"/>
    <col min="12" max="13" width="18.7109375" style="11" bestFit="1" customWidth="1"/>
    <col min="14" max="14" width="18.7109375" style="14" bestFit="1" customWidth="1"/>
    <col min="15" max="16" width="18.7109375" style="11" bestFit="1" customWidth="1"/>
    <col min="17" max="18" width="18.7109375" style="14" bestFit="1" customWidth="1"/>
    <col min="19" max="19" width="18.42578125" style="13" bestFit="1" customWidth="1"/>
    <col min="20" max="20" width="6" style="11" bestFit="1" customWidth="1"/>
    <col min="21" max="21" width="6.7109375" style="11" bestFit="1" customWidth="1"/>
    <col min="22" max="22" width="7.140625" style="11" bestFit="1" customWidth="1"/>
    <col min="23" max="23" width="6.7109375" style="11" bestFit="1" customWidth="1"/>
    <col min="24" max="26" width="6" style="11" bestFit="1" customWidth="1"/>
    <col min="27" max="27" width="5.140625" style="11" bestFit="1" customWidth="1"/>
    <col min="28" max="28" width="6.7109375" style="11" bestFit="1" customWidth="1"/>
    <col min="29" max="29" width="5.140625" style="11" bestFit="1" customWidth="1"/>
    <col min="30" max="34" width="6" style="11" bestFit="1" customWidth="1"/>
    <col min="35" max="36" width="13.7109375" style="11" bestFit="1" customWidth="1"/>
    <col min="37" max="16384" width="9.140625" style="11"/>
  </cols>
  <sheetData>
    <row r="1" spans="1:37" ht="14.25" thickBot="1" x14ac:dyDescent="0.3"/>
    <row r="2" spans="1:37" ht="15.75" customHeight="1" thickBot="1" x14ac:dyDescent="0.3">
      <c r="A2" s="78" t="s">
        <v>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80"/>
    </row>
    <row r="3" spans="1:37" ht="16.5" x14ac:dyDescent="0.3">
      <c r="A3" s="51"/>
      <c r="B3" s="48" t="s">
        <v>98</v>
      </c>
      <c r="C3" s="48" t="s">
        <v>99</v>
      </c>
      <c r="D3" s="66" t="s">
        <v>100</v>
      </c>
      <c r="E3" s="48" t="s">
        <v>101</v>
      </c>
      <c r="F3" s="48" t="s">
        <v>102</v>
      </c>
      <c r="G3" s="66" t="s">
        <v>103</v>
      </c>
      <c r="H3" s="48" t="s">
        <v>104</v>
      </c>
      <c r="I3" s="48" t="s">
        <v>120</v>
      </c>
      <c r="J3" s="66" t="s">
        <v>105</v>
      </c>
      <c r="K3" s="48" t="s">
        <v>106</v>
      </c>
      <c r="L3" s="48" t="s">
        <v>107</v>
      </c>
      <c r="M3" s="66" t="s">
        <v>108</v>
      </c>
      <c r="N3" s="48" t="s">
        <v>124</v>
      </c>
      <c r="O3" s="48" t="s">
        <v>126</v>
      </c>
      <c r="P3" s="48" t="s">
        <v>129</v>
      </c>
      <c r="Q3" s="48" t="s">
        <v>134</v>
      </c>
      <c r="R3" s="48" t="s">
        <v>137</v>
      </c>
      <c r="S3" s="69" t="s">
        <v>140</v>
      </c>
    </row>
    <row r="4" spans="1:37" x14ac:dyDescent="0.25">
      <c r="A4" s="12" t="s">
        <v>1</v>
      </c>
      <c r="B4" s="13">
        <f>+SUM([1]Pricing_BEL!$L$5:$L$54)</f>
        <v>-1045150117.6410711</v>
      </c>
      <c r="C4" s="13">
        <f>+SUM([5]Pricing_BEL!$L$5:$L$54)</f>
        <v>-1045150117.6410711</v>
      </c>
      <c r="D4" s="32">
        <f>+SUM([6]Pricing_BEL!$L$5:$L$54)</f>
        <v>-1080797870.459789</v>
      </c>
      <c r="E4" s="13">
        <f>+SUM([7]Pricing_BEL!$L$5:$L$54)</f>
        <v>-1080797870.459789</v>
      </c>
      <c r="F4" s="13">
        <f>+SUM([8]Pricing_BEL!$L$5:$L$54)</f>
        <v>-1080797870.459789</v>
      </c>
      <c r="G4" s="32">
        <f>+SUM([9]Pricing_BEL!$L$5:$L$54)</f>
        <v>-1050004000.4196199</v>
      </c>
      <c r="H4" s="13">
        <f>+SUM([10]Pricing_BEL!$L$5:$L$54)</f>
        <v>-1050004000.4196199</v>
      </c>
      <c r="I4" s="13">
        <f>+SUM([11]Pricing_BEL!$L$5:$L$54)</f>
        <v>-1050004000.4196199</v>
      </c>
      <c r="J4" s="32">
        <f>+SUM([12]Pricing_BEL!$L$5:$L$54)</f>
        <v>-1054505156.8080205</v>
      </c>
      <c r="K4" s="13">
        <f>+SUM([13]Pricing_BEL!$L$5:$L$54)</f>
        <v>-1054505156.8080205</v>
      </c>
      <c r="L4" s="13">
        <f>+SUM([14]Pricing_BEL!$L$5:$L$54)</f>
        <v>-1054505156.8080205</v>
      </c>
      <c r="M4" s="32">
        <f>+SUM([15]Pricing_BEL!$L$5:$L$54)</f>
        <v>-943675906.6691221</v>
      </c>
      <c r="N4" s="13">
        <f>+SUM([16]Pricing_BEL!$L$5:$L$54)</f>
        <v>-943675906.6691221</v>
      </c>
      <c r="O4" s="13">
        <f>+SUM([17]Pricing_BEL!$L$5:$L$54)</f>
        <v>-943675906.6691221</v>
      </c>
      <c r="P4" s="32">
        <f>+SUM([18]Pricing_BEL!$L$5:$L$54)</f>
        <v>-1056474701.0362939</v>
      </c>
      <c r="Q4" s="13">
        <f>+SUM([19]Pricing_BEL!$L$5:$L$54)</f>
        <v>-1056474701.0362939</v>
      </c>
      <c r="R4" s="13">
        <f>+SUM([20]Pricing_BEL!$L$5:$L$54)</f>
        <v>-1056474701.0362939</v>
      </c>
      <c r="S4" s="70">
        <f>+SUM([22]Pricing_BEL!$L$5:$L$54)</f>
        <v>-1056474701.0362939</v>
      </c>
      <c r="T4" s="13">
        <f>+B4-(B5+B11+B17+B28+B39)</f>
        <v>0</v>
      </c>
      <c r="U4" s="13">
        <f t="shared" ref="U4:W4" si="0">+C4-(C5+C11+C17+C28+C39)</f>
        <v>0</v>
      </c>
      <c r="V4" s="13">
        <f t="shared" si="0"/>
        <v>0</v>
      </c>
      <c r="W4" s="13">
        <f t="shared" si="0"/>
        <v>0</v>
      </c>
      <c r="X4" s="13">
        <f t="shared" ref="X4" si="1">+F4-(F5+F11+F17+F28+F39)</f>
        <v>0</v>
      </c>
      <c r="Y4" s="13">
        <f t="shared" ref="Y4:AE4" si="2">+G4-(G5+G11+G17+G28+G39)</f>
        <v>0</v>
      </c>
      <c r="Z4" s="13">
        <f t="shared" si="2"/>
        <v>0</v>
      </c>
      <c r="AA4" s="13">
        <f t="shared" si="2"/>
        <v>0</v>
      </c>
      <c r="AB4" s="13">
        <f t="shared" si="2"/>
        <v>0</v>
      </c>
      <c r="AC4" s="13">
        <f t="shared" si="2"/>
        <v>0</v>
      </c>
      <c r="AD4" s="13">
        <f t="shared" si="2"/>
        <v>0</v>
      </c>
      <c r="AE4" s="13">
        <f t="shared" si="2"/>
        <v>0</v>
      </c>
      <c r="AF4" s="13">
        <f t="shared" ref="AF4" si="3">+N4-(N5+N11+N17+N28+N39)</f>
        <v>0</v>
      </c>
      <c r="AG4" s="13">
        <f t="shared" ref="AG4:AH4" si="4">+O4-(O5+O11+O17+O28+O39)</f>
        <v>0</v>
      </c>
      <c r="AH4" s="13">
        <f t="shared" si="4"/>
        <v>0</v>
      </c>
      <c r="AI4" s="13">
        <f t="shared" ref="AI4" si="5">+Q4-(Q5+Q11+Q17+Q28+Q39)</f>
        <v>0</v>
      </c>
      <c r="AJ4" s="13">
        <f t="shared" ref="AJ4:AK4" si="6">+R4-(R5+R11+R17+R28+R39)</f>
        <v>0</v>
      </c>
      <c r="AK4" s="13">
        <f t="shared" si="6"/>
        <v>0</v>
      </c>
    </row>
    <row r="5" spans="1:37" hidden="1" outlineLevel="1" x14ac:dyDescent="0.25">
      <c r="A5" s="15" t="s">
        <v>2</v>
      </c>
      <c r="B5" s="13" cm="1">
        <f t="array" ref="B5">+[1]!BEL_1_5</f>
        <v>-848703625.03893054</v>
      </c>
      <c r="C5" s="13" cm="1">
        <f t="array" ref="C5">+[5]!BEL_1_5</f>
        <v>-848703625.03893054</v>
      </c>
      <c r="D5" s="32" cm="1">
        <f t="array" ref="D5">+[6]!BEL_1_5</f>
        <v>-892398080.34821475</v>
      </c>
      <c r="E5" s="13" cm="1">
        <f t="array" ref="E5">+[7]!BEL_1_5</f>
        <v>-892398080.34821475</v>
      </c>
      <c r="F5" s="13" cm="1">
        <f t="array" ref="F5">+[8]!BEL_1_5</f>
        <v>-892398080.34821475</v>
      </c>
      <c r="G5" s="32" cm="1">
        <f t="array" ref="G5">+[9]!BEL_1_5</f>
        <v>-860806815.31570256</v>
      </c>
      <c r="H5" s="13" cm="1">
        <f t="array" ref="H5">+[10]!BEL_1_5</f>
        <v>-860806815.31570256</v>
      </c>
      <c r="I5" s="13" cm="1">
        <f t="array" ref="I5">+[11]!BEL_1_5</f>
        <v>-860806815.31570256</v>
      </c>
      <c r="J5" s="32" cm="1">
        <f t="array" ref="J5">+[12]!BEL_1_5</f>
        <v>-863498888.44183338</v>
      </c>
      <c r="K5" s="13" cm="1">
        <f t="array" ref="K5">+[13]!BEL_1_5</f>
        <v>-863498888.44183338</v>
      </c>
      <c r="L5" s="13" cm="1">
        <f t="array" ref="L5">+[14]!BEL_1_5</f>
        <v>-863498888.44183338</v>
      </c>
      <c r="M5" s="13" cm="1">
        <f t="array" ref="M5">+[15]!BEL_1_5</f>
        <v>-794932911.14205205</v>
      </c>
      <c r="N5" s="32" cm="1">
        <f t="array" ref="N5">+[16]!BEL_1_5</f>
        <v>-794932911.14205205</v>
      </c>
      <c r="O5" s="13" cm="1">
        <f t="array" ref="O5">+[17]!BEL_1_5</f>
        <v>-794932911.14205205</v>
      </c>
      <c r="P5" s="13" cm="1">
        <f t="array" ref="P5">+[18]!BEL_1_5</f>
        <v>-898438105.94142079</v>
      </c>
      <c r="Q5" s="32" cm="1">
        <f t="array" ref="Q5">+[19]!BEL_1_5</f>
        <v>-898438105.94142079</v>
      </c>
      <c r="R5" s="32" cm="1">
        <f t="array" ref="R5">+[20]!BEL_1_5</f>
        <v>-898438105.94142079</v>
      </c>
      <c r="S5" s="70" cm="1">
        <f t="array" ref="S5">+[22]!BEL_1_5</f>
        <v>-898438105.94142079</v>
      </c>
      <c r="T5" s="13">
        <f>+B5-SUM(B6:B10)</f>
        <v>0</v>
      </c>
      <c r="U5" s="13">
        <f t="shared" ref="U5:W5" si="7">+C5-SUM(C6:C10)</f>
        <v>0</v>
      </c>
      <c r="V5" s="13">
        <f t="shared" si="7"/>
        <v>0</v>
      </c>
      <c r="W5" s="13">
        <f t="shared" si="7"/>
        <v>0</v>
      </c>
      <c r="X5" s="13">
        <f t="shared" ref="X5" si="8">+F5-SUM(F6:F10)</f>
        <v>0</v>
      </c>
      <c r="Y5" s="13">
        <f t="shared" ref="Y5:AE5" si="9">+G5-SUM(G6:G10)</f>
        <v>0</v>
      </c>
      <c r="Z5" s="13">
        <f t="shared" si="9"/>
        <v>0</v>
      </c>
      <c r="AA5" s="13">
        <f t="shared" si="9"/>
        <v>0</v>
      </c>
      <c r="AB5" s="13">
        <f t="shared" si="9"/>
        <v>0</v>
      </c>
      <c r="AC5" s="13">
        <f t="shared" si="9"/>
        <v>0</v>
      </c>
      <c r="AD5" s="13">
        <f t="shared" si="9"/>
        <v>0</v>
      </c>
      <c r="AE5" s="13">
        <f t="shared" si="9"/>
        <v>0</v>
      </c>
      <c r="AF5" s="13">
        <f t="shared" ref="AF5" si="10">+N5-SUM(N6:N10)</f>
        <v>0</v>
      </c>
      <c r="AG5" s="13">
        <f t="shared" ref="AG5:AH5" si="11">+O5-SUM(O6:O10)</f>
        <v>0</v>
      </c>
      <c r="AH5" s="13">
        <f t="shared" si="11"/>
        <v>0</v>
      </c>
      <c r="AI5" s="13">
        <f t="shared" ref="AI5" si="12">+Q5-SUM(Q6:Q10)</f>
        <v>0</v>
      </c>
      <c r="AJ5" s="13">
        <f t="shared" ref="AJ5:AK5" si="13">+R5-SUM(R6:R10)</f>
        <v>0</v>
      </c>
      <c r="AK5" s="13">
        <f t="shared" si="13"/>
        <v>0</v>
      </c>
    </row>
    <row r="6" spans="1:37" hidden="1" outlineLevel="2" x14ac:dyDescent="0.25">
      <c r="A6" s="16" t="s">
        <v>3</v>
      </c>
      <c r="B6" s="13">
        <f>+[1]Pricing_BEL!$L$5</f>
        <v>-410761441.88604856</v>
      </c>
      <c r="C6" s="13">
        <f>+[5]Pricing_BEL!$L$5</f>
        <v>-410761441.88604856</v>
      </c>
      <c r="D6" s="32">
        <f>+[6]Pricing_BEL!$L$5</f>
        <v>-411777909.20632553</v>
      </c>
      <c r="E6" s="13">
        <f>+[7]Pricing_BEL!$L$5</f>
        <v>-411777909.20632553</v>
      </c>
      <c r="F6" s="13">
        <f>+[8]Pricing_BEL!$L$5</f>
        <v>-411777909.20632553</v>
      </c>
      <c r="G6" s="32">
        <f>+[9]Pricing_BEL!$L$5</f>
        <v>-374212928.40653694</v>
      </c>
      <c r="H6" s="13">
        <f>+[10]Pricing_BEL!$L$5</f>
        <v>-374212928.40653694</v>
      </c>
      <c r="I6" s="13">
        <f>+[11]Pricing_BEL!$L$5</f>
        <v>-374212928.40653694</v>
      </c>
      <c r="J6" s="32">
        <f>+[12]Pricing_BEL!$L$5</f>
        <v>-354251532.78569019</v>
      </c>
      <c r="K6" s="13">
        <f>+[13]Pricing_BEL!$L$5</f>
        <v>-354251532.78569019</v>
      </c>
      <c r="L6" s="13">
        <f>+[14]Pricing_BEL!$L$5</f>
        <v>-354251532.78569019</v>
      </c>
      <c r="M6" s="13">
        <f>+[15]Pricing_BEL!$L$5</f>
        <v>-332328018.9768852</v>
      </c>
      <c r="N6" s="32">
        <f>+[16]Pricing_BEL!$L$5</f>
        <v>-332328018.9768852</v>
      </c>
      <c r="O6" s="13">
        <f>+[17]Pricing_BEL!$L$5</f>
        <v>-332328018.9768852</v>
      </c>
      <c r="P6" s="13">
        <f>+[18]Pricing_BEL!$L$5</f>
        <v>-389173850.35002708</v>
      </c>
      <c r="Q6" s="32">
        <f>+[19]Pricing_BEL!$L$5</f>
        <v>-389173850.35002708</v>
      </c>
      <c r="R6" s="32">
        <f>+[20]Pricing_BEL!$L$5</f>
        <v>-389173850.35002708</v>
      </c>
      <c r="S6" s="70">
        <f>+[22]Pricing_BEL!$L$5</f>
        <v>-389173850.35002708</v>
      </c>
    </row>
    <row r="7" spans="1:37" hidden="1" outlineLevel="2" x14ac:dyDescent="0.25">
      <c r="A7" s="16" t="s">
        <v>4</v>
      </c>
      <c r="B7" s="13">
        <f>+[1]Pricing_BEL!$L$6</f>
        <v>-221463796.43262094</v>
      </c>
      <c r="C7" s="13">
        <f>+[5]Pricing_BEL!$L$6</f>
        <v>-221463796.43262094</v>
      </c>
      <c r="D7" s="32">
        <f>+[6]Pricing_BEL!$L$6</f>
        <v>-261908193.95837164</v>
      </c>
      <c r="E7" s="13">
        <f>+[7]Pricing_BEL!$L$6</f>
        <v>-261908193.95837164</v>
      </c>
      <c r="F7" s="13">
        <f>+[8]Pricing_BEL!$L$6</f>
        <v>-261908193.95837164</v>
      </c>
      <c r="G7" s="32">
        <f>+[9]Pricing_BEL!$L$6</f>
        <v>-268052026.57223928</v>
      </c>
      <c r="H7" s="13">
        <f>+[10]Pricing_BEL!$L$6</f>
        <v>-268052026.57223928</v>
      </c>
      <c r="I7" s="13">
        <f>+[11]Pricing_BEL!$L$6</f>
        <v>-268052026.57223928</v>
      </c>
      <c r="J7" s="32">
        <f>+[12]Pricing_BEL!$L$6</f>
        <v>-277814438.81684458</v>
      </c>
      <c r="K7" s="13">
        <f>+[13]Pricing_BEL!$L$6</f>
        <v>-277814438.81684458</v>
      </c>
      <c r="L7" s="13">
        <f>+[14]Pricing_BEL!$L$6</f>
        <v>-277814438.81684458</v>
      </c>
      <c r="M7" s="13">
        <f>+[15]Pricing_BEL!$L$6</f>
        <v>-254342110.90424085</v>
      </c>
      <c r="N7" s="32">
        <f>+[16]Pricing_BEL!$L$6</f>
        <v>-254342110.90424085</v>
      </c>
      <c r="O7" s="13">
        <f>+[17]Pricing_BEL!$L$6</f>
        <v>-254342110.90424085</v>
      </c>
      <c r="P7" s="13">
        <f>+[18]Pricing_BEL!$L$6</f>
        <v>-286865944.48536301</v>
      </c>
      <c r="Q7" s="32">
        <f>+[19]Pricing_BEL!$L$6</f>
        <v>-286865944.48536301</v>
      </c>
      <c r="R7" s="32">
        <f>+[20]Pricing_BEL!$L$6</f>
        <v>-286865944.48536301</v>
      </c>
      <c r="S7" s="70">
        <f>+[22]Pricing_BEL!$L$6</f>
        <v>-286865944.48536301</v>
      </c>
    </row>
    <row r="8" spans="1:37" hidden="1" outlineLevel="2" x14ac:dyDescent="0.25">
      <c r="A8" s="16" t="s">
        <v>5</v>
      </c>
      <c r="B8" s="13">
        <f>+[1]Pricing_BEL!$L$7</f>
        <v>-110286279.41700368</v>
      </c>
      <c r="C8" s="13">
        <f>+[5]Pricing_BEL!$L$7</f>
        <v>-110286279.41700368</v>
      </c>
      <c r="D8" s="32">
        <f>+[6]Pricing_BEL!$L$7</f>
        <v>-111275047.21821414</v>
      </c>
      <c r="E8" s="13">
        <f>+[7]Pricing_BEL!$L$7</f>
        <v>-111275047.21821414</v>
      </c>
      <c r="F8" s="13">
        <f>+[8]Pricing_BEL!$L$7</f>
        <v>-111275047.21821414</v>
      </c>
      <c r="G8" s="32">
        <f>+[9]Pricing_BEL!$L$7</f>
        <v>-110763984.31681129</v>
      </c>
      <c r="H8" s="13">
        <f>+[10]Pricing_BEL!$L$7</f>
        <v>-110763984.31681129</v>
      </c>
      <c r="I8" s="13">
        <f>+[11]Pricing_BEL!$L$7</f>
        <v>-110763984.31681129</v>
      </c>
      <c r="J8" s="32">
        <f>+[12]Pricing_BEL!$L$7</f>
        <v>-119668486.94164173</v>
      </c>
      <c r="K8" s="13">
        <f>+[13]Pricing_BEL!$L$7</f>
        <v>-119668486.94164173</v>
      </c>
      <c r="L8" s="13">
        <f>+[14]Pricing_BEL!$L$7</f>
        <v>-119668486.94164173</v>
      </c>
      <c r="M8" s="13">
        <f>+[15]Pricing_BEL!$L$7</f>
        <v>-110740037.63940281</v>
      </c>
      <c r="N8" s="32">
        <f>+[16]Pricing_BEL!$L$7</f>
        <v>-110740037.63940281</v>
      </c>
      <c r="O8" s="13">
        <f>+[17]Pricing_BEL!$L$7</f>
        <v>-110740037.63940281</v>
      </c>
      <c r="P8" s="13">
        <f>+[18]Pricing_BEL!$L$7</f>
        <v>-118535041.07855648</v>
      </c>
      <c r="Q8" s="32">
        <f>+[19]Pricing_BEL!$L$7</f>
        <v>-118535041.07855648</v>
      </c>
      <c r="R8" s="32">
        <f>+[20]Pricing_BEL!$L$7</f>
        <v>-118535041.07855648</v>
      </c>
      <c r="S8" s="70">
        <f>+[22]Pricing_BEL!$L$7</f>
        <v>-118535041.07855648</v>
      </c>
    </row>
    <row r="9" spans="1:37" hidden="1" outlineLevel="2" x14ac:dyDescent="0.25">
      <c r="A9" s="16" t="s">
        <v>6</v>
      </c>
      <c r="B9" s="13">
        <f>+[1]Pricing_BEL!$L$8</f>
        <v>-61569787.045042247</v>
      </c>
      <c r="C9" s="13">
        <f>+[5]Pricing_BEL!$L$8</f>
        <v>-61569787.045042247</v>
      </c>
      <c r="D9" s="32">
        <f>+[6]Pricing_BEL!$L$8</f>
        <v>-63006264.026363127</v>
      </c>
      <c r="E9" s="13">
        <f>+[7]Pricing_BEL!$L$8</f>
        <v>-63006264.026363127</v>
      </c>
      <c r="F9" s="13">
        <f>+[8]Pricing_BEL!$L$8</f>
        <v>-63006264.026363127</v>
      </c>
      <c r="G9" s="32">
        <f>+[9]Pricing_BEL!$L$8</f>
        <v>-63139606.880741552</v>
      </c>
      <c r="H9" s="13">
        <f>+[10]Pricing_BEL!$L$8</f>
        <v>-63139606.880741552</v>
      </c>
      <c r="I9" s="13">
        <f>+[11]Pricing_BEL!$L$8</f>
        <v>-63139606.880741552</v>
      </c>
      <c r="J9" s="32">
        <f>+[12]Pricing_BEL!$L$8</f>
        <v>-66011371.120870858</v>
      </c>
      <c r="K9" s="13">
        <f>+[13]Pricing_BEL!$L$8</f>
        <v>-66011371.120870858</v>
      </c>
      <c r="L9" s="13">
        <f>+[14]Pricing_BEL!$L$8</f>
        <v>-66011371.120870858</v>
      </c>
      <c r="M9" s="13">
        <f>+[15]Pricing_BEL!$L$8</f>
        <v>-58788329.173370369</v>
      </c>
      <c r="N9" s="32">
        <f>+[16]Pricing_BEL!$L$8</f>
        <v>-58788329.173370369</v>
      </c>
      <c r="O9" s="13">
        <f>+[17]Pricing_BEL!$L$8</f>
        <v>-58788329.173370369</v>
      </c>
      <c r="P9" s="13">
        <f>+[18]Pricing_BEL!$L$8</f>
        <v>-62281675.693349212</v>
      </c>
      <c r="Q9" s="32">
        <f>+[19]Pricing_BEL!$L$8</f>
        <v>-62281675.693349212</v>
      </c>
      <c r="R9" s="32">
        <f>+[20]Pricing_BEL!$L$8</f>
        <v>-62281675.693349212</v>
      </c>
      <c r="S9" s="70">
        <f>+[22]Pricing_BEL!$L$8</f>
        <v>-62281675.693349212</v>
      </c>
    </row>
    <row r="10" spans="1:37" hidden="1" outlineLevel="2" x14ac:dyDescent="0.25">
      <c r="A10" s="16" t="s">
        <v>7</v>
      </c>
      <c r="B10" s="13">
        <f>+[1]Pricing_BEL!$L$9</f>
        <v>-44622320.258215055</v>
      </c>
      <c r="C10" s="13">
        <f>+[5]Pricing_BEL!$L$9</f>
        <v>-44622320.258215055</v>
      </c>
      <c r="D10" s="32">
        <f>+[6]Pricing_BEL!$L$9</f>
        <v>-44430665.938940234</v>
      </c>
      <c r="E10" s="13">
        <f>+[7]Pricing_BEL!$L$9</f>
        <v>-44430665.938940234</v>
      </c>
      <c r="F10" s="13">
        <f>+[8]Pricing_BEL!$L$9</f>
        <v>-44430665.938940234</v>
      </c>
      <c r="G10" s="32">
        <f>+[9]Pricing_BEL!$L$9</f>
        <v>-44638269.139373422</v>
      </c>
      <c r="H10" s="13">
        <f>+[10]Pricing_BEL!$L$9</f>
        <v>-44638269.139373422</v>
      </c>
      <c r="I10" s="13">
        <f>+[11]Pricing_BEL!$L$9</f>
        <v>-44638269.139373422</v>
      </c>
      <c r="J10" s="32">
        <f>+[12]Pricing_BEL!$L$9</f>
        <v>-45753058.776786052</v>
      </c>
      <c r="K10" s="13">
        <f>+[13]Pricing_BEL!$L$9</f>
        <v>-45753058.776786052</v>
      </c>
      <c r="L10" s="13">
        <f>+[14]Pricing_BEL!$L$9</f>
        <v>-45753058.776786052</v>
      </c>
      <c r="M10" s="13">
        <f>+[15]Pricing_BEL!$L$9</f>
        <v>-38734414.44815293</v>
      </c>
      <c r="N10" s="32">
        <f>+[16]Pricing_BEL!$L$9</f>
        <v>-38734414.44815293</v>
      </c>
      <c r="O10" s="13">
        <f>+[17]Pricing_BEL!$L$9</f>
        <v>-38734414.44815293</v>
      </c>
      <c r="P10" s="13">
        <f>+[18]Pricing_BEL!$L$9</f>
        <v>-41581594.33412493</v>
      </c>
      <c r="Q10" s="32">
        <f>+[19]Pricing_BEL!$L$9</f>
        <v>-41581594.33412493</v>
      </c>
      <c r="R10" s="32">
        <f>+[20]Pricing_BEL!$L$9</f>
        <v>-41581594.33412493</v>
      </c>
      <c r="S10" s="70">
        <f>+[22]Pricing_BEL!$L$9</f>
        <v>-41581594.33412493</v>
      </c>
    </row>
    <row r="11" spans="1:37" hidden="1" outlineLevel="1" x14ac:dyDescent="0.25">
      <c r="A11" s="15" t="s">
        <v>8</v>
      </c>
      <c r="B11" s="13" cm="1">
        <f t="array" ref="B11">+[1]!BEL_6_10</f>
        <v>-118361602.41586424</v>
      </c>
      <c r="C11" s="13" cm="1">
        <f t="array" ref="C11">+[5]!BEL_6_10</f>
        <v>-118361602.41586424</v>
      </c>
      <c r="D11" s="32" cm="1">
        <f t="array" ref="D11">+[6]!BEL_6_10</f>
        <v>-115690575.8067085</v>
      </c>
      <c r="E11" s="13" cm="1">
        <f t="array" ref="E11">+[7]!BEL_6_10</f>
        <v>-115690575.8067085</v>
      </c>
      <c r="F11" s="13" cm="1">
        <f t="array" ref="F11">+[8]!BEL_6_10</f>
        <v>-115690575.8067085</v>
      </c>
      <c r="G11" s="32" cm="1">
        <f t="array" ref="G11">+[9]!BEL_6_10</f>
        <v>-116458520.33029363</v>
      </c>
      <c r="H11" s="13" cm="1">
        <f t="array" ref="H11">+[10]!BEL_6_10</f>
        <v>-116458520.33029363</v>
      </c>
      <c r="I11" s="13" cm="1">
        <f t="array" ref="I11">+[11]!BEL_6_10</f>
        <v>-116458520.33029363</v>
      </c>
      <c r="J11" s="32" cm="1">
        <f t="array" ref="J11">+[12]!BEL_6_10</f>
        <v>-117005079.33356735</v>
      </c>
      <c r="K11" s="13" cm="1">
        <f t="array" ref="K11">+[13]!BEL_6_10</f>
        <v>-117005079.33356735</v>
      </c>
      <c r="L11" s="13" cm="1">
        <f t="array" ref="L11">+[14]!BEL_6_10</f>
        <v>-117005079.33356735</v>
      </c>
      <c r="M11" s="13" cm="1">
        <f t="array" ref="M11">+[15]!BEL_6_10</f>
        <v>-93053263.010376245</v>
      </c>
      <c r="N11" s="32" cm="1">
        <f t="array" ref="N11">+[16]!BEL_6_10</f>
        <v>-93053263.010376245</v>
      </c>
      <c r="O11" s="13" cm="1">
        <f t="array" ref="O11">+[17]!BEL_6_10</f>
        <v>-93053263.010376245</v>
      </c>
      <c r="P11" s="13" cm="1">
        <f t="array" ref="P11">+[18]!BEL_6_10</f>
        <v>-99516046.979921997</v>
      </c>
      <c r="Q11" s="32" cm="1">
        <f t="array" ref="Q11">+[19]!BEL_6_10</f>
        <v>-99516046.979921997</v>
      </c>
      <c r="R11" s="32" cm="1">
        <f t="array" ref="R11">+[20]!BEL_6_10</f>
        <v>-99516046.979921997</v>
      </c>
      <c r="S11" s="70" cm="1">
        <f t="array" ref="S11">+[22]!BEL_6_10</f>
        <v>-99516046.979921997</v>
      </c>
      <c r="T11" s="13">
        <f>+B11-SUM(B12:B16)</f>
        <v>0</v>
      </c>
      <c r="U11" s="13">
        <f t="shared" ref="U11:W11" si="14">+C11-SUM(C12:C16)</f>
        <v>0</v>
      </c>
      <c r="V11" s="13">
        <f t="shared" si="14"/>
        <v>0</v>
      </c>
      <c r="W11" s="13">
        <f t="shared" si="14"/>
        <v>0</v>
      </c>
      <c r="X11" s="13">
        <f t="shared" ref="X11" si="15">+F11-SUM(F12:F16)</f>
        <v>0</v>
      </c>
      <c r="Y11" s="13">
        <f t="shared" ref="Y11:AE11" si="16">+G11-SUM(G12:G16)</f>
        <v>0</v>
      </c>
      <c r="Z11" s="13">
        <f t="shared" si="16"/>
        <v>0</v>
      </c>
      <c r="AA11" s="13">
        <f t="shared" si="16"/>
        <v>0</v>
      </c>
      <c r="AB11" s="13">
        <f t="shared" si="16"/>
        <v>0</v>
      </c>
      <c r="AC11" s="13">
        <f t="shared" si="16"/>
        <v>0</v>
      </c>
      <c r="AD11" s="13">
        <f t="shared" si="16"/>
        <v>0</v>
      </c>
      <c r="AE11" s="13">
        <f t="shared" si="16"/>
        <v>0</v>
      </c>
      <c r="AF11" s="13">
        <f t="shared" ref="AF11" si="17">+N11-SUM(N12:N16)</f>
        <v>0</v>
      </c>
      <c r="AG11" s="13">
        <f t="shared" ref="AG11:AH11" si="18">+O11-SUM(O12:O16)</f>
        <v>0</v>
      </c>
      <c r="AH11" s="13">
        <f t="shared" si="18"/>
        <v>0</v>
      </c>
      <c r="AI11" s="13">
        <f t="shared" ref="AI11" si="19">+Q11-SUM(Q12:Q16)</f>
        <v>0</v>
      </c>
      <c r="AJ11" s="13">
        <f t="shared" ref="AJ11:AK11" si="20">+R11-SUM(R12:R16)</f>
        <v>0</v>
      </c>
      <c r="AK11" s="13">
        <f t="shared" si="20"/>
        <v>0</v>
      </c>
    </row>
    <row r="12" spans="1:37" hidden="1" outlineLevel="2" x14ac:dyDescent="0.25">
      <c r="A12" s="16" t="s">
        <v>9</v>
      </c>
      <c r="B12" s="13">
        <f>+[1]Pricing_BEL!$L$10</f>
        <v>-35347016.025933817</v>
      </c>
      <c r="C12" s="13">
        <f>+[5]Pricing_BEL!$L$10</f>
        <v>-35347016.025933817</v>
      </c>
      <c r="D12" s="32">
        <f>+[6]Pricing_BEL!$L$10</f>
        <v>-34891813.537727728</v>
      </c>
      <c r="E12" s="13">
        <f>+[7]Pricing_BEL!$L$10</f>
        <v>-34891813.537727728</v>
      </c>
      <c r="F12" s="13">
        <f>+[8]Pricing_BEL!$L$10</f>
        <v>-34891813.537727728</v>
      </c>
      <c r="G12" s="32">
        <f>+[9]Pricing_BEL!$L$10</f>
        <v>-34926978.922364578</v>
      </c>
      <c r="H12" s="13">
        <f>+[10]Pricing_BEL!$L$10</f>
        <v>-34926978.922364578</v>
      </c>
      <c r="I12" s="13">
        <f>+[11]Pricing_BEL!$L$10</f>
        <v>-34926978.922364578</v>
      </c>
      <c r="J12" s="32">
        <f>+[12]Pricing_BEL!$L$10</f>
        <v>-35286266.500125252</v>
      </c>
      <c r="K12" s="13">
        <f>+[13]Pricing_BEL!$L$10</f>
        <v>-35286266.500125252</v>
      </c>
      <c r="L12" s="13">
        <f>+[14]Pricing_BEL!$L$10</f>
        <v>-35286266.500125252</v>
      </c>
      <c r="M12" s="13">
        <f>+[15]Pricing_BEL!$L$10</f>
        <v>-29383482.820818491</v>
      </c>
      <c r="N12" s="32">
        <f>+[16]Pricing_BEL!$L$10</f>
        <v>-29383482.820818491</v>
      </c>
      <c r="O12" s="13">
        <f>+[17]Pricing_BEL!$L$10</f>
        <v>-29383482.820818491</v>
      </c>
      <c r="P12" s="13">
        <f>+[18]Pricing_BEL!$L$10</f>
        <v>-31309013.60312615</v>
      </c>
      <c r="Q12" s="32">
        <f>+[19]Pricing_BEL!$L$10</f>
        <v>-31309013.60312615</v>
      </c>
      <c r="R12" s="32">
        <f>+[20]Pricing_BEL!$L$10</f>
        <v>-31309013.60312615</v>
      </c>
      <c r="S12" s="70">
        <f>+[22]Pricing_BEL!$L$10</f>
        <v>-31309013.60312615</v>
      </c>
    </row>
    <row r="13" spans="1:37" hidden="1" outlineLevel="2" x14ac:dyDescent="0.25">
      <c r="A13" s="16" t="s">
        <v>10</v>
      </c>
      <c r="B13" s="13">
        <f>+[1]Pricing_BEL!$L$11</f>
        <v>-27851121.843706787</v>
      </c>
      <c r="C13" s="13">
        <f>+[5]Pricing_BEL!$L$11</f>
        <v>-27851121.843706787</v>
      </c>
      <c r="D13" s="32">
        <f>+[6]Pricing_BEL!$L$11</f>
        <v>-27477124.858067438</v>
      </c>
      <c r="E13" s="13">
        <f>+[7]Pricing_BEL!$L$11</f>
        <v>-27477124.858067438</v>
      </c>
      <c r="F13" s="13">
        <f>+[8]Pricing_BEL!$L$11</f>
        <v>-27477124.858067438</v>
      </c>
      <c r="G13" s="32">
        <f>+[9]Pricing_BEL!$L$11</f>
        <v>-27654800.359843358</v>
      </c>
      <c r="H13" s="13">
        <f>+[10]Pricing_BEL!$L$11</f>
        <v>-27654800.359843358</v>
      </c>
      <c r="I13" s="13">
        <f>+[11]Pricing_BEL!$L$11</f>
        <v>-27654800.359843358</v>
      </c>
      <c r="J13" s="32">
        <f>+[12]Pricing_BEL!$L$11</f>
        <v>-27854828.125118382</v>
      </c>
      <c r="K13" s="13">
        <f>+[13]Pricing_BEL!$L$11</f>
        <v>-27854828.125118382</v>
      </c>
      <c r="L13" s="13">
        <f>+[14]Pricing_BEL!$L$11</f>
        <v>-27854828.125118382</v>
      </c>
      <c r="M13" s="13">
        <f>+[15]Pricing_BEL!$L$11</f>
        <v>-22772005.290521447</v>
      </c>
      <c r="N13" s="32">
        <f>+[16]Pricing_BEL!$L$11</f>
        <v>-22772005.290521447</v>
      </c>
      <c r="O13" s="13">
        <f>+[17]Pricing_BEL!$L$11</f>
        <v>-22772005.290521447</v>
      </c>
      <c r="P13" s="13">
        <f>+[18]Pricing_BEL!$L$11</f>
        <v>-24378249.677626185</v>
      </c>
      <c r="Q13" s="32">
        <f>+[19]Pricing_BEL!$L$11</f>
        <v>-24378249.677626185</v>
      </c>
      <c r="R13" s="32">
        <f>+[20]Pricing_BEL!$L$11</f>
        <v>-24378249.677626185</v>
      </c>
      <c r="S13" s="70">
        <f>+[22]Pricing_BEL!$L$11</f>
        <v>-24378249.677626185</v>
      </c>
    </row>
    <row r="14" spans="1:37" hidden="1" outlineLevel="2" x14ac:dyDescent="0.25">
      <c r="A14" s="16" t="s">
        <v>11</v>
      </c>
      <c r="B14" s="13">
        <f>+[1]Pricing_BEL!$L$12</f>
        <v>-22169217.191406183</v>
      </c>
      <c r="C14" s="13">
        <f>+[5]Pricing_BEL!$L$12</f>
        <v>-22169217.191406183</v>
      </c>
      <c r="D14" s="32">
        <f>+[6]Pricing_BEL!$L$12</f>
        <v>-21819803.244795237</v>
      </c>
      <c r="E14" s="13">
        <f>+[7]Pricing_BEL!$L$12</f>
        <v>-21819803.244795237</v>
      </c>
      <c r="F14" s="13">
        <f>+[8]Pricing_BEL!$L$12</f>
        <v>-21819803.244795237</v>
      </c>
      <c r="G14" s="32">
        <f>+[9]Pricing_BEL!$L$12</f>
        <v>-22060019.97249347</v>
      </c>
      <c r="H14" s="13">
        <f>+[10]Pricing_BEL!$L$12</f>
        <v>-22060019.97249347</v>
      </c>
      <c r="I14" s="13">
        <f>+[11]Pricing_BEL!$L$12</f>
        <v>-22060019.97249347</v>
      </c>
      <c r="J14" s="32">
        <f>+[12]Pricing_BEL!$L$12</f>
        <v>-22174065.228131816</v>
      </c>
      <c r="K14" s="13">
        <f>+[13]Pricing_BEL!$L$12</f>
        <v>-22174065.228131816</v>
      </c>
      <c r="L14" s="13">
        <f>+[14]Pricing_BEL!$L$12</f>
        <v>-22174065.228131816</v>
      </c>
      <c r="M14" s="13">
        <f>+[15]Pricing_BEL!$L$12</f>
        <v>-17763753.223422579</v>
      </c>
      <c r="N14" s="32">
        <f>+[16]Pricing_BEL!$L$12</f>
        <v>-17763753.223422579</v>
      </c>
      <c r="O14" s="13">
        <f>+[17]Pricing_BEL!$L$12</f>
        <v>-17763753.223422579</v>
      </c>
      <c r="P14" s="13">
        <f>+[18]Pricing_BEL!$L$12</f>
        <v>-19010843.511840597</v>
      </c>
      <c r="Q14" s="32">
        <f>+[19]Pricing_BEL!$L$12</f>
        <v>-19010843.511840597</v>
      </c>
      <c r="R14" s="32">
        <f>+[20]Pricing_BEL!$L$12</f>
        <v>-19010843.511840597</v>
      </c>
      <c r="S14" s="70">
        <f>+[22]Pricing_BEL!$L$12</f>
        <v>-19010843.511840597</v>
      </c>
    </row>
    <row r="15" spans="1:37" hidden="1" outlineLevel="2" x14ac:dyDescent="0.25">
      <c r="A15" s="16" t="s">
        <v>12</v>
      </c>
      <c r="B15" s="13">
        <f>+[1]Pricing_BEL!$L$13</f>
        <v>-17687370.371356182</v>
      </c>
      <c r="C15" s="13">
        <f>+[5]Pricing_BEL!$L$13</f>
        <v>-17687370.371356182</v>
      </c>
      <c r="D15" s="32">
        <f>+[6]Pricing_BEL!$L$13</f>
        <v>-16770198.96276848</v>
      </c>
      <c r="E15" s="13">
        <f>+[7]Pricing_BEL!$L$13</f>
        <v>-16770198.96276848</v>
      </c>
      <c r="F15" s="13">
        <f>+[8]Pricing_BEL!$L$13</f>
        <v>-16770198.96276848</v>
      </c>
      <c r="G15" s="32">
        <f>+[9]Pricing_BEL!$L$13</f>
        <v>-16837065.004563823</v>
      </c>
      <c r="H15" s="13">
        <f>+[10]Pricing_BEL!$L$13</f>
        <v>-16837065.004563823</v>
      </c>
      <c r="I15" s="13">
        <f>+[11]Pricing_BEL!$L$13</f>
        <v>-16837065.004563823</v>
      </c>
      <c r="J15" s="32">
        <f>+[12]Pricing_BEL!$L$13</f>
        <v>-16825353.975437362</v>
      </c>
      <c r="K15" s="13">
        <f>+[13]Pricing_BEL!$L$13</f>
        <v>-16825353.975437362</v>
      </c>
      <c r="L15" s="13">
        <f>+[14]Pricing_BEL!$L$13</f>
        <v>-16825353.975437362</v>
      </c>
      <c r="M15" s="13">
        <f>+[15]Pricing_BEL!$L$13</f>
        <v>-13370031.517351151</v>
      </c>
      <c r="N15" s="32">
        <f>+[16]Pricing_BEL!$L$13</f>
        <v>-13370031.517351151</v>
      </c>
      <c r="O15" s="13">
        <f>+[17]Pricing_BEL!$L$13</f>
        <v>-13370031.517351151</v>
      </c>
      <c r="P15" s="13">
        <f>+[18]Pricing_BEL!$L$13</f>
        <v>-14326490.83992663</v>
      </c>
      <c r="Q15" s="32">
        <f>+[19]Pricing_BEL!$L$13</f>
        <v>-14326490.83992663</v>
      </c>
      <c r="R15" s="32">
        <f>+[20]Pricing_BEL!$L$13</f>
        <v>-14326490.83992663</v>
      </c>
      <c r="S15" s="70">
        <f>+[22]Pricing_BEL!$L$13</f>
        <v>-14326490.83992663</v>
      </c>
    </row>
    <row r="16" spans="1:37" hidden="1" outlineLevel="2" x14ac:dyDescent="0.25">
      <c r="A16" s="16" t="s">
        <v>13</v>
      </c>
      <c r="B16" s="13">
        <f>+[1]Pricing_BEL!$L$14</f>
        <v>-15306876.983461281</v>
      </c>
      <c r="C16" s="13">
        <f>+[5]Pricing_BEL!$L$14</f>
        <v>-15306876.983461281</v>
      </c>
      <c r="D16" s="32">
        <f>+[6]Pricing_BEL!$L$14</f>
        <v>-14731635.203349624</v>
      </c>
      <c r="E16" s="13">
        <f>+[7]Pricing_BEL!$L$14</f>
        <v>-14731635.203349624</v>
      </c>
      <c r="F16" s="13">
        <f>+[8]Pricing_BEL!$L$14</f>
        <v>-14731635.203349624</v>
      </c>
      <c r="G16" s="32">
        <f>+[9]Pricing_BEL!$L$14</f>
        <v>-14979656.071028402</v>
      </c>
      <c r="H16" s="13">
        <f>+[10]Pricing_BEL!$L$14</f>
        <v>-14979656.071028402</v>
      </c>
      <c r="I16" s="13">
        <f>+[11]Pricing_BEL!$L$14</f>
        <v>-14979656.071028402</v>
      </c>
      <c r="J16" s="32">
        <f>+[12]Pricing_BEL!$L$14</f>
        <v>-14864565.504754547</v>
      </c>
      <c r="K16" s="13">
        <f>+[13]Pricing_BEL!$L$14</f>
        <v>-14864565.504754547</v>
      </c>
      <c r="L16" s="13">
        <f>+[14]Pricing_BEL!$L$14</f>
        <v>-14864565.504754547</v>
      </c>
      <c r="M16" s="13">
        <f>+[15]Pricing_BEL!$L$14</f>
        <v>-9763990.1582625881</v>
      </c>
      <c r="N16" s="32">
        <f>+[16]Pricing_BEL!$L$14</f>
        <v>-9763990.1582625881</v>
      </c>
      <c r="O16" s="13">
        <f>+[17]Pricing_BEL!$L$14</f>
        <v>-9763990.1582625881</v>
      </c>
      <c r="P16" s="13">
        <f>+[18]Pricing_BEL!$L$14</f>
        <v>-10491449.34740244</v>
      </c>
      <c r="Q16" s="32">
        <f>+[19]Pricing_BEL!$L$14</f>
        <v>-10491449.34740244</v>
      </c>
      <c r="R16" s="32">
        <f>+[20]Pricing_BEL!$L$14</f>
        <v>-10491449.34740244</v>
      </c>
      <c r="S16" s="70">
        <f>+[22]Pricing_BEL!$L$14</f>
        <v>-10491449.34740244</v>
      </c>
    </row>
    <row r="17" spans="1:37" hidden="1" outlineLevel="1" x14ac:dyDescent="0.25">
      <c r="A17" s="15" t="s">
        <v>14</v>
      </c>
      <c r="B17" s="13" cm="1">
        <f t="array" ref="B17">+[1]!BEL_11_20</f>
        <v>-63775052.286756374</v>
      </c>
      <c r="C17" s="13" cm="1">
        <f t="array" ref="C17">+[5]!BEL_11_20</f>
        <v>-63775052.286756374</v>
      </c>
      <c r="D17" s="32" cm="1">
        <f t="array" ref="D17">+[6]!BEL_11_20</f>
        <v>-58898037.913481206</v>
      </c>
      <c r="E17" s="13" cm="1">
        <f t="array" ref="E17">+[7]!BEL_11_20</f>
        <v>-58898037.913481206</v>
      </c>
      <c r="F17" s="13" cm="1">
        <f t="array" ref="F17">+[8]!BEL_11_20</f>
        <v>-58898037.913481206</v>
      </c>
      <c r="G17" s="32" cm="1">
        <f t="array" ref="G17">+[9]!BEL_11_20</f>
        <v>-58873034.255981483</v>
      </c>
      <c r="H17" s="13" cm="1">
        <f t="array" ref="H17">+[10]!BEL_11_20</f>
        <v>-58873034.255981483</v>
      </c>
      <c r="I17" s="13" cm="1">
        <f t="array" ref="I17">+[11]!BEL_11_20</f>
        <v>-58873034.255981483</v>
      </c>
      <c r="J17" s="32" cm="1">
        <f t="array" ref="J17">+[12]!BEL_11_20</f>
        <v>-59326877.784230188</v>
      </c>
      <c r="K17" s="13" cm="1">
        <f t="array" ref="K17">+[13]!BEL_11_20</f>
        <v>-59326877.784230188</v>
      </c>
      <c r="L17" s="13" cm="1">
        <f t="array" ref="L17">+[14]!BEL_11_20</f>
        <v>-59326877.784230188</v>
      </c>
      <c r="M17" s="13" cm="1">
        <f t="array" ref="M17">+[15]!BEL_11_20</f>
        <v>-44995417.320736989</v>
      </c>
      <c r="N17" s="32" cm="1">
        <f t="array" ref="N17">+[16]!BEL_11_20</f>
        <v>-44995417.320736989</v>
      </c>
      <c r="O17" s="13" cm="1">
        <f t="array" ref="O17">+[17]!BEL_11_20</f>
        <v>-44995417.320736989</v>
      </c>
      <c r="P17" s="13" cm="1">
        <f t="array" ref="P17">+[18]!BEL_11_20</f>
        <v>-47098807.5908911</v>
      </c>
      <c r="Q17" s="32" cm="1">
        <f t="array" ref="Q17">+[19]!BEL_11_20</f>
        <v>-47098807.5908911</v>
      </c>
      <c r="R17" s="32" cm="1">
        <f t="array" ref="R17">+[20]!BEL_11_20</f>
        <v>-47098807.5908911</v>
      </c>
      <c r="S17" s="70" cm="1">
        <f t="array" ref="S17">+[22]!BEL_11_20</f>
        <v>-47098807.5908911</v>
      </c>
      <c r="T17" s="13">
        <f>+B17-SUM(B18:B27)</f>
        <v>0</v>
      </c>
      <c r="U17" s="13">
        <f t="shared" ref="U17:W17" si="21">+C17-SUM(C18:C27)</f>
        <v>0</v>
      </c>
      <c r="V17" s="13">
        <f t="shared" si="21"/>
        <v>0</v>
      </c>
      <c r="W17" s="13">
        <f t="shared" si="21"/>
        <v>0</v>
      </c>
      <c r="X17" s="13">
        <f t="shared" ref="X17" si="22">+F17-SUM(F18:F27)</f>
        <v>0</v>
      </c>
      <c r="Y17" s="13">
        <f t="shared" ref="Y17:AE17" si="23">+G17-SUM(G18:G27)</f>
        <v>0</v>
      </c>
      <c r="Z17" s="13">
        <f t="shared" si="23"/>
        <v>0</v>
      </c>
      <c r="AA17" s="13">
        <f t="shared" si="23"/>
        <v>0</v>
      </c>
      <c r="AB17" s="13">
        <f t="shared" si="23"/>
        <v>0</v>
      </c>
      <c r="AC17" s="13">
        <f t="shared" si="23"/>
        <v>0</v>
      </c>
      <c r="AD17" s="13">
        <f t="shared" si="23"/>
        <v>0</v>
      </c>
      <c r="AE17" s="13">
        <f t="shared" si="23"/>
        <v>0</v>
      </c>
      <c r="AF17" s="13">
        <f t="shared" ref="AF17" si="24">+N17-SUM(N18:N27)</f>
        <v>0</v>
      </c>
      <c r="AG17" s="13">
        <f t="shared" ref="AG17:AH17" si="25">+O17-SUM(O18:O27)</f>
        <v>0</v>
      </c>
      <c r="AH17" s="13">
        <f t="shared" si="25"/>
        <v>0</v>
      </c>
      <c r="AI17" s="13">
        <f t="shared" ref="AI17" si="26">+Q17-SUM(Q18:Q27)</f>
        <v>0</v>
      </c>
      <c r="AJ17" s="13">
        <f t="shared" ref="AJ17:AK17" si="27">+R17-SUM(R18:R27)</f>
        <v>0</v>
      </c>
      <c r="AK17" s="13">
        <f t="shared" si="27"/>
        <v>0</v>
      </c>
    </row>
    <row r="18" spans="1:37" hidden="1" outlineLevel="2" x14ac:dyDescent="0.25">
      <c r="A18" s="16" t="s">
        <v>15</v>
      </c>
      <c r="B18" s="13">
        <f>+[1]Pricing_BEL!$L$15</f>
        <v>-12390596.071672451</v>
      </c>
      <c r="C18" s="13">
        <f>+[5]Pricing_BEL!$L$15</f>
        <v>-12390596.071672451</v>
      </c>
      <c r="D18" s="32">
        <f>+[6]Pricing_BEL!$L$15</f>
        <v>-11655204.958503354</v>
      </c>
      <c r="E18" s="13">
        <f>+[7]Pricing_BEL!$L$15</f>
        <v>-11655204.958503354</v>
      </c>
      <c r="F18" s="13">
        <f>+[8]Pricing_BEL!$L$15</f>
        <v>-11655204.958503354</v>
      </c>
      <c r="G18" s="32">
        <f>+[9]Pricing_BEL!$L$15</f>
        <v>-11821214.948433835</v>
      </c>
      <c r="H18" s="13">
        <f>+[10]Pricing_BEL!$L$15</f>
        <v>-11821214.948433835</v>
      </c>
      <c r="I18" s="13">
        <f>+[11]Pricing_BEL!$L$15</f>
        <v>-11821214.948433835</v>
      </c>
      <c r="J18" s="32">
        <f>+[12]Pricing_BEL!$L$15</f>
        <v>-11810848.656614317</v>
      </c>
      <c r="K18" s="13">
        <f>+[13]Pricing_BEL!$L$15</f>
        <v>-11810848.656614317</v>
      </c>
      <c r="L18" s="13">
        <f>+[14]Pricing_BEL!$L$15</f>
        <v>-11810848.656614317</v>
      </c>
      <c r="M18" s="13">
        <f>+[15]Pricing_BEL!$L$15</f>
        <v>-7387436.2469859105</v>
      </c>
      <c r="N18" s="32">
        <f>+[16]Pricing_BEL!$L$15</f>
        <v>-7387436.2469859105</v>
      </c>
      <c r="O18" s="13">
        <f>+[17]Pricing_BEL!$L$15</f>
        <v>-7387436.2469859105</v>
      </c>
      <c r="P18" s="13">
        <f>+[18]Pricing_BEL!$L$15</f>
        <v>-7939633.4522723453</v>
      </c>
      <c r="Q18" s="32">
        <f>+[19]Pricing_BEL!$L$15</f>
        <v>-7939633.4522723453</v>
      </c>
      <c r="R18" s="32">
        <f>+[20]Pricing_BEL!$L$15</f>
        <v>-7939633.4522723453</v>
      </c>
      <c r="S18" s="70">
        <f>+[22]Pricing_BEL!$L$15</f>
        <v>-7939633.4522723453</v>
      </c>
    </row>
    <row r="19" spans="1:37" hidden="1" outlineLevel="2" x14ac:dyDescent="0.25">
      <c r="A19" s="16" t="s">
        <v>16</v>
      </c>
      <c r="B19" s="13">
        <f>+[1]Pricing_BEL!$L$16</f>
        <v>-9328454.3494528625</v>
      </c>
      <c r="C19" s="13">
        <f>+[5]Pricing_BEL!$L$16</f>
        <v>-9328454.3494528625</v>
      </c>
      <c r="D19" s="32">
        <f>+[6]Pricing_BEL!$L$16</f>
        <v>-8435297.1572369467</v>
      </c>
      <c r="E19" s="13">
        <f>+[7]Pricing_BEL!$L$16</f>
        <v>-8435297.1572369467</v>
      </c>
      <c r="F19" s="13">
        <f>+[8]Pricing_BEL!$L$16</f>
        <v>-8435297.1572369467</v>
      </c>
      <c r="G19" s="32">
        <f>+[9]Pricing_BEL!$L$16</f>
        <v>-8453429.9385734275</v>
      </c>
      <c r="H19" s="13">
        <f>+[10]Pricing_BEL!$L$16</f>
        <v>-8453429.9385734275</v>
      </c>
      <c r="I19" s="13">
        <f>+[11]Pricing_BEL!$L$16</f>
        <v>-8453429.9385734275</v>
      </c>
      <c r="J19" s="32">
        <f>+[12]Pricing_BEL!$L$16</f>
        <v>-8516059.4541114531</v>
      </c>
      <c r="K19" s="13">
        <f>+[13]Pricing_BEL!$L$16</f>
        <v>-8516059.4541114531</v>
      </c>
      <c r="L19" s="13">
        <f>+[14]Pricing_BEL!$L$16</f>
        <v>-8516059.4541114531</v>
      </c>
      <c r="M19" s="13">
        <f>+[15]Pricing_BEL!$L$16</f>
        <v>-6268950.3953608498</v>
      </c>
      <c r="N19" s="32">
        <f>+[16]Pricing_BEL!$L$16</f>
        <v>-6268950.3953608498</v>
      </c>
      <c r="O19" s="13">
        <f>+[17]Pricing_BEL!$L$16</f>
        <v>-6268950.3953608498</v>
      </c>
      <c r="P19" s="13">
        <f>+[18]Pricing_BEL!$L$16</f>
        <v>-6533184.7615859499</v>
      </c>
      <c r="Q19" s="32">
        <f>+[19]Pricing_BEL!$L$16</f>
        <v>-6533184.7615859499</v>
      </c>
      <c r="R19" s="32">
        <f>+[20]Pricing_BEL!$L$16</f>
        <v>-6533184.7615859499</v>
      </c>
      <c r="S19" s="70">
        <f>+[22]Pricing_BEL!$L$16</f>
        <v>-6533184.7615859499</v>
      </c>
    </row>
    <row r="20" spans="1:37" hidden="1" outlineLevel="2" x14ac:dyDescent="0.25">
      <c r="A20" s="16" t="s">
        <v>17</v>
      </c>
      <c r="B20" s="13">
        <f>+[1]Pricing_BEL!$L$17</f>
        <v>-8056794.6031108005</v>
      </c>
      <c r="C20" s="13">
        <f>+[5]Pricing_BEL!$L$17</f>
        <v>-8056794.6031108005</v>
      </c>
      <c r="D20" s="32">
        <f>+[6]Pricing_BEL!$L$17</f>
        <v>-7306616.4948640792</v>
      </c>
      <c r="E20" s="13">
        <f>+[7]Pricing_BEL!$L$17</f>
        <v>-7306616.4948640792</v>
      </c>
      <c r="F20" s="13">
        <f>+[8]Pricing_BEL!$L$17</f>
        <v>-7306616.4948640792</v>
      </c>
      <c r="G20" s="32">
        <f>+[9]Pricing_BEL!$L$17</f>
        <v>-7294907.9311235389</v>
      </c>
      <c r="H20" s="13">
        <f>+[10]Pricing_BEL!$L$17</f>
        <v>-7294907.9311235389</v>
      </c>
      <c r="I20" s="13">
        <f>+[11]Pricing_BEL!$L$17</f>
        <v>-7294907.9311235389</v>
      </c>
      <c r="J20" s="32">
        <f>+[12]Pricing_BEL!$L$17</f>
        <v>-7335408.8146973746</v>
      </c>
      <c r="K20" s="13">
        <f>+[13]Pricing_BEL!$L$17</f>
        <v>-7335408.8146973746</v>
      </c>
      <c r="L20" s="13">
        <f>+[14]Pricing_BEL!$L$17</f>
        <v>-7335408.8146973746</v>
      </c>
      <c r="M20" s="13">
        <f>+[15]Pricing_BEL!$L$17</f>
        <v>-5570224.8212080402</v>
      </c>
      <c r="N20" s="32">
        <f>+[16]Pricing_BEL!$L$17</f>
        <v>-5570224.8212080402</v>
      </c>
      <c r="O20" s="13">
        <f>+[17]Pricing_BEL!$L$17</f>
        <v>-5570224.8212080402</v>
      </c>
      <c r="P20" s="13">
        <f>+[18]Pricing_BEL!$L$17</f>
        <v>-5825868.9430210013</v>
      </c>
      <c r="Q20" s="32">
        <f>+[19]Pricing_BEL!$L$17</f>
        <v>-5825868.9430210013</v>
      </c>
      <c r="R20" s="32">
        <f>+[20]Pricing_BEL!$L$17</f>
        <v>-5825868.9430210013</v>
      </c>
      <c r="S20" s="70">
        <f>+[22]Pricing_BEL!$L$17</f>
        <v>-5825868.9430210013</v>
      </c>
    </row>
    <row r="21" spans="1:37" hidden="1" outlineLevel="2" x14ac:dyDescent="0.25">
      <c r="A21" s="16" t="s">
        <v>18</v>
      </c>
      <c r="B21" s="13">
        <f>+[1]Pricing_BEL!$L$18</f>
        <v>-7081022.4628984118</v>
      </c>
      <c r="C21" s="13">
        <f>+[5]Pricing_BEL!$L$18</f>
        <v>-7081022.4628984118</v>
      </c>
      <c r="D21" s="32">
        <f>+[6]Pricing_BEL!$L$18</f>
        <v>-6468465.4787296858</v>
      </c>
      <c r="E21" s="13">
        <f>+[7]Pricing_BEL!$L$18</f>
        <v>-6468465.4787296858</v>
      </c>
      <c r="F21" s="13">
        <f>+[8]Pricing_BEL!$L$18</f>
        <v>-6468465.4787296858</v>
      </c>
      <c r="G21" s="32">
        <f>+[9]Pricing_BEL!$L$18</f>
        <v>-6493235.8802903844</v>
      </c>
      <c r="H21" s="13">
        <f>+[10]Pricing_BEL!$L$18</f>
        <v>-6493235.8802903844</v>
      </c>
      <c r="I21" s="13">
        <f>+[11]Pricing_BEL!$L$18</f>
        <v>-6493235.8802903844</v>
      </c>
      <c r="J21" s="32">
        <f>+[12]Pricing_BEL!$L$18</f>
        <v>-6538267.5444109468</v>
      </c>
      <c r="K21" s="13">
        <f>+[13]Pricing_BEL!$L$18</f>
        <v>-6538267.5444109468</v>
      </c>
      <c r="L21" s="13">
        <f>+[14]Pricing_BEL!$L$18</f>
        <v>-6538267.5444109468</v>
      </c>
      <c r="M21" s="13">
        <f>+[15]Pricing_BEL!$L$18</f>
        <v>-5125904.4719555797</v>
      </c>
      <c r="N21" s="32">
        <f>+[16]Pricing_BEL!$L$18</f>
        <v>-5125904.4719555797</v>
      </c>
      <c r="O21" s="13">
        <f>+[17]Pricing_BEL!$L$18</f>
        <v>-5125904.4719555797</v>
      </c>
      <c r="P21" s="13">
        <f>+[18]Pricing_BEL!$L$18</f>
        <v>-5364040.335493519</v>
      </c>
      <c r="Q21" s="32">
        <f>+[19]Pricing_BEL!$L$18</f>
        <v>-5364040.335493519</v>
      </c>
      <c r="R21" s="32">
        <f>+[20]Pricing_BEL!$L$18</f>
        <v>-5364040.335493519</v>
      </c>
      <c r="S21" s="70">
        <f>+[22]Pricing_BEL!$L$18</f>
        <v>-5364040.335493519</v>
      </c>
    </row>
    <row r="22" spans="1:37" hidden="1" outlineLevel="2" x14ac:dyDescent="0.25">
      <c r="A22" s="16" t="s">
        <v>19</v>
      </c>
      <c r="B22" s="13">
        <f>+[1]Pricing_BEL!$L$19</f>
        <v>-6421670.6972385729</v>
      </c>
      <c r="C22" s="13">
        <f>+[5]Pricing_BEL!$L$19</f>
        <v>-6421670.6972385729</v>
      </c>
      <c r="D22" s="32">
        <f>+[6]Pricing_BEL!$L$19</f>
        <v>-5905599.0002543479</v>
      </c>
      <c r="E22" s="13">
        <f>+[7]Pricing_BEL!$L$19</f>
        <v>-5905599.0002543479</v>
      </c>
      <c r="F22" s="13">
        <f>+[8]Pricing_BEL!$L$19</f>
        <v>-5905599.0002543479</v>
      </c>
      <c r="G22" s="32">
        <f>+[9]Pricing_BEL!$L$19</f>
        <v>-5883775.4488386372</v>
      </c>
      <c r="H22" s="13">
        <f>+[10]Pricing_BEL!$L$19</f>
        <v>-5883775.4488386372</v>
      </c>
      <c r="I22" s="13">
        <f>+[11]Pricing_BEL!$L$19</f>
        <v>-5883775.4488386372</v>
      </c>
      <c r="J22" s="32">
        <f>+[12]Pricing_BEL!$L$19</f>
        <v>-5879664.4315256486</v>
      </c>
      <c r="K22" s="13">
        <f>+[13]Pricing_BEL!$L$19</f>
        <v>-5879664.4315256486</v>
      </c>
      <c r="L22" s="13">
        <f>+[14]Pricing_BEL!$L$19</f>
        <v>-5879664.4315256486</v>
      </c>
      <c r="M22" s="13">
        <f>+[15]Pricing_BEL!$L$19</f>
        <v>-4704630.3920186702</v>
      </c>
      <c r="N22" s="32">
        <f>+[16]Pricing_BEL!$L$19</f>
        <v>-4704630.3920186702</v>
      </c>
      <c r="O22" s="13">
        <f>+[17]Pricing_BEL!$L$19</f>
        <v>-4704630.3920186702</v>
      </c>
      <c r="P22" s="13">
        <f>+[18]Pricing_BEL!$L$19</f>
        <v>-4874838.2778374683</v>
      </c>
      <c r="Q22" s="32">
        <f>+[19]Pricing_BEL!$L$19</f>
        <v>-4874838.2778374683</v>
      </c>
      <c r="R22" s="32">
        <f>+[20]Pricing_BEL!$L$19</f>
        <v>-4874838.2778374683</v>
      </c>
      <c r="S22" s="70">
        <f>+[22]Pricing_BEL!$L$19</f>
        <v>-4874838.2778374683</v>
      </c>
    </row>
    <row r="23" spans="1:37" hidden="1" outlineLevel="2" x14ac:dyDescent="0.25">
      <c r="A23" s="16" t="s">
        <v>20</v>
      </c>
      <c r="B23" s="13">
        <f>+[1]Pricing_BEL!$L$20</f>
        <v>-5495414.7957005659</v>
      </c>
      <c r="C23" s="13">
        <f>+[5]Pricing_BEL!$L$20</f>
        <v>-5495414.7957005659</v>
      </c>
      <c r="D23" s="32">
        <f>+[6]Pricing_BEL!$L$20</f>
        <v>-5065739.7587623931</v>
      </c>
      <c r="E23" s="13">
        <f>+[7]Pricing_BEL!$L$20</f>
        <v>-5065739.7587623931</v>
      </c>
      <c r="F23" s="13">
        <f>+[8]Pricing_BEL!$L$20</f>
        <v>-5065739.7587623931</v>
      </c>
      <c r="G23" s="32">
        <f>+[9]Pricing_BEL!$L$20</f>
        <v>-5017589.1464011502</v>
      </c>
      <c r="H23" s="13">
        <f>+[10]Pricing_BEL!$L$20</f>
        <v>-5017589.1464011502</v>
      </c>
      <c r="I23" s="13">
        <f>+[11]Pricing_BEL!$L$20</f>
        <v>-5017589.1464011502</v>
      </c>
      <c r="J23" s="32">
        <f>+[12]Pricing_BEL!$L$20</f>
        <v>-5037637.7687327955</v>
      </c>
      <c r="K23" s="13">
        <f>+[13]Pricing_BEL!$L$20</f>
        <v>-5037637.7687327955</v>
      </c>
      <c r="L23" s="13">
        <f>+[14]Pricing_BEL!$L$20</f>
        <v>-5037637.7687327955</v>
      </c>
      <c r="M23" s="13">
        <f>+[15]Pricing_BEL!$L$20</f>
        <v>-4084159.8286188501</v>
      </c>
      <c r="N23" s="32">
        <f>+[16]Pricing_BEL!$L$20</f>
        <v>-4084159.8286188501</v>
      </c>
      <c r="O23" s="13">
        <f>+[17]Pricing_BEL!$L$20</f>
        <v>-4084159.8286188501</v>
      </c>
      <c r="P23" s="13">
        <f>+[18]Pricing_BEL!$L$20</f>
        <v>-4227955.3340803543</v>
      </c>
      <c r="Q23" s="32">
        <f>+[19]Pricing_BEL!$L$20</f>
        <v>-4227955.3340803543</v>
      </c>
      <c r="R23" s="32">
        <f>+[20]Pricing_BEL!$L$20</f>
        <v>-4227955.3340803543</v>
      </c>
      <c r="S23" s="70">
        <f>+[22]Pricing_BEL!$L$20</f>
        <v>-4227955.3340803543</v>
      </c>
    </row>
    <row r="24" spans="1:37" hidden="1" outlineLevel="2" x14ac:dyDescent="0.25">
      <c r="A24" s="16" t="s">
        <v>21</v>
      </c>
      <c r="B24" s="13">
        <f>+[1]Pricing_BEL!$L$21</f>
        <v>-4694345.207257309</v>
      </c>
      <c r="C24" s="13">
        <f>+[5]Pricing_BEL!$L$21</f>
        <v>-4694345.207257309</v>
      </c>
      <c r="D24" s="32">
        <f>+[6]Pricing_BEL!$L$21</f>
        <v>-4343641.9536301</v>
      </c>
      <c r="E24" s="13">
        <f>+[7]Pricing_BEL!$L$21</f>
        <v>-4343641.9536301</v>
      </c>
      <c r="F24" s="13">
        <f>+[8]Pricing_BEL!$L$21</f>
        <v>-4343641.9536301</v>
      </c>
      <c r="G24" s="32">
        <f>+[9]Pricing_BEL!$L$21</f>
        <v>-4294854.050860527</v>
      </c>
      <c r="H24" s="13">
        <f>+[10]Pricing_BEL!$L$21</f>
        <v>-4294854.050860527</v>
      </c>
      <c r="I24" s="13">
        <f>+[11]Pricing_BEL!$L$21</f>
        <v>-4294854.050860527</v>
      </c>
      <c r="J24" s="32">
        <f>+[12]Pricing_BEL!$L$21</f>
        <v>-4332516.8542879503</v>
      </c>
      <c r="K24" s="13">
        <f>+[13]Pricing_BEL!$L$21</f>
        <v>-4332516.8542879503</v>
      </c>
      <c r="L24" s="13">
        <f>+[14]Pricing_BEL!$L$21</f>
        <v>-4332516.8542879503</v>
      </c>
      <c r="M24" s="13">
        <f>+[15]Pricing_BEL!$L$21</f>
        <v>-3542359.4276053002</v>
      </c>
      <c r="N24" s="32">
        <f>+[16]Pricing_BEL!$L$21</f>
        <v>-3542359.4276053002</v>
      </c>
      <c r="O24" s="13">
        <f>+[17]Pricing_BEL!$L$21</f>
        <v>-3542359.4276053002</v>
      </c>
      <c r="P24" s="13">
        <f>+[18]Pricing_BEL!$L$21</f>
        <v>-3670071.9562838329</v>
      </c>
      <c r="Q24" s="32">
        <f>+[19]Pricing_BEL!$L$21</f>
        <v>-3670071.9562838329</v>
      </c>
      <c r="R24" s="32">
        <f>+[20]Pricing_BEL!$L$21</f>
        <v>-3670071.9562838329</v>
      </c>
      <c r="S24" s="70">
        <f>+[22]Pricing_BEL!$L$21</f>
        <v>-3670071.9562838329</v>
      </c>
    </row>
    <row r="25" spans="1:37" hidden="1" outlineLevel="2" x14ac:dyDescent="0.25">
      <c r="A25" s="16" t="s">
        <v>22</v>
      </c>
      <c r="B25" s="13">
        <f>+[1]Pricing_BEL!$L$22</f>
        <v>-3957281.2232167013</v>
      </c>
      <c r="C25" s="13">
        <f>+[5]Pricing_BEL!$L$22</f>
        <v>-3957281.2232167013</v>
      </c>
      <c r="D25" s="32">
        <f>+[6]Pricing_BEL!$L$22</f>
        <v>-3696308.7812472349</v>
      </c>
      <c r="E25" s="13">
        <f>+[7]Pricing_BEL!$L$22</f>
        <v>-3696308.7812472349</v>
      </c>
      <c r="F25" s="13">
        <f>+[8]Pricing_BEL!$L$22</f>
        <v>-3696308.7812472349</v>
      </c>
      <c r="G25" s="32">
        <f>+[9]Pricing_BEL!$L$22</f>
        <v>-3649946.2591088656</v>
      </c>
      <c r="H25" s="13">
        <f>+[10]Pricing_BEL!$L$22</f>
        <v>-3649946.2591088656</v>
      </c>
      <c r="I25" s="13">
        <f>+[11]Pricing_BEL!$L$22</f>
        <v>-3649946.2591088656</v>
      </c>
      <c r="J25" s="32">
        <f>+[12]Pricing_BEL!$L$22</f>
        <v>-3725713.552094033</v>
      </c>
      <c r="K25" s="13">
        <f>+[13]Pricing_BEL!$L$22</f>
        <v>-3725713.552094033</v>
      </c>
      <c r="L25" s="13">
        <f>+[14]Pricing_BEL!$L$22</f>
        <v>-3725713.552094033</v>
      </c>
      <c r="M25" s="13">
        <f>+[15]Pricing_BEL!$L$22</f>
        <v>-3090042.0743299802</v>
      </c>
      <c r="N25" s="32">
        <f>+[16]Pricing_BEL!$L$22</f>
        <v>-3090042.0743299802</v>
      </c>
      <c r="O25" s="13">
        <f>+[17]Pricing_BEL!$L$22</f>
        <v>-3090042.0743299802</v>
      </c>
      <c r="P25" s="13">
        <f>+[18]Pricing_BEL!$L$22</f>
        <v>-3221336.9662346188</v>
      </c>
      <c r="Q25" s="32">
        <f>+[19]Pricing_BEL!$L$22</f>
        <v>-3221336.9662346188</v>
      </c>
      <c r="R25" s="32">
        <f>+[20]Pricing_BEL!$L$22</f>
        <v>-3221336.9662346188</v>
      </c>
      <c r="S25" s="70">
        <f>+[22]Pricing_BEL!$L$22</f>
        <v>-3221336.9662346188</v>
      </c>
    </row>
    <row r="26" spans="1:37" hidden="1" outlineLevel="2" x14ac:dyDescent="0.25">
      <c r="A26" s="16" t="s">
        <v>23</v>
      </c>
      <c r="B26" s="13">
        <f>+[1]Pricing_BEL!$L$23</f>
        <v>-3349298.4023447423</v>
      </c>
      <c r="C26" s="13">
        <f>+[5]Pricing_BEL!$L$23</f>
        <v>-3349298.4023447423</v>
      </c>
      <c r="D26" s="32">
        <f>+[6]Pricing_BEL!$L$23</f>
        <v>-3177604.6269785906</v>
      </c>
      <c r="E26" s="13">
        <f>+[7]Pricing_BEL!$L$23</f>
        <v>-3177604.6269785906</v>
      </c>
      <c r="F26" s="13">
        <f>+[8]Pricing_BEL!$L$23</f>
        <v>-3177604.6269785906</v>
      </c>
      <c r="G26" s="32">
        <f>+[9]Pricing_BEL!$L$23</f>
        <v>-3155524.2158895386</v>
      </c>
      <c r="H26" s="13">
        <f>+[10]Pricing_BEL!$L$23</f>
        <v>-3155524.2158895386</v>
      </c>
      <c r="I26" s="13">
        <f>+[11]Pricing_BEL!$L$23</f>
        <v>-3155524.2158895386</v>
      </c>
      <c r="J26" s="32">
        <f>+[12]Pricing_BEL!$L$23</f>
        <v>-3262975.1930473731</v>
      </c>
      <c r="K26" s="13">
        <f>+[13]Pricing_BEL!$L$23</f>
        <v>-3262975.1930473731</v>
      </c>
      <c r="L26" s="13">
        <f>+[14]Pricing_BEL!$L$23</f>
        <v>-3262975.1930473731</v>
      </c>
      <c r="M26" s="13">
        <f>+[15]Pricing_BEL!$L$23</f>
        <v>-2761813.1780957999</v>
      </c>
      <c r="N26" s="32">
        <f>+[16]Pricing_BEL!$L$23</f>
        <v>-2761813.1780957999</v>
      </c>
      <c r="O26" s="13">
        <f>+[17]Pricing_BEL!$L$23</f>
        <v>-2761813.1780957999</v>
      </c>
      <c r="P26" s="13">
        <f>+[18]Pricing_BEL!$L$23</f>
        <v>-2885934.7178470627</v>
      </c>
      <c r="Q26" s="32">
        <f>+[19]Pricing_BEL!$L$23</f>
        <v>-2885934.7178470627</v>
      </c>
      <c r="R26" s="32">
        <f>+[20]Pricing_BEL!$L$23</f>
        <v>-2885934.7178470627</v>
      </c>
      <c r="S26" s="70">
        <f>+[22]Pricing_BEL!$L$23</f>
        <v>-2885934.7178470627</v>
      </c>
    </row>
    <row r="27" spans="1:37" hidden="1" outlineLevel="2" x14ac:dyDescent="0.25">
      <c r="A27" s="16" t="s">
        <v>24</v>
      </c>
      <c r="B27" s="13">
        <f>+[1]Pricing_BEL!$L$24</f>
        <v>-3000174.4738639593</v>
      </c>
      <c r="C27" s="13">
        <f>+[5]Pricing_BEL!$L$24</f>
        <v>-3000174.4738639593</v>
      </c>
      <c r="D27" s="32">
        <f>+[6]Pricing_BEL!$L$24</f>
        <v>-2843559.703274474</v>
      </c>
      <c r="E27" s="13">
        <f>+[7]Pricing_BEL!$L$24</f>
        <v>-2843559.703274474</v>
      </c>
      <c r="F27" s="13">
        <f>+[8]Pricing_BEL!$L$24</f>
        <v>-2843559.703274474</v>
      </c>
      <c r="G27" s="32">
        <f>+[9]Pricing_BEL!$L$24</f>
        <v>-2808556.4364615818</v>
      </c>
      <c r="H27" s="13">
        <f>+[10]Pricing_BEL!$L$24</f>
        <v>-2808556.4364615818</v>
      </c>
      <c r="I27" s="13">
        <f>+[11]Pricing_BEL!$L$24</f>
        <v>-2808556.4364615818</v>
      </c>
      <c r="J27" s="32">
        <f>+[12]Pricing_BEL!$L$24</f>
        <v>-2887785.5147082973</v>
      </c>
      <c r="K27" s="13">
        <f>+[13]Pricing_BEL!$L$24</f>
        <v>-2887785.5147082973</v>
      </c>
      <c r="L27" s="13">
        <f>+[14]Pricing_BEL!$L$24</f>
        <v>-2887785.5147082973</v>
      </c>
      <c r="M27" s="13">
        <f>+[15]Pricing_BEL!$L$24</f>
        <v>-2459896.48455801</v>
      </c>
      <c r="N27" s="32">
        <f>+[16]Pricing_BEL!$L$24</f>
        <v>-2459896.48455801</v>
      </c>
      <c r="O27" s="13">
        <f>+[17]Pricing_BEL!$L$24</f>
        <v>-2459896.48455801</v>
      </c>
      <c r="P27" s="13">
        <f>+[18]Pricing_BEL!$L$24</f>
        <v>-2555942.8462349479</v>
      </c>
      <c r="Q27" s="32">
        <f>+[19]Pricing_BEL!$L$24</f>
        <v>-2555942.8462349479</v>
      </c>
      <c r="R27" s="32">
        <f>+[20]Pricing_BEL!$L$24</f>
        <v>-2555942.8462349479</v>
      </c>
      <c r="S27" s="70">
        <f>+[22]Pricing_BEL!$L$24</f>
        <v>-2555942.8462349479</v>
      </c>
    </row>
    <row r="28" spans="1:37" hidden="1" outlineLevel="1" x14ac:dyDescent="0.25">
      <c r="A28" s="15" t="s">
        <v>25</v>
      </c>
      <c r="B28" s="13" cm="1">
        <f t="array" ref="B28">+[1]!BEL_21_30</f>
        <v>-13338994.418287208</v>
      </c>
      <c r="C28" s="13" cm="1">
        <f t="array" ref="C28">+[5]!BEL_21_30</f>
        <v>-13338994.418287208</v>
      </c>
      <c r="D28" s="32" cm="1">
        <f t="array" ref="D28">+[6]!BEL_21_30</f>
        <v>-12808002.431921231</v>
      </c>
      <c r="E28" s="13" cm="1">
        <f t="array" ref="E28">+[7]!BEL_21_30</f>
        <v>-12808002.431921231</v>
      </c>
      <c r="F28" s="13" cm="1">
        <f t="array" ref="F28">+[8]!BEL_21_30</f>
        <v>-12808002.431921231</v>
      </c>
      <c r="G28" s="32" cm="1">
        <f t="array" ref="G28">+[9]!BEL_21_30</f>
        <v>-12800866.032435631</v>
      </c>
      <c r="H28" s="13" cm="1">
        <f t="array" ref="H28">+[10]!BEL_21_30</f>
        <v>-12800866.032435631</v>
      </c>
      <c r="I28" s="13" cm="1">
        <f t="array" ref="I28">+[11]!BEL_21_30</f>
        <v>-12800866.032435631</v>
      </c>
      <c r="J28" s="32" cm="1">
        <f t="array" ref="J28">+[12]!BEL_21_30</f>
        <v>-13570991.524027552</v>
      </c>
      <c r="K28" s="13" cm="1">
        <f t="array" ref="K28">+[13]!BEL_21_30</f>
        <v>-13570991.524027552</v>
      </c>
      <c r="L28" s="13" cm="1">
        <f t="array" ref="L28">+[14]!BEL_21_30</f>
        <v>-13570991.524027552</v>
      </c>
      <c r="M28" s="13" cm="1">
        <f t="array" ref="M28">+[15]!BEL_21_30</f>
        <v>-10161991.157087296</v>
      </c>
      <c r="N28" s="32" cm="1">
        <f t="array" ref="N28">+[16]!BEL_21_30</f>
        <v>-10161991.157087296</v>
      </c>
      <c r="O28" s="13" cm="1">
        <f t="array" ref="O28">+[17]!BEL_21_30</f>
        <v>-10161991.157087296</v>
      </c>
      <c r="P28" s="13" cm="1">
        <f t="array" ref="P28">+[18]!BEL_21_30</f>
        <v>-10673672.364642477</v>
      </c>
      <c r="Q28" s="32" cm="1">
        <f t="array" ref="Q28">+[19]!BEL_21_30</f>
        <v>-10673672.364642477</v>
      </c>
      <c r="R28" s="32" cm="1">
        <f t="array" ref="R28">+[20]!BEL_21_30</f>
        <v>-10673672.364642477</v>
      </c>
      <c r="S28" s="70" cm="1">
        <f t="array" ref="S28">+[22]!BEL_21_30</f>
        <v>-10673672.364642477</v>
      </c>
      <c r="T28" s="13">
        <f>+B28-SUM(B29:B38)</f>
        <v>0</v>
      </c>
      <c r="U28" s="13">
        <f t="shared" ref="U28:W28" si="28">+C28-SUM(C29:C38)</f>
        <v>0</v>
      </c>
      <c r="V28" s="13">
        <f t="shared" si="28"/>
        <v>0</v>
      </c>
      <c r="W28" s="13">
        <f t="shared" si="28"/>
        <v>0</v>
      </c>
      <c r="X28" s="13">
        <f t="shared" ref="X28" si="29">+F28-SUM(F29:F38)</f>
        <v>0</v>
      </c>
      <c r="Y28" s="13">
        <f t="shared" ref="Y28:AE28" si="30">+G28-SUM(G29:G38)</f>
        <v>0</v>
      </c>
      <c r="Z28" s="13">
        <f t="shared" si="30"/>
        <v>0</v>
      </c>
      <c r="AA28" s="13">
        <f t="shared" si="30"/>
        <v>0</v>
      </c>
      <c r="AB28" s="13">
        <f t="shared" si="30"/>
        <v>0</v>
      </c>
      <c r="AC28" s="13">
        <f t="shared" si="30"/>
        <v>0</v>
      </c>
      <c r="AD28" s="13">
        <f t="shared" si="30"/>
        <v>0</v>
      </c>
      <c r="AE28" s="13">
        <f t="shared" si="30"/>
        <v>0</v>
      </c>
      <c r="AF28" s="13">
        <f t="shared" ref="AF28" si="31">+N28-SUM(N29:N38)</f>
        <v>0</v>
      </c>
      <c r="AG28" s="13">
        <f t="shared" ref="AG28:AH28" si="32">+O28-SUM(O29:O38)</f>
        <v>0</v>
      </c>
      <c r="AH28" s="13">
        <f t="shared" si="32"/>
        <v>0</v>
      </c>
      <c r="AI28" s="13">
        <f t="shared" ref="AI28" si="33">+Q28-SUM(Q29:Q38)</f>
        <v>0</v>
      </c>
      <c r="AJ28" s="13">
        <f t="shared" ref="AJ28:AK28" si="34">+R28-SUM(R29:R38)</f>
        <v>0</v>
      </c>
      <c r="AK28" s="13">
        <f t="shared" si="34"/>
        <v>0</v>
      </c>
    </row>
    <row r="29" spans="1:37" hidden="1" outlineLevel="2" x14ac:dyDescent="0.25">
      <c r="A29" s="16" t="s">
        <v>26</v>
      </c>
      <c r="B29" s="13">
        <f>+[1]Pricing_BEL!$L$25</f>
        <v>-2592655.3461945285</v>
      </c>
      <c r="C29" s="13">
        <f>+[5]Pricing_BEL!$L$25</f>
        <v>-2592655.3461945285</v>
      </c>
      <c r="D29" s="32">
        <f>+[6]Pricing_BEL!$L$25</f>
        <v>-2452944.2473372761</v>
      </c>
      <c r="E29" s="13">
        <f>+[7]Pricing_BEL!$L$25</f>
        <v>-2452944.2473372761</v>
      </c>
      <c r="F29" s="13">
        <f>+[8]Pricing_BEL!$L$25</f>
        <v>-2452944.2473372761</v>
      </c>
      <c r="G29" s="32">
        <f>+[9]Pricing_BEL!$L$25</f>
        <v>-2417359.8332712562</v>
      </c>
      <c r="H29" s="13">
        <f>+[10]Pricing_BEL!$L$25</f>
        <v>-2417359.8332712562</v>
      </c>
      <c r="I29" s="13">
        <f>+[11]Pricing_BEL!$L$25</f>
        <v>-2417359.8332712562</v>
      </c>
      <c r="J29" s="32">
        <f>+[12]Pricing_BEL!$L$25</f>
        <v>-2499863.2318508066</v>
      </c>
      <c r="K29" s="13">
        <f>+[13]Pricing_BEL!$L$25</f>
        <v>-2499863.2318508066</v>
      </c>
      <c r="L29" s="13">
        <f>+[14]Pricing_BEL!$L$25</f>
        <v>-2499863.2318508066</v>
      </c>
      <c r="M29" s="13">
        <f>+[15]Pricing_BEL!$L$25</f>
        <v>-2088457.2148346601</v>
      </c>
      <c r="N29" s="32">
        <f>+[16]Pricing_BEL!$L$25</f>
        <v>-2088457.2148346601</v>
      </c>
      <c r="O29" s="13">
        <f>+[17]Pricing_BEL!$L$25</f>
        <v>-2088457.2148346601</v>
      </c>
      <c r="P29" s="13">
        <f>+[18]Pricing_BEL!$L$25</f>
        <v>-2167180.4482887955</v>
      </c>
      <c r="Q29" s="32">
        <f>+[19]Pricing_BEL!$L$25</f>
        <v>-2167180.4482887955</v>
      </c>
      <c r="R29" s="32">
        <f>+[20]Pricing_BEL!$L$25</f>
        <v>-2167180.4482887955</v>
      </c>
      <c r="S29" s="70">
        <f>+[22]Pricing_BEL!$L$25</f>
        <v>-2167180.4482887955</v>
      </c>
    </row>
    <row r="30" spans="1:37" hidden="1" outlineLevel="2" x14ac:dyDescent="0.25">
      <c r="A30" s="16" t="s">
        <v>27</v>
      </c>
      <c r="B30" s="13">
        <f>+[1]Pricing_BEL!$L$26</f>
        <v>-2225910.9597484022</v>
      </c>
      <c r="C30" s="13">
        <f>+[5]Pricing_BEL!$L$26</f>
        <v>-2225910.9597484022</v>
      </c>
      <c r="D30" s="32">
        <f>+[6]Pricing_BEL!$L$26</f>
        <v>-2102952.0926433806</v>
      </c>
      <c r="E30" s="13">
        <f>+[7]Pricing_BEL!$L$26</f>
        <v>-2102952.0926433806</v>
      </c>
      <c r="F30" s="13">
        <f>+[8]Pricing_BEL!$L$26</f>
        <v>-2102952.0926433806</v>
      </c>
      <c r="G30" s="32">
        <f>+[9]Pricing_BEL!$L$26</f>
        <v>-2069958.1247803648</v>
      </c>
      <c r="H30" s="13">
        <f>+[10]Pricing_BEL!$L$26</f>
        <v>-2069958.1247803648</v>
      </c>
      <c r="I30" s="13">
        <f>+[11]Pricing_BEL!$L$26</f>
        <v>-2069958.1247803648</v>
      </c>
      <c r="J30" s="32">
        <f>+[12]Pricing_BEL!$L$26</f>
        <v>-2156998.3099396545</v>
      </c>
      <c r="K30" s="13">
        <f>+[13]Pricing_BEL!$L$26</f>
        <v>-2156998.3099396545</v>
      </c>
      <c r="L30" s="13">
        <f>+[14]Pricing_BEL!$L$26</f>
        <v>-2156998.3099396545</v>
      </c>
      <c r="M30" s="13">
        <f>+[15]Pricing_BEL!$L$26</f>
        <v>-1755509.40696414</v>
      </c>
      <c r="N30" s="32">
        <f>+[16]Pricing_BEL!$L$26</f>
        <v>-1755509.40696414</v>
      </c>
      <c r="O30" s="13">
        <f>+[17]Pricing_BEL!$L$26</f>
        <v>-1755509.40696414</v>
      </c>
      <c r="P30" s="13">
        <f>+[18]Pricing_BEL!$L$26</f>
        <v>-1824713.8939708841</v>
      </c>
      <c r="Q30" s="32">
        <f>+[19]Pricing_BEL!$L$26</f>
        <v>-1824713.8939708841</v>
      </c>
      <c r="R30" s="32">
        <f>+[20]Pricing_BEL!$L$26</f>
        <v>-1824713.8939708841</v>
      </c>
      <c r="S30" s="70">
        <f>+[22]Pricing_BEL!$L$26</f>
        <v>-1824713.8939708841</v>
      </c>
    </row>
    <row r="31" spans="1:37" hidden="1" outlineLevel="2" x14ac:dyDescent="0.25">
      <c r="A31" s="16" t="s">
        <v>28</v>
      </c>
      <c r="B31" s="13">
        <f>+[1]Pricing_BEL!$L$27</f>
        <v>-1890458.9746624578</v>
      </c>
      <c r="C31" s="13">
        <f>+[5]Pricing_BEL!$L$27</f>
        <v>-1890458.9746624578</v>
      </c>
      <c r="D31" s="32">
        <f>+[6]Pricing_BEL!$L$27</f>
        <v>-1792049.0184774357</v>
      </c>
      <c r="E31" s="13">
        <f>+[7]Pricing_BEL!$L$27</f>
        <v>-1792049.0184774357</v>
      </c>
      <c r="F31" s="13">
        <f>+[8]Pricing_BEL!$L$27</f>
        <v>-1792049.0184774357</v>
      </c>
      <c r="G31" s="32">
        <f>+[9]Pricing_BEL!$L$27</f>
        <v>-1767520.9839817875</v>
      </c>
      <c r="H31" s="13">
        <f>+[10]Pricing_BEL!$L$27</f>
        <v>-1767520.9839817875</v>
      </c>
      <c r="I31" s="13">
        <f>+[11]Pricing_BEL!$L$27</f>
        <v>-1767520.9839817875</v>
      </c>
      <c r="J31" s="32">
        <f>+[12]Pricing_BEL!$L$27</f>
        <v>-1865853.2620846943</v>
      </c>
      <c r="K31" s="13">
        <f>+[13]Pricing_BEL!$L$27</f>
        <v>-1865853.2620846943</v>
      </c>
      <c r="L31" s="13">
        <f>+[14]Pricing_BEL!$L$27</f>
        <v>-1865853.2620846943</v>
      </c>
      <c r="M31" s="13">
        <f>+[15]Pricing_BEL!$L$27</f>
        <v>-1479317.4669733001</v>
      </c>
      <c r="N31" s="32">
        <f>+[16]Pricing_BEL!$L$27</f>
        <v>-1479317.4669733001</v>
      </c>
      <c r="O31" s="13">
        <f>+[17]Pricing_BEL!$L$27</f>
        <v>-1479317.4669733001</v>
      </c>
      <c r="P31" s="13">
        <f>+[18]Pricing_BEL!$L$27</f>
        <v>-1547819.9933533317</v>
      </c>
      <c r="Q31" s="32">
        <f>+[19]Pricing_BEL!$L$27</f>
        <v>-1547819.9933533317</v>
      </c>
      <c r="R31" s="32">
        <f>+[20]Pricing_BEL!$L$27</f>
        <v>-1547819.9933533317</v>
      </c>
      <c r="S31" s="70">
        <f>+[22]Pricing_BEL!$L$27</f>
        <v>-1547819.9933533317</v>
      </c>
    </row>
    <row r="32" spans="1:37" hidden="1" outlineLevel="2" x14ac:dyDescent="0.25">
      <c r="A32" s="16" t="s">
        <v>29</v>
      </c>
      <c r="B32" s="13">
        <f>+[1]Pricing_BEL!$L$28</f>
        <v>-1610602.1758844741</v>
      </c>
      <c r="C32" s="13">
        <f>+[5]Pricing_BEL!$L$28</f>
        <v>-1610602.1758844741</v>
      </c>
      <c r="D32" s="32">
        <f>+[6]Pricing_BEL!$L$28</f>
        <v>-1542449.8353099083</v>
      </c>
      <c r="E32" s="13">
        <f>+[7]Pricing_BEL!$L$28</f>
        <v>-1542449.8353099083</v>
      </c>
      <c r="F32" s="13">
        <f>+[8]Pricing_BEL!$L$28</f>
        <v>-1542449.8353099083</v>
      </c>
      <c r="G32" s="32">
        <f>+[9]Pricing_BEL!$L$28</f>
        <v>-1547665.1258954904</v>
      </c>
      <c r="H32" s="13">
        <f>+[10]Pricing_BEL!$L$28</f>
        <v>-1547665.1258954904</v>
      </c>
      <c r="I32" s="13">
        <f>+[11]Pricing_BEL!$L$28</f>
        <v>-1547665.1258954904</v>
      </c>
      <c r="J32" s="32">
        <f>+[12]Pricing_BEL!$L$28</f>
        <v>-1651145.1038223277</v>
      </c>
      <c r="K32" s="13">
        <f>+[13]Pricing_BEL!$L$28</f>
        <v>-1651145.1038223277</v>
      </c>
      <c r="L32" s="13">
        <f>+[14]Pricing_BEL!$L$28</f>
        <v>-1651145.1038223277</v>
      </c>
      <c r="M32" s="13">
        <f>+[15]Pricing_BEL!$L$28</f>
        <v>-1281215.08512918</v>
      </c>
      <c r="N32" s="32">
        <f>+[16]Pricing_BEL!$L$28</f>
        <v>-1281215.08512918</v>
      </c>
      <c r="O32" s="13">
        <f>+[17]Pricing_BEL!$L$28</f>
        <v>-1281215.08512918</v>
      </c>
      <c r="P32" s="13">
        <f>+[18]Pricing_BEL!$L$28</f>
        <v>-1343074.0699189412</v>
      </c>
      <c r="Q32" s="32">
        <f>+[19]Pricing_BEL!$L$28</f>
        <v>-1343074.0699189412</v>
      </c>
      <c r="R32" s="32">
        <f>+[20]Pricing_BEL!$L$28</f>
        <v>-1343074.0699189412</v>
      </c>
      <c r="S32" s="70">
        <f>+[22]Pricing_BEL!$L$28</f>
        <v>-1343074.0699189412</v>
      </c>
    </row>
    <row r="33" spans="1:37" hidden="1" outlineLevel="2" x14ac:dyDescent="0.25">
      <c r="A33" s="16" t="s">
        <v>30</v>
      </c>
      <c r="B33" s="13">
        <f>+[1]Pricing_BEL!$L$29</f>
        <v>-1416250.05750589</v>
      </c>
      <c r="C33" s="13">
        <f>+[5]Pricing_BEL!$L$29</f>
        <v>-1416250.05750589</v>
      </c>
      <c r="D33" s="32">
        <f>+[6]Pricing_BEL!$L$29</f>
        <v>-1360090.4747221987</v>
      </c>
      <c r="E33" s="13">
        <f>+[7]Pricing_BEL!$L$29</f>
        <v>-1360090.4747221987</v>
      </c>
      <c r="F33" s="13">
        <f>+[8]Pricing_BEL!$L$29</f>
        <v>-1360090.4747221987</v>
      </c>
      <c r="G33" s="32">
        <f>+[9]Pricing_BEL!$L$29</f>
        <v>-1360185.4295902159</v>
      </c>
      <c r="H33" s="13">
        <f>+[10]Pricing_BEL!$L$29</f>
        <v>-1360185.4295902159</v>
      </c>
      <c r="I33" s="13">
        <f>+[11]Pricing_BEL!$L$29</f>
        <v>-1360185.4295902159</v>
      </c>
      <c r="J33" s="32">
        <f>+[12]Pricing_BEL!$L$29</f>
        <v>-1434189.6280360776</v>
      </c>
      <c r="K33" s="13">
        <f>+[13]Pricing_BEL!$L$29</f>
        <v>-1434189.6280360776</v>
      </c>
      <c r="L33" s="13">
        <f>+[14]Pricing_BEL!$L$29</f>
        <v>-1434189.6280360776</v>
      </c>
      <c r="M33" s="13">
        <f>+[15]Pricing_BEL!$L$29</f>
        <v>-1075187.75728278</v>
      </c>
      <c r="N33" s="32">
        <f>+[16]Pricing_BEL!$L$29</f>
        <v>-1075187.75728278</v>
      </c>
      <c r="O33" s="13">
        <f>+[17]Pricing_BEL!$L$29</f>
        <v>-1075187.75728278</v>
      </c>
      <c r="P33" s="13">
        <f>+[18]Pricing_BEL!$L$29</f>
        <v>-1113912.745580011</v>
      </c>
      <c r="Q33" s="32">
        <f>+[19]Pricing_BEL!$L$29</f>
        <v>-1113912.745580011</v>
      </c>
      <c r="R33" s="32">
        <f>+[20]Pricing_BEL!$L$29</f>
        <v>-1113912.745580011</v>
      </c>
      <c r="S33" s="70">
        <f>+[22]Pricing_BEL!$L$29</f>
        <v>-1113912.745580011</v>
      </c>
    </row>
    <row r="34" spans="1:37" hidden="1" outlineLevel="2" x14ac:dyDescent="0.25">
      <c r="A34" s="16" t="s">
        <v>31</v>
      </c>
      <c r="B34" s="13">
        <f>+[1]Pricing_BEL!$L$30</f>
        <v>-1128927.2459539161</v>
      </c>
      <c r="C34" s="13">
        <f>+[5]Pricing_BEL!$L$30</f>
        <v>-1128927.2459539161</v>
      </c>
      <c r="D34" s="32">
        <f>+[6]Pricing_BEL!$L$30</f>
        <v>-1081722.0163567548</v>
      </c>
      <c r="E34" s="13">
        <f>+[7]Pricing_BEL!$L$30</f>
        <v>-1081722.0163567548</v>
      </c>
      <c r="F34" s="13">
        <f>+[8]Pricing_BEL!$L$30</f>
        <v>-1081722.0163567548</v>
      </c>
      <c r="G34" s="32">
        <f>+[9]Pricing_BEL!$L$30</f>
        <v>-1074485.7427859332</v>
      </c>
      <c r="H34" s="13">
        <f>+[10]Pricing_BEL!$L$30</f>
        <v>-1074485.7427859332</v>
      </c>
      <c r="I34" s="13">
        <f>+[11]Pricing_BEL!$L$30</f>
        <v>-1074485.7427859332</v>
      </c>
      <c r="J34" s="32">
        <f>+[12]Pricing_BEL!$L$30</f>
        <v>-1148269.9242888123</v>
      </c>
      <c r="K34" s="13">
        <f>+[13]Pricing_BEL!$L$30</f>
        <v>-1148269.9242888123</v>
      </c>
      <c r="L34" s="13">
        <f>+[14]Pricing_BEL!$L$30</f>
        <v>-1148269.9242888123</v>
      </c>
      <c r="M34" s="13">
        <f>+[15]Pricing_BEL!$L$30</f>
        <v>-800461.74630233599</v>
      </c>
      <c r="N34" s="32">
        <f>+[16]Pricing_BEL!$L$30</f>
        <v>-800461.74630233599</v>
      </c>
      <c r="O34" s="13">
        <f>+[17]Pricing_BEL!$L$30</f>
        <v>-800461.74630233599</v>
      </c>
      <c r="P34" s="13">
        <f>+[18]Pricing_BEL!$L$30</f>
        <v>-829749.07087330893</v>
      </c>
      <c r="Q34" s="32">
        <f>+[19]Pricing_BEL!$L$30</f>
        <v>-829749.07087330893</v>
      </c>
      <c r="R34" s="32">
        <f>+[20]Pricing_BEL!$L$30</f>
        <v>-829749.07087330893</v>
      </c>
      <c r="S34" s="70">
        <f>+[22]Pricing_BEL!$L$30</f>
        <v>-829749.07087330893</v>
      </c>
    </row>
    <row r="35" spans="1:37" hidden="1" outlineLevel="2" x14ac:dyDescent="0.25">
      <c r="A35" s="16" t="s">
        <v>32</v>
      </c>
      <c r="B35" s="13">
        <f>+[1]Pricing_BEL!$L$31</f>
        <v>-870297.4756838769</v>
      </c>
      <c r="C35" s="13">
        <f>+[5]Pricing_BEL!$L$31</f>
        <v>-870297.4756838769</v>
      </c>
      <c r="D35" s="32">
        <f>+[6]Pricing_BEL!$L$31</f>
        <v>-839087.83657669497</v>
      </c>
      <c r="E35" s="13">
        <f>+[7]Pricing_BEL!$L$31</f>
        <v>-839087.83657669497</v>
      </c>
      <c r="F35" s="13">
        <f>+[8]Pricing_BEL!$L$31</f>
        <v>-839087.83657669497</v>
      </c>
      <c r="G35" s="32">
        <f>+[9]Pricing_BEL!$L$31</f>
        <v>-833852.86955576087</v>
      </c>
      <c r="H35" s="13">
        <f>+[10]Pricing_BEL!$L$31</f>
        <v>-833852.86955576087</v>
      </c>
      <c r="I35" s="13">
        <f>+[11]Pricing_BEL!$L$31</f>
        <v>-833852.86955576087</v>
      </c>
      <c r="J35" s="32">
        <f>+[12]Pricing_BEL!$L$31</f>
        <v>-908028.03196876298</v>
      </c>
      <c r="K35" s="13">
        <f>+[13]Pricing_BEL!$L$31</f>
        <v>-908028.03196876298</v>
      </c>
      <c r="L35" s="13">
        <f>+[14]Pricing_BEL!$L$31</f>
        <v>-908028.03196876298</v>
      </c>
      <c r="M35" s="13">
        <f>+[15]Pricing_BEL!$L$31</f>
        <v>-562015.95631909405</v>
      </c>
      <c r="N35" s="32">
        <f>+[16]Pricing_BEL!$L$31</f>
        <v>-562015.95631909405</v>
      </c>
      <c r="O35" s="13">
        <f>+[17]Pricing_BEL!$L$31</f>
        <v>-562015.95631909405</v>
      </c>
      <c r="P35" s="13">
        <f>+[18]Pricing_BEL!$L$31</f>
        <v>-581114.77473264316</v>
      </c>
      <c r="Q35" s="32">
        <f>+[19]Pricing_BEL!$L$31</f>
        <v>-581114.77473264316</v>
      </c>
      <c r="R35" s="32">
        <f>+[20]Pricing_BEL!$L$31</f>
        <v>-581114.77473264316</v>
      </c>
      <c r="S35" s="70">
        <f>+[22]Pricing_BEL!$L$31</f>
        <v>-581114.77473264316</v>
      </c>
    </row>
    <row r="36" spans="1:37" hidden="1" outlineLevel="2" x14ac:dyDescent="0.25">
      <c r="A36" s="16" t="s">
        <v>33</v>
      </c>
      <c r="B36" s="13">
        <f>+[1]Pricing_BEL!$L$32</f>
        <v>-638297.0482077268</v>
      </c>
      <c r="C36" s="13">
        <f>+[5]Pricing_BEL!$L$32</f>
        <v>-638297.0482077268</v>
      </c>
      <c r="D36" s="32">
        <f>+[6]Pricing_BEL!$L$32</f>
        <v>-619766.60830088321</v>
      </c>
      <c r="E36" s="13">
        <f>+[7]Pricing_BEL!$L$32</f>
        <v>-619766.60830088321</v>
      </c>
      <c r="F36" s="13">
        <f>+[8]Pricing_BEL!$L$32</f>
        <v>-619766.60830088321</v>
      </c>
      <c r="G36" s="32">
        <f>+[9]Pricing_BEL!$L$32</f>
        <v>-617917.04019556718</v>
      </c>
      <c r="H36" s="13">
        <f>+[10]Pricing_BEL!$L$32</f>
        <v>-617917.04019556718</v>
      </c>
      <c r="I36" s="13">
        <f>+[11]Pricing_BEL!$L$32</f>
        <v>-617917.04019556718</v>
      </c>
      <c r="J36" s="32">
        <f>+[12]Pricing_BEL!$L$32</f>
        <v>-703853.51892489614</v>
      </c>
      <c r="K36" s="13">
        <f>+[13]Pricing_BEL!$L$32</f>
        <v>-703853.51892489614</v>
      </c>
      <c r="L36" s="13">
        <f>+[14]Pricing_BEL!$L$32</f>
        <v>-703853.51892489614</v>
      </c>
      <c r="M36" s="13">
        <f>+[15]Pricing_BEL!$L$32</f>
        <v>-383041.49649280601</v>
      </c>
      <c r="N36" s="32">
        <f>+[16]Pricing_BEL!$L$32</f>
        <v>-383041.49649280601</v>
      </c>
      <c r="O36" s="13">
        <f>+[17]Pricing_BEL!$L$32</f>
        <v>-383041.49649280601</v>
      </c>
      <c r="P36" s="13">
        <f>+[18]Pricing_BEL!$L$32</f>
        <v>-424529.50696712959</v>
      </c>
      <c r="Q36" s="32">
        <f>+[19]Pricing_BEL!$L$32</f>
        <v>-424529.50696712959</v>
      </c>
      <c r="R36" s="32">
        <f>+[20]Pricing_BEL!$L$32</f>
        <v>-424529.50696712959</v>
      </c>
      <c r="S36" s="70">
        <f>+[22]Pricing_BEL!$L$32</f>
        <v>-424529.50696712959</v>
      </c>
    </row>
    <row r="37" spans="1:37" hidden="1" outlineLevel="2" x14ac:dyDescent="0.25">
      <c r="A37" s="16" t="s">
        <v>34</v>
      </c>
      <c r="B37" s="13">
        <f>+[1]Pricing_BEL!$L$33</f>
        <v>-471378.34718957852</v>
      </c>
      <c r="C37" s="13">
        <f>+[5]Pricing_BEL!$L$33</f>
        <v>-471378.34718957852</v>
      </c>
      <c r="D37" s="32">
        <f>+[6]Pricing_BEL!$L$33</f>
        <v>-497604.47380028397</v>
      </c>
      <c r="E37" s="13">
        <f>+[7]Pricing_BEL!$L$33</f>
        <v>-497604.47380028397</v>
      </c>
      <c r="F37" s="13">
        <f>+[8]Pricing_BEL!$L$33</f>
        <v>-497604.47380028397</v>
      </c>
      <c r="G37" s="32">
        <f>+[9]Pricing_BEL!$L$33</f>
        <v>-545785.54369810212</v>
      </c>
      <c r="H37" s="13">
        <f>+[10]Pricing_BEL!$L$33</f>
        <v>-545785.54369810212</v>
      </c>
      <c r="I37" s="13">
        <f>+[11]Pricing_BEL!$L$33</f>
        <v>-545785.54369810212</v>
      </c>
      <c r="J37" s="32">
        <f>+[12]Pricing_BEL!$L$33</f>
        <v>-633081.08501548215</v>
      </c>
      <c r="K37" s="13">
        <f>+[13]Pricing_BEL!$L$33</f>
        <v>-633081.08501548215</v>
      </c>
      <c r="L37" s="13">
        <f>+[14]Pricing_BEL!$L$33</f>
        <v>-633081.08501548215</v>
      </c>
      <c r="M37" s="13">
        <f>+[15]Pricing_BEL!$L$33</f>
        <v>-362069.20410660299</v>
      </c>
      <c r="N37" s="32">
        <f>+[16]Pricing_BEL!$L$33</f>
        <v>-362069.20410660299</v>
      </c>
      <c r="O37" s="13">
        <f>+[17]Pricing_BEL!$L$33</f>
        <v>-362069.20410660299</v>
      </c>
      <c r="P37" s="13">
        <f>+[18]Pricing_BEL!$L$33</f>
        <v>-424862.6886849294</v>
      </c>
      <c r="Q37" s="32">
        <f>+[19]Pricing_BEL!$L$33</f>
        <v>-424862.6886849294</v>
      </c>
      <c r="R37" s="32">
        <f>+[20]Pricing_BEL!$L$33</f>
        <v>-424862.6886849294</v>
      </c>
      <c r="S37" s="70">
        <f>+[22]Pricing_BEL!$L$33</f>
        <v>-424862.6886849294</v>
      </c>
    </row>
    <row r="38" spans="1:37" hidden="1" outlineLevel="2" x14ac:dyDescent="0.25">
      <c r="A38" s="16" t="s">
        <v>35</v>
      </c>
      <c r="B38" s="13">
        <f>+[1]Pricing_BEL!$L$34</f>
        <v>-494216.78725635784</v>
      </c>
      <c r="C38" s="13">
        <f>+[5]Pricing_BEL!$L$34</f>
        <v>-494216.78725635784</v>
      </c>
      <c r="D38" s="32">
        <f>+[6]Pricing_BEL!$L$34</f>
        <v>-519335.82839641394</v>
      </c>
      <c r="E38" s="13">
        <f>+[7]Pricing_BEL!$L$34</f>
        <v>-519335.82839641394</v>
      </c>
      <c r="F38" s="13">
        <f>+[8]Pricing_BEL!$L$34</f>
        <v>-519335.82839641394</v>
      </c>
      <c r="G38" s="32">
        <f>+[9]Pricing_BEL!$L$34</f>
        <v>-566135.33868115465</v>
      </c>
      <c r="H38" s="13">
        <f>+[10]Pricing_BEL!$L$34</f>
        <v>-566135.33868115465</v>
      </c>
      <c r="I38" s="13">
        <f>+[11]Pricing_BEL!$L$34</f>
        <v>-566135.33868115465</v>
      </c>
      <c r="J38" s="32">
        <f>+[12]Pricing_BEL!$L$34</f>
        <v>-569709.42809603829</v>
      </c>
      <c r="K38" s="13">
        <f>+[13]Pricing_BEL!$L$34</f>
        <v>-569709.42809603829</v>
      </c>
      <c r="L38" s="13">
        <f>+[14]Pricing_BEL!$L$34</f>
        <v>-569709.42809603829</v>
      </c>
      <c r="M38" s="13">
        <f>+[15]Pricing_BEL!$L$34</f>
        <v>-374715.82268239598</v>
      </c>
      <c r="N38" s="32">
        <f>+[16]Pricing_BEL!$L$34</f>
        <v>-374715.82268239598</v>
      </c>
      <c r="O38" s="13">
        <f>+[17]Pricing_BEL!$L$34</f>
        <v>-374715.82268239598</v>
      </c>
      <c r="P38" s="13">
        <f>+[18]Pricing_BEL!$L$34</f>
        <v>-416715.17227250198</v>
      </c>
      <c r="Q38" s="32">
        <f>+[19]Pricing_BEL!$L$34</f>
        <v>-416715.17227250198</v>
      </c>
      <c r="R38" s="32">
        <f>+[20]Pricing_BEL!$L$34</f>
        <v>-416715.17227250198</v>
      </c>
      <c r="S38" s="70">
        <f>+[22]Pricing_BEL!$L$34</f>
        <v>-416715.17227250198</v>
      </c>
    </row>
    <row r="39" spans="1:37" hidden="1" outlineLevel="1" x14ac:dyDescent="0.25">
      <c r="A39" s="15" t="s">
        <v>36</v>
      </c>
      <c r="B39" s="13" cm="1">
        <f t="array" ref="B39">+[1]!BEL_31_50</f>
        <v>-970843.48123296374</v>
      </c>
      <c r="C39" s="13" cm="1">
        <f t="array" ref="C39">+[5]!BEL_31_50</f>
        <v>-970843.48123296374</v>
      </c>
      <c r="D39" s="32" cm="1">
        <f t="array" ref="D39">+[6]!BEL_31_50</f>
        <v>-1003173.9594634318</v>
      </c>
      <c r="E39" s="13" cm="1">
        <f t="array" ref="E39">+[7]!BEL_31_50</f>
        <v>-1003173.9594634318</v>
      </c>
      <c r="F39" s="13" cm="1">
        <f t="array" ref="F39">+[8]!BEL_31_50</f>
        <v>-1003173.9594634318</v>
      </c>
      <c r="G39" s="32" cm="1">
        <f t="array" ref="G39">+[9]!BEL_31_50</f>
        <v>-1064764.4852064135</v>
      </c>
      <c r="H39" s="13" cm="1">
        <f t="array" ref="H39">+[10]!BEL_31_50</f>
        <v>-1064764.4852064135</v>
      </c>
      <c r="I39" s="13" cm="1">
        <f t="array" ref="I39">+[11]!BEL_31_50</f>
        <v>-1064764.4852064135</v>
      </c>
      <c r="J39" s="32" cm="1">
        <f t="array" ref="J39">+[12]!BEL_31_50</f>
        <v>-1103319.724361737</v>
      </c>
      <c r="K39" s="13" cm="1">
        <f t="array" ref="K39">+[13]!BEL_31_50</f>
        <v>-1103319.724361737</v>
      </c>
      <c r="L39" s="13" cm="1">
        <f t="array" ref="L39">+[14]!BEL_31_50</f>
        <v>-1103319.724361737</v>
      </c>
      <c r="M39" s="13" cm="1">
        <f t="array" ref="M39">+[15]!BEL_31_50</f>
        <v>-532324.03886970493</v>
      </c>
      <c r="N39" s="32" cm="1">
        <f t="array" ref="N39">+[16]!BEL_31_50</f>
        <v>-532324.03886970493</v>
      </c>
      <c r="O39" s="13" cm="1">
        <f t="array" ref="O39">+[17]!BEL_31_50</f>
        <v>-532324.03886970493</v>
      </c>
      <c r="P39" s="13" cm="1">
        <f t="array" ref="P39">+[18]!BEL_31_50</f>
        <v>-748068.15941765439</v>
      </c>
      <c r="Q39" s="32" cm="1">
        <f t="array" ref="Q39">+[19]!BEL_31_50</f>
        <v>-748068.15941765439</v>
      </c>
      <c r="R39" s="32" cm="1">
        <f t="array" ref="R39">+[20]!BEL_31_50</f>
        <v>-748068.15941765439</v>
      </c>
      <c r="S39" s="70" cm="1">
        <f t="array" ref="S39">+[22]!BEL_31_50</f>
        <v>-748068.15941765439</v>
      </c>
      <c r="T39" s="13">
        <f>+B39-SUM(B40:B59)</f>
        <v>0</v>
      </c>
      <c r="U39" s="13">
        <f t="shared" ref="U39:W39" si="35">+C39-SUM(C40:C59)</f>
        <v>0</v>
      </c>
      <c r="V39" s="13">
        <f t="shared" si="35"/>
        <v>0</v>
      </c>
      <c r="W39" s="13">
        <f t="shared" si="35"/>
        <v>0</v>
      </c>
      <c r="X39" s="13">
        <f t="shared" ref="X39" si="36">+F39-SUM(F40:F59)</f>
        <v>0</v>
      </c>
      <c r="Y39" s="13">
        <f t="shared" ref="Y39:AE39" si="37">+G39-SUM(G40:G59)</f>
        <v>0</v>
      </c>
      <c r="Z39" s="13">
        <f t="shared" si="37"/>
        <v>0</v>
      </c>
      <c r="AA39" s="13">
        <f t="shared" si="37"/>
        <v>0</v>
      </c>
      <c r="AB39" s="13">
        <f t="shared" si="37"/>
        <v>0</v>
      </c>
      <c r="AC39" s="13">
        <f t="shared" si="37"/>
        <v>0</v>
      </c>
      <c r="AD39" s="13">
        <f t="shared" si="37"/>
        <v>0</v>
      </c>
      <c r="AE39" s="13">
        <f t="shared" si="37"/>
        <v>0</v>
      </c>
      <c r="AF39" s="13">
        <f t="shared" ref="AF39" si="38">+N39-SUM(N40:N59)</f>
        <v>0</v>
      </c>
      <c r="AG39" s="13">
        <f t="shared" ref="AG39:AH39" si="39">+O39-SUM(O40:O59)</f>
        <v>0</v>
      </c>
      <c r="AH39" s="13">
        <f t="shared" si="39"/>
        <v>0</v>
      </c>
      <c r="AI39" s="13">
        <f t="shared" ref="AI39" si="40">+Q39-SUM(Q40:Q59)</f>
        <v>0</v>
      </c>
      <c r="AJ39" s="13">
        <f t="shared" ref="AJ39:AK39" si="41">+R39-SUM(R40:R59)</f>
        <v>0</v>
      </c>
      <c r="AK39" s="13">
        <f t="shared" si="41"/>
        <v>0</v>
      </c>
    </row>
    <row r="40" spans="1:37" hidden="1" outlineLevel="2" x14ac:dyDescent="0.25">
      <c r="A40" s="16" t="s">
        <v>37</v>
      </c>
      <c r="B40" s="13">
        <f>+[1]Pricing_BEL!$L$35</f>
        <v>-281307.04179014836</v>
      </c>
      <c r="C40" s="13">
        <f>+[5]Pricing_BEL!$L$35</f>
        <v>-281307.04179014836</v>
      </c>
      <c r="D40" s="32">
        <f>+[6]Pricing_BEL!$L$35</f>
        <v>-293092.47706498561</v>
      </c>
      <c r="E40" s="13">
        <f>+[7]Pricing_BEL!$L$35</f>
        <v>-293092.47706498561</v>
      </c>
      <c r="F40" s="13">
        <f>+[8]Pricing_BEL!$L$35</f>
        <v>-293092.47706498561</v>
      </c>
      <c r="G40" s="32">
        <f>+[9]Pricing_BEL!$L$35</f>
        <v>-313199.16393291316</v>
      </c>
      <c r="H40" s="13">
        <f>+[10]Pricing_BEL!$L$35</f>
        <v>-313199.16393291316</v>
      </c>
      <c r="I40" s="13">
        <f>+[11]Pricing_BEL!$L$35</f>
        <v>-313199.16393291316</v>
      </c>
      <c r="J40" s="32">
        <f>+[12]Pricing_BEL!$L$35</f>
        <v>-317539.64239183976</v>
      </c>
      <c r="K40" s="13">
        <f>+[13]Pricing_BEL!$L$35</f>
        <v>-317539.64239183976</v>
      </c>
      <c r="L40" s="13">
        <f>+[14]Pricing_BEL!$L$35</f>
        <v>-317539.64239183976</v>
      </c>
      <c r="M40" s="13">
        <f>+[15]Pricing_BEL!$L$35</f>
        <v>-194763.278414653</v>
      </c>
      <c r="N40" s="32">
        <f>+[16]Pricing_BEL!$L$35</f>
        <v>-194763.278414653</v>
      </c>
      <c r="O40" s="13">
        <f>+[17]Pricing_BEL!$L$35</f>
        <v>-194763.278414653</v>
      </c>
      <c r="P40" s="13">
        <f>+[18]Pricing_BEL!$L$35</f>
        <v>-224376.5980518554</v>
      </c>
      <c r="Q40" s="32">
        <f>+[19]Pricing_BEL!$L$35</f>
        <v>-224376.5980518554</v>
      </c>
      <c r="R40" s="32">
        <f>+[20]Pricing_BEL!$L$35</f>
        <v>-224376.5980518554</v>
      </c>
      <c r="S40" s="70">
        <f>+[22]Pricing_BEL!$L$35</f>
        <v>-224376.5980518554</v>
      </c>
    </row>
    <row r="41" spans="1:37" hidden="1" outlineLevel="2" x14ac:dyDescent="0.25">
      <c r="A41" s="16" t="s">
        <v>38</v>
      </c>
      <c r="B41" s="13">
        <f>+[1]Pricing_BEL!$L$36</f>
        <v>-171416.89690077261</v>
      </c>
      <c r="C41" s="13">
        <f>+[5]Pricing_BEL!$L$36</f>
        <v>-171416.89690077261</v>
      </c>
      <c r="D41" s="32">
        <f>+[6]Pricing_BEL!$L$36</f>
        <v>-176065.85845723216</v>
      </c>
      <c r="E41" s="13">
        <f>+[7]Pricing_BEL!$L$36</f>
        <v>-176065.85845723216</v>
      </c>
      <c r="F41" s="13">
        <f>+[8]Pricing_BEL!$L$36</f>
        <v>-176065.85845723216</v>
      </c>
      <c r="G41" s="32">
        <f>+[9]Pricing_BEL!$L$36</f>
        <v>-185208.0783838057</v>
      </c>
      <c r="H41" s="13">
        <f>+[10]Pricing_BEL!$L$36</f>
        <v>-185208.0783838057</v>
      </c>
      <c r="I41" s="13">
        <f>+[11]Pricing_BEL!$L$36</f>
        <v>-185208.0783838057</v>
      </c>
      <c r="J41" s="32">
        <f>+[12]Pricing_BEL!$L$36</f>
        <v>-192894.98187909173</v>
      </c>
      <c r="K41" s="13">
        <f>+[13]Pricing_BEL!$L$36</f>
        <v>-192894.98187909173</v>
      </c>
      <c r="L41" s="13">
        <f>+[14]Pricing_BEL!$L$36</f>
        <v>-192894.98187909173</v>
      </c>
      <c r="M41" s="13">
        <f>+[15]Pricing_BEL!$L$36</f>
        <v>-97506.573447479503</v>
      </c>
      <c r="N41" s="32">
        <f>+[16]Pricing_BEL!$L$36</f>
        <v>-97506.573447479503</v>
      </c>
      <c r="O41" s="13">
        <f>+[17]Pricing_BEL!$L$36</f>
        <v>-97506.573447479503</v>
      </c>
      <c r="P41" s="13">
        <f>+[18]Pricing_BEL!$L$36</f>
        <v>-122417.63956019568</v>
      </c>
      <c r="Q41" s="32">
        <f>+[19]Pricing_BEL!$L$36</f>
        <v>-122417.63956019568</v>
      </c>
      <c r="R41" s="32">
        <f>+[20]Pricing_BEL!$L$36</f>
        <v>-122417.63956019568</v>
      </c>
      <c r="S41" s="70">
        <f>+[22]Pricing_BEL!$L$36</f>
        <v>-122417.63956019568</v>
      </c>
    </row>
    <row r="42" spans="1:37" hidden="1" outlineLevel="2" x14ac:dyDescent="0.25">
      <c r="A42" s="16" t="s">
        <v>39</v>
      </c>
      <c r="B42" s="13">
        <f>+[1]Pricing_BEL!$L$37</f>
        <v>-122010.59837319028</v>
      </c>
      <c r="C42" s="13">
        <f>+[5]Pricing_BEL!$L$37</f>
        <v>-122010.59837319028</v>
      </c>
      <c r="D42" s="32">
        <f>+[6]Pricing_BEL!$L$37</f>
        <v>-125918.26249155083</v>
      </c>
      <c r="E42" s="13">
        <f>+[7]Pricing_BEL!$L$37</f>
        <v>-125918.26249155083</v>
      </c>
      <c r="F42" s="13">
        <f>+[8]Pricing_BEL!$L$37</f>
        <v>-125918.26249155083</v>
      </c>
      <c r="G42" s="32">
        <f>+[9]Pricing_BEL!$L$37</f>
        <v>-132480.29987885413</v>
      </c>
      <c r="H42" s="13">
        <f>+[10]Pricing_BEL!$L$37</f>
        <v>-132480.29987885413</v>
      </c>
      <c r="I42" s="13">
        <f>+[11]Pricing_BEL!$L$37</f>
        <v>-132480.29987885413</v>
      </c>
      <c r="J42" s="32">
        <f>+[12]Pricing_BEL!$L$37</f>
        <v>-142614.28239638775</v>
      </c>
      <c r="K42" s="13">
        <f>+[13]Pricing_BEL!$L$37</f>
        <v>-142614.28239638775</v>
      </c>
      <c r="L42" s="13">
        <f>+[14]Pricing_BEL!$L$37</f>
        <v>-142614.28239638775</v>
      </c>
      <c r="M42" s="13">
        <f>+[15]Pricing_BEL!$L$37</f>
        <v>-59943.842251503796</v>
      </c>
      <c r="N42" s="32">
        <f>+[16]Pricing_BEL!$L$37</f>
        <v>-59943.842251503796</v>
      </c>
      <c r="O42" s="13">
        <f>+[17]Pricing_BEL!$L$37</f>
        <v>-59943.842251503796</v>
      </c>
      <c r="P42" s="13">
        <f>+[18]Pricing_BEL!$L$37</f>
        <v>-83022.882127719728</v>
      </c>
      <c r="Q42" s="32">
        <f>+[19]Pricing_BEL!$L$37</f>
        <v>-83022.882127719728</v>
      </c>
      <c r="R42" s="32">
        <f>+[20]Pricing_BEL!$L$37</f>
        <v>-83022.882127719728</v>
      </c>
      <c r="S42" s="70">
        <f>+[22]Pricing_BEL!$L$37</f>
        <v>-83022.882127719728</v>
      </c>
    </row>
    <row r="43" spans="1:37" hidden="1" outlineLevel="2" x14ac:dyDescent="0.25">
      <c r="A43" s="16" t="s">
        <v>40</v>
      </c>
      <c r="B43" s="13">
        <f>+[1]Pricing_BEL!$L$38</f>
        <v>-102040.15119655791</v>
      </c>
      <c r="C43" s="13">
        <f>+[5]Pricing_BEL!$L$38</f>
        <v>-102040.15119655791</v>
      </c>
      <c r="D43" s="32">
        <f>+[6]Pricing_BEL!$L$38</f>
        <v>-106077.91701313858</v>
      </c>
      <c r="E43" s="13">
        <f>+[7]Pricing_BEL!$L$38</f>
        <v>-106077.91701313858</v>
      </c>
      <c r="F43" s="13">
        <f>+[8]Pricing_BEL!$L$38</f>
        <v>-106077.91701313858</v>
      </c>
      <c r="G43" s="32">
        <f>+[9]Pricing_BEL!$L$38</f>
        <v>-112090.05249232556</v>
      </c>
      <c r="H43" s="13">
        <f>+[10]Pricing_BEL!$L$38</f>
        <v>-112090.05249232556</v>
      </c>
      <c r="I43" s="13">
        <f>+[11]Pricing_BEL!$L$38</f>
        <v>-112090.05249232556</v>
      </c>
      <c r="J43" s="32">
        <f>+[12]Pricing_BEL!$L$38</f>
        <v>-116838.27156748594</v>
      </c>
      <c r="K43" s="13">
        <f>+[13]Pricing_BEL!$L$38</f>
        <v>-116838.27156748594</v>
      </c>
      <c r="L43" s="13">
        <f>+[14]Pricing_BEL!$L$38</f>
        <v>-116838.27156748594</v>
      </c>
      <c r="M43" s="13">
        <f>+[15]Pricing_BEL!$L$38</f>
        <v>-43038.071889319901</v>
      </c>
      <c r="N43" s="32">
        <f>+[16]Pricing_BEL!$L$38</f>
        <v>-43038.071889319901</v>
      </c>
      <c r="O43" s="13">
        <f>+[17]Pricing_BEL!$L$38</f>
        <v>-43038.071889319901</v>
      </c>
      <c r="P43" s="13">
        <f>+[18]Pricing_BEL!$L$38</f>
        <v>-61845.152233089</v>
      </c>
      <c r="Q43" s="32">
        <f>+[19]Pricing_BEL!$L$38</f>
        <v>-61845.152233089</v>
      </c>
      <c r="R43" s="32">
        <f>+[20]Pricing_BEL!$L$38</f>
        <v>-61845.152233089</v>
      </c>
      <c r="S43" s="70">
        <f>+[22]Pricing_BEL!$L$38</f>
        <v>-61845.152233089</v>
      </c>
    </row>
    <row r="44" spans="1:37" hidden="1" outlineLevel="2" x14ac:dyDescent="0.25">
      <c r="A44" s="16" t="s">
        <v>41</v>
      </c>
      <c r="B44" s="13">
        <f>+[1]Pricing_BEL!$L$39</f>
        <v>-83850.062950062362</v>
      </c>
      <c r="C44" s="13">
        <f>+[5]Pricing_BEL!$L$39</f>
        <v>-83850.062950062362</v>
      </c>
      <c r="D44" s="32">
        <f>+[6]Pricing_BEL!$L$39</f>
        <v>-84939.060421409333</v>
      </c>
      <c r="E44" s="13">
        <f>+[7]Pricing_BEL!$L$39</f>
        <v>-84939.060421409333</v>
      </c>
      <c r="F44" s="13">
        <f>+[8]Pricing_BEL!$L$39</f>
        <v>-84939.060421409333</v>
      </c>
      <c r="G44" s="32">
        <f>+[9]Pricing_BEL!$L$39</f>
        <v>-88715.670038761076</v>
      </c>
      <c r="H44" s="13">
        <f>+[10]Pricing_BEL!$L$39</f>
        <v>-88715.670038761076</v>
      </c>
      <c r="I44" s="13">
        <f>+[11]Pricing_BEL!$L$39</f>
        <v>-88715.670038761076</v>
      </c>
      <c r="J44" s="32">
        <f>+[12]Pricing_BEL!$L$39</f>
        <v>-90608.800692232413</v>
      </c>
      <c r="K44" s="13">
        <f>+[13]Pricing_BEL!$L$39</f>
        <v>-90608.800692232413</v>
      </c>
      <c r="L44" s="13">
        <f>+[14]Pricing_BEL!$L$39</f>
        <v>-90608.800692232413</v>
      </c>
      <c r="M44" s="13">
        <f>+[15]Pricing_BEL!$L$39</f>
        <v>-28191.083045450901</v>
      </c>
      <c r="N44" s="32">
        <f>+[16]Pricing_BEL!$L$39</f>
        <v>-28191.083045450901</v>
      </c>
      <c r="O44" s="13">
        <f>+[17]Pricing_BEL!$L$39</f>
        <v>-28191.083045450901</v>
      </c>
      <c r="P44" s="13">
        <f>+[18]Pricing_BEL!$L$39</f>
        <v>-43023.245602240473</v>
      </c>
      <c r="Q44" s="32">
        <f>+[19]Pricing_BEL!$L$39</f>
        <v>-43023.245602240473</v>
      </c>
      <c r="R44" s="32">
        <f>+[20]Pricing_BEL!$L$39</f>
        <v>-43023.245602240473</v>
      </c>
      <c r="S44" s="70">
        <f>+[22]Pricing_BEL!$L$39</f>
        <v>-43023.245602240473</v>
      </c>
    </row>
    <row r="45" spans="1:37" hidden="1" outlineLevel="2" x14ac:dyDescent="0.25">
      <c r="A45" s="16" t="s">
        <v>42</v>
      </c>
      <c r="B45" s="13">
        <f>+[1]Pricing_BEL!$L$40</f>
        <v>-58208.782723055891</v>
      </c>
      <c r="C45" s="13">
        <f>+[5]Pricing_BEL!$L$40</f>
        <v>-58208.782723055891</v>
      </c>
      <c r="D45" s="32">
        <f>+[6]Pricing_BEL!$L$40</f>
        <v>-59437.809091827345</v>
      </c>
      <c r="E45" s="13">
        <f>+[7]Pricing_BEL!$L$40</f>
        <v>-59437.809091827345</v>
      </c>
      <c r="F45" s="13">
        <f>+[8]Pricing_BEL!$L$40</f>
        <v>-59437.809091827345</v>
      </c>
      <c r="G45" s="32">
        <f>+[9]Pricing_BEL!$L$40</f>
        <v>-62884.756194408306</v>
      </c>
      <c r="H45" s="13">
        <f>+[10]Pricing_BEL!$L$40</f>
        <v>-62884.756194408306</v>
      </c>
      <c r="I45" s="13">
        <f>+[11]Pricing_BEL!$L$40</f>
        <v>-62884.756194408306</v>
      </c>
      <c r="J45" s="32">
        <f>+[12]Pricing_BEL!$L$40</f>
        <v>-66135.162842484206</v>
      </c>
      <c r="K45" s="13">
        <f>+[13]Pricing_BEL!$L$40</f>
        <v>-66135.162842484206</v>
      </c>
      <c r="L45" s="13">
        <f>+[14]Pricing_BEL!$L$40</f>
        <v>-66135.162842484206</v>
      </c>
      <c r="M45" s="13">
        <f>+[15]Pricing_BEL!$L$40</f>
        <v>-12685.751086259001</v>
      </c>
      <c r="N45" s="32">
        <f>+[16]Pricing_BEL!$L$40</f>
        <v>-12685.751086259001</v>
      </c>
      <c r="O45" s="13">
        <f>+[17]Pricing_BEL!$L$40</f>
        <v>-12685.751086259001</v>
      </c>
      <c r="P45" s="13">
        <f>+[18]Pricing_BEL!$L$40</f>
        <v>-25997.12004946579</v>
      </c>
      <c r="Q45" s="32">
        <f>+[19]Pricing_BEL!$L$40</f>
        <v>-25997.12004946579</v>
      </c>
      <c r="R45" s="32">
        <f>+[20]Pricing_BEL!$L$40</f>
        <v>-25997.12004946579</v>
      </c>
      <c r="S45" s="70">
        <f>+[22]Pricing_BEL!$L$40</f>
        <v>-25997.12004946579</v>
      </c>
    </row>
    <row r="46" spans="1:37" hidden="1" outlineLevel="2" x14ac:dyDescent="0.25">
      <c r="A46" s="16" t="s">
        <v>43</v>
      </c>
      <c r="B46" s="13">
        <f>+[1]Pricing_BEL!$L$41</f>
        <v>-42850.997455033634</v>
      </c>
      <c r="C46" s="13">
        <f>+[5]Pricing_BEL!$L$41</f>
        <v>-42850.997455033634</v>
      </c>
      <c r="D46" s="32">
        <f>+[6]Pricing_BEL!$L$41</f>
        <v>-44467.8291646699</v>
      </c>
      <c r="E46" s="13">
        <f>+[7]Pricing_BEL!$L$41</f>
        <v>-44467.8291646699</v>
      </c>
      <c r="F46" s="13">
        <f>+[8]Pricing_BEL!$L$41</f>
        <v>-44467.8291646699</v>
      </c>
      <c r="G46" s="32">
        <f>+[9]Pricing_BEL!$L$41</f>
        <v>-47547.215588404513</v>
      </c>
      <c r="H46" s="13">
        <f>+[10]Pricing_BEL!$L$41</f>
        <v>-47547.215588404513</v>
      </c>
      <c r="I46" s="13">
        <f>+[11]Pricing_BEL!$L$41</f>
        <v>-47547.215588404513</v>
      </c>
      <c r="J46" s="32">
        <f>+[12]Pricing_BEL!$L$41</f>
        <v>-51607.637868723694</v>
      </c>
      <c r="K46" s="13">
        <f>+[13]Pricing_BEL!$L$41</f>
        <v>-51607.637868723694</v>
      </c>
      <c r="L46" s="13">
        <f>+[14]Pricing_BEL!$L$41</f>
        <v>-51607.637868723694</v>
      </c>
      <c r="M46" s="13">
        <f>+[15]Pricing_BEL!$L$41</f>
        <v>-3946.0659808047999</v>
      </c>
      <c r="N46" s="32">
        <f>+[16]Pricing_BEL!$L$41</f>
        <v>-3946.0659808047999</v>
      </c>
      <c r="O46" s="13">
        <f>+[17]Pricing_BEL!$L$41</f>
        <v>-3946.0659808047999</v>
      </c>
      <c r="P46" s="13">
        <f>+[18]Pricing_BEL!$L$41</f>
        <v>-16199.233573095367</v>
      </c>
      <c r="Q46" s="32">
        <f>+[19]Pricing_BEL!$L$41</f>
        <v>-16199.233573095367</v>
      </c>
      <c r="R46" s="32">
        <f>+[20]Pricing_BEL!$L$41</f>
        <v>-16199.233573095367</v>
      </c>
      <c r="S46" s="70">
        <f>+[22]Pricing_BEL!$L$41</f>
        <v>-16199.233573095367</v>
      </c>
    </row>
    <row r="47" spans="1:37" hidden="1" outlineLevel="2" x14ac:dyDescent="0.25">
      <c r="A47" s="16" t="s">
        <v>44</v>
      </c>
      <c r="B47" s="13">
        <f>+[1]Pricing_BEL!$L$42</f>
        <v>-33508.139041651033</v>
      </c>
      <c r="C47" s="13">
        <f>+[5]Pricing_BEL!$L$42</f>
        <v>-33508.139041651033</v>
      </c>
      <c r="D47" s="32">
        <f>+[6]Pricing_BEL!$L$42</f>
        <v>-35712.177915205248</v>
      </c>
      <c r="E47" s="13">
        <f>+[7]Pricing_BEL!$L$42</f>
        <v>-35712.177915205248</v>
      </c>
      <c r="F47" s="13">
        <f>+[8]Pricing_BEL!$L$42</f>
        <v>-35712.177915205248</v>
      </c>
      <c r="G47" s="32">
        <f>+[9]Pricing_BEL!$L$42</f>
        <v>-38818.110421017191</v>
      </c>
      <c r="H47" s="13">
        <f>+[10]Pricing_BEL!$L$42</f>
        <v>-38818.110421017191</v>
      </c>
      <c r="I47" s="13">
        <f>+[11]Pricing_BEL!$L$42</f>
        <v>-38818.110421017191</v>
      </c>
      <c r="J47" s="32">
        <f>+[12]Pricing_BEL!$L$42</f>
        <v>-43333.655950201079</v>
      </c>
      <c r="K47" s="13">
        <f>+[13]Pricing_BEL!$L$42</f>
        <v>-43333.655950201079</v>
      </c>
      <c r="L47" s="13">
        <f>+[14]Pricing_BEL!$L$42</f>
        <v>-43333.655950201079</v>
      </c>
      <c r="M47" s="13">
        <f>+[15]Pricing_BEL!$L$42</f>
        <v>-985.93113195932006</v>
      </c>
      <c r="N47" s="32">
        <f>+[16]Pricing_BEL!$L$42</f>
        <v>-985.93113195932006</v>
      </c>
      <c r="O47" s="13">
        <f>+[17]Pricing_BEL!$L$42</f>
        <v>-985.93113195932006</v>
      </c>
      <c r="P47" s="13">
        <f>+[18]Pricing_BEL!$L$42</f>
        <v>-13384.992702418429</v>
      </c>
      <c r="Q47" s="32">
        <f>+[19]Pricing_BEL!$L$42</f>
        <v>-13384.992702418429</v>
      </c>
      <c r="R47" s="32">
        <f>+[20]Pricing_BEL!$L$42</f>
        <v>-13384.992702418429</v>
      </c>
      <c r="S47" s="70">
        <f>+[22]Pricing_BEL!$L$42</f>
        <v>-13384.992702418429</v>
      </c>
    </row>
    <row r="48" spans="1:37" hidden="1" outlineLevel="2" x14ac:dyDescent="0.25">
      <c r="A48" s="16" t="s">
        <v>45</v>
      </c>
      <c r="B48" s="13">
        <f>+[1]Pricing_BEL!$L$43</f>
        <v>-30631.270322038941</v>
      </c>
      <c r="C48" s="13">
        <f>+[5]Pricing_BEL!$L$43</f>
        <v>-30631.270322038941</v>
      </c>
      <c r="D48" s="32">
        <f>+[6]Pricing_BEL!$L$43</f>
        <v>-32857.085868326561</v>
      </c>
      <c r="E48" s="13">
        <f>+[7]Pricing_BEL!$L$43</f>
        <v>-32857.085868326561</v>
      </c>
      <c r="F48" s="13">
        <f>+[8]Pricing_BEL!$L$43</f>
        <v>-32857.085868326561</v>
      </c>
      <c r="G48" s="32">
        <f>+[9]Pricing_BEL!$L$43</f>
        <v>-35129.278610010668</v>
      </c>
      <c r="H48" s="13">
        <f>+[10]Pricing_BEL!$L$43</f>
        <v>-35129.278610010668</v>
      </c>
      <c r="I48" s="13">
        <f>+[11]Pricing_BEL!$L$43</f>
        <v>-35129.278610010668</v>
      </c>
      <c r="J48" s="32">
        <f>+[12]Pricing_BEL!$L$43</f>
        <v>-36220.615659940639</v>
      </c>
      <c r="K48" s="13">
        <f>+[13]Pricing_BEL!$L$43</f>
        <v>-36220.615659940639</v>
      </c>
      <c r="L48" s="13">
        <f>+[14]Pricing_BEL!$L$43</f>
        <v>-36220.615659940639</v>
      </c>
      <c r="M48" s="13">
        <f>+[15]Pricing_BEL!$L$43</f>
        <v>183.06990320999901</v>
      </c>
      <c r="N48" s="32">
        <f>+[16]Pricing_BEL!$L$43</f>
        <v>183.06990320999901</v>
      </c>
      <c r="O48" s="13">
        <f>+[17]Pricing_BEL!$L$43</f>
        <v>183.06990320999901</v>
      </c>
      <c r="P48" s="13">
        <f>+[18]Pricing_BEL!$L$43</f>
        <v>-8852.3678865118527</v>
      </c>
      <c r="Q48" s="32">
        <f>+[19]Pricing_BEL!$L$43</f>
        <v>-8852.3678865118527</v>
      </c>
      <c r="R48" s="32">
        <f>+[20]Pricing_BEL!$L$43</f>
        <v>-8852.3678865118527</v>
      </c>
      <c r="S48" s="70">
        <f>+[22]Pricing_BEL!$L$43</f>
        <v>-8852.3678865118527</v>
      </c>
    </row>
    <row r="49" spans="1:37" hidden="1" outlineLevel="2" x14ac:dyDescent="0.25">
      <c r="A49" s="16" t="s">
        <v>46</v>
      </c>
      <c r="B49" s="13">
        <f>+[1]Pricing_BEL!$L$44</f>
        <v>-25107.345636600981</v>
      </c>
      <c r="C49" s="13">
        <f>+[5]Pricing_BEL!$L$44</f>
        <v>-25107.345636600981</v>
      </c>
      <c r="D49" s="32">
        <f>+[6]Pricing_BEL!$L$44</f>
        <v>-24542.982245016221</v>
      </c>
      <c r="E49" s="13">
        <f>+[7]Pricing_BEL!$L$44</f>
        <v>-24542.982245016221</v>
      </c>
      <c r="F49" s="13">
        <f>+[8]Pricing_BEL!$L$44</f>
        <v>-24542.982245016221</v>
      </c>
      <c r="G49" s="32">
        <f>+[9]Pricing_BEL!$L$44</f>
        <v>-26759.476222749683</v>
      </c>
      <c r="H49" s="13">
        <f>+[10]Pricing_BEL!$L$44</f>
        <v>-26759.476222749683</v>
      </c>
      <c r="I49" s="13">
        <f>+[11]Pricing_BEL!$L$44</f>
        <v>-26759.476222749683</v>
      </c>
      <c r="J49" s="32">
        <f>+[12]Pricing_BEL!$L$44</f>
        <v>-24953.390221700847</v>
      </c>
      <c r="K49" s="13">
        <f>+[13]Pricing_BEL!$L$44</f>
        <v>-24953.390221700847</v>
      </c>
      <c r="L49" s="13">
        <f>+[14]Pricing_BEL!$L$44</f>
        <v>-24953.390221700847</v>
      </c>
      <c r="M49" s="13">
        <f>+[15]Pricing_BEL!$L$44</f>
        <v>1024.7200296256501</v>
      </c>
      <c r="N49" s="32">
        <f>+[16]Pricing_BEL!$L$44</f>
        <v>1024.7200296256501</v>
      </c>
      <c r="O49" s="13">
        <f>+[17]Pricing_BEL!$L$44</f>
        <v>1024.7200296256501</v>
      </c>
      <c r="P49" s="13">
        <f>+[18]Pricing_BEL!$L$44</f>
        <v>-6519.5958247544877</v>
      </c>
      <c r="Q49" s="32">
        <f>+[19]Pricing_BEL!$L$44</f>
        <v>-6519.5958247544877</v>
      </c>
      <c r="R49" s="32">
        <f>+[20]Pricing_BEL!$L$44</f>
        <v>-6519.5958247544877</v>
      </c>
      <c r="S49" s="70">
        <f>+[22]Pricing_BEL!$L$44</f>
        <v>-6519.5958247544877</v>
      </c>
    </row>
    <row r="50" spans="1:37" hidden="1" outlineLevel="2" x14ac:dyDescent="0.25">
      <c r="A50" s="16" t="s">
        <v>47</v>
      </c>
      <c r="B50" s="13">
        <f>+[1]Pricing_BEL!$L$45</f>
        <v>-10330.270501460576</v>
      </c>
      <c r="C50" s="13">
        <f>+[5]Pricing_BEL!$L$45</f>
        <v>-10330.270501460576</v>
      </c>
      <c r="D50" s="32">
        <f>+[6]Pricing_BEL!$L$45</f>
        <v>-10297.462700877515</v>
      </c>
      <c r="E50" s="13">
        <f>+[7]Pricing_BEL!$L$45</f>
        <v>-10297.462700877515</v>
      </c>
      <c r="F50" s="13">
        <f>+[8]Pricing_BEL!$L$45</f>
        <v>-10297.462700877515</v>
      </c>
      <c r="G50" s="32">
        <f>+[9]Pricing_BEL!$L$45</f>
        <v>-11284.668532797419</v>
      </c>
      <c r="H50" s="13">
        <f>+[10]Pricing_BEL!$L$45</f>
        <v>-11284.668532797419</v>
      </c>
      <c r="I50" s="13">
        <f>+[11]Pricing_BEL!$L$45</f>
        <v>-11284.668532797419</v>
      </c>
      <c r="J50" s="32">
        <f>+[12]Pricing_BEL!$L$45</f>
        <v>-10492.078134713951</v>
      </c>
      <c r="K50" s="13">
        <f>+[13]Pricing_BEL!$L$45</f>
        <v>-10492.078134713951</v>
      </c>
      <c r="L50" s="13">
        <f>+[14]Pricing_BEL!$L$45</f>
        <v>-10492.078134713951</v>
      </c>
      <c r="M50" s="13">
        <f>+[15]Pricing_BEL!$L$45</f>
        <v>-54413.614338530497</v>
      </c>
      <c r="N50" s="32">
        <f>+[16]Pricing_BEL!$L$45</f>
        <v>-54413.614338530497</v>
      </c>
      <c r="O50" s="13">
        <f>+[17]Pricing_BEL!$L$45</f>
        <v>-54413.614338530497</v>
      </c>
      <c r="P50" s="13">
        <f>+[18]Pricing_BEL!$L$45</f>
        <v>-78217.929360555048</v>
      </c>
      <c r="Q50" s="32">
        <f>+[19]Pricing_BEL!$L$45</f>
        <v>-78217.929360555048</v>
      </c>
      <c r="R50" s="32">
        <f>+[20]Pricing_BEL!$L$45</f>
        <v>-78217.929360555048</v>
      </c>
      <c r="S50" s="70">
        <f>+[22]Pricing_BEL!$L$45</f>
        <v>-78217.929360555048</v>
      </c>
    </row>
    <row r="51" spans="1:37" hidden="1" outlineLevel="2" x14ac:dyDescent="0.25">
      <c r="A51" s="16" t="s">
        <v>48</v>
      </c>
      <c r="B51" s="13">
        <f>+[1]Pricing_BEL!$L$46</f>
        <v>-4345.7647109164582</v>
      </c>
      <c r="C51" s="13">
        <f>+[5]Pricing_BEL!$L$46</f>
        <v>-4345.7647109164582</v>
      </c>
      <c r="D51" s="32">
        <f>+[6]Pricing_BEL!$L$46</f>
        <v>-4395.3899880581157</v>
      </c>
      <c r="E51" s="13">
        <f>+[7]Pricing_BEL!$L$46</f>
        <v>-4395.3899880581157</v>
      </c>
      <c r="F51" s="13">
        <f>+[8]Pricing_BEL!$L$46</f>
        <v>-4395.3899880581157</v>
      </c>
      <c r="G51" s="32">
        <f>+[9]Pricing_BEL!$L$46</f>
        <v>-4821.2716531788337</v>
      </c>
      <c r="H51" s="13">
        <f>+[10]Pricing_BEL!$L$46</f>
        <v>-4821.2716531788337</v>
      </c>
      <c r="I51" s="13">
        <f>+[11]Pricing_BEL!$L$46</f>
        <v>-4821.2716531788337</v>
      </c>
      <c r="J51" s="32">
        <f>+[12]Pricing_BEL!$L$46</f>
        <v>-4543.6780949296535</v>
      </c>
      <c r="K51" s="13">
        <f>+[13]Pricing_BEL!$L$46</f>
        <v>-4543.6780949296535</v>
      </c>
      <c r="L51" s="13">
        <f>+[14]Pricing_BEL!$L$46</f>
        <v>-4543.6780949296535</v>
      </c>
      <c r="M51" s="13">
        <f>+[15]Pricing_BEL!$L$46</f>
        <v>-21004.324534694599</v>
      </c>
      <c r="N51" s="32">
        <f>+[16]Pricing_BEL!$L$46</f>
        <v>-21004.324534694599</v>
      </c>
      <c r="O51" s="13">
        <f>+[17]Pricing_BEL!$L$46</f>
        <v>-21004.324534694599</v>
      </c>
      <c r="P51" s="13">
        <f>+[18]Pricing_BEL!$L$46</f>
        <v>-37461.424827871677</v>
      </c>
      <c r="Q51" s="32">
        <f>+[19]Pricing_BEL!$L$46</f>
        <v>-37461.424827871677</v>
      </c>
      <c r="R51" s="32">
        <f>+[20]Pricing_BEL!$L$46</f>
        <v>-37461.424827871677</v>
      </c>
      <c r="S51" s="70">
        <f>+[22]Pricing_BEL!$L$46</f>
        <v>-37461.424827871677</v>
      </c>
    </row>
    <row r="52" spans="1:37" hidden="1" outlineLevel="2" x14ac:dyDescent="0.25">
      <c r="A52" s="16" t="s">
        <v>49</v>
      </c>
      <c r="B52" s="13">
        <f>+[1]Pricing_BEL!$L$47</f>
        <v>-2247.7539742395365</v>
      </c>
      <c r="C52" s="13">
        <f>+[5]Pricing_BEL!$L$47</f>
        <v>-2247.7539742395365</v>
      </c>
      <c r="D52" s="32">
        <f>+[6]Pricing_BEL!$L$47</f>
        <v>-2316.0393990583561</v>
      </c>
      <c r="E52" s="13">
        <f>+[7]Pricing_BEL!$L$47</f>
        <v>-2316.0393990583561</v>
      </c>
      <c r="F52" s="13">
        <f>+[8]Pricing_BEL!$L$47</f>
        <v>-2316.0393990583561</v>
      </c>
      <c r="G52" s="32">
        <f>+[9]Pricing_BEL!$L$47</f>
        <v>-2515.6841534049013</v>
      </c>
      <c r="H52" s="13">
        <f>+[10]Pricing_BEL!$L$47</f>
        <v>-2515.6841534049013</v>
      </c>
      <c r="I52" s="13">
        <f>+[11]Pricing_BEL!$L$47</f>
        <v>-2515.6841534049013</v>
      </c>
      <c r="J52" s="32">
        <f>+[12]Pricing_BEL!$L$47</f>
        <v>-2397.8156209979516</v>
      </c>
      <c r="K52" s="13">
        <f>+[13]Pricing_BEL!$L$47</f>
        <v>-2397.8156209979516</v>
      </c>
      <c r="L52" s="13">
        <f>+[14]Pricing_BEL!$L$47</f>
        <v>-2397.8156209979516</v>
      </c>
      <c r="M52" s="13">
        <f>+[15]Pricing_BEL!$L$47</f>
        <v>-8569.2442496456497</v>
      </c>
      <c r="N52" s="32">
        <f>+[16]Pricing_BEL!$L$47</f>
        <v>-8569.2442496456497</v>
      </c>
      <c r="O52" s="13">
        <f>+[17]Pricing_BEL!$L$47</f>
        <v>-8569.2442496456497</v>
      </c>
      <c r="P52" s="13">
        <f>+[18]Pricing_BEL!$L$47</f>
        <v>-14616.078066385006</v>
      </c>
      <c r="Q52" s="32">
        <f>+[19]Pricing_BEL!$L$47</f>
        <v>-14616.078066385006</v>
      </c>
      <c r="R52" s="32">
        <f>+[20]Pricing_BEL!$L$47</f>
        <v>-14616.078066385006</v>
      </c>
      <c r="S52" s="70">
        <f>+[22]Pricing_BEL!$L$47</f>
        <v>-14616.078066385006</v>
      </c>
    </row>
    <row r="53" spans="1:37" hidden="1" outlineLevel="2" x14ac:dyDescent="0.25">
      <c r="A53" s="16" t="s">
        <v>50</v>
      </c>
      <c r="B53" s="13">
        <f>+[1]Pricing_BEL!$L$48</f>
        <v>-1370.7656215021145</v>
      </c>
      <c r="C53" s="13">
        <f>+[5]Pricing_BEL!$L$48</f>
        <v>-1370.7656215021145</v>
      </c>
      <c r="D53" s="32">
        <f>+[6]Pricing_BEL!$L$48</f>
        <v>-1396.1147781590391</v>
      </c>
      <c r="E53" s="13">
        <f>+[7]Pricing_BEL!$L$48</f>
        <v>-1396.1147781590391</v>
      </c>
      <c r="F53" s="13">
        <f>+[8]Pricing_BEL!$L$48</f>
        <v>-1396.1147781590391</v>
      </c>
      <c r="G53" s="32">
        <f>+[9]Pricing_BEL!$L$48</f>
        <v>-1503.2522665881791</v>
      </c>
      <c r="H53" s="13">
        <f>+[10]Pricing_BEL!$L$48</f>
        <v>-1503.2522665881791</v>
      </c>
      <c r="I53" s="13">
        <f>+[11]Pricing_BEL!$L$48</f>
        <v>-1503.2522665881791</v>
      </c>
      <c r="J53" s="32">
        <f>+[12]Pricing_BEL!$L$48</f>
        <v>-1431.7947402203922</v>
      </c>
      <c r="K53" s="13">
        <f>+[13]Pricing_BEL!$L$48</f>
        <v>-1431.7947402203922</v>
      </c>
      <c r="L53" s="13">
        <f>+[14]Pricing_BEL!$L$48</f>
        <v>-1431.7947402203922</v>
      </c>
      <c r="M53" s="13">
        <f>+[15]Pricing_BEL!$L$48</f>
        <v>-4267.0358569913697</v>
      </c>
      <c r="N53" s="32">
        <f>+[16]Pricing_BEL!$L$48</f>
        <v>-4267.0358569913697</v>
      </c>
      <c r="O53" s="13">
        <f>+[17]Pricing_BEL!$L$48</f>
        <v>-4267.0358569913697</v>
      </c>
      <c r="P53" s="13">
        <f>+[18]Pricing_BEL!$L$48</f>
        <v>-6242.9182806587141</v>
      </c>
      <c r="Q53" s="32">
        <f>+[19]Pricing_BEL!$L$48</f>
        <v>-6242.9182806587141</v>
      </c>
      <c r="R53" s="32">
        <f>+[20]Pricing_BEL!$L$48</f>
        <v>-6242.9182806587141</v>
      </c>
      <c r="S53" s="70">
        <f>+[22]Pricing_BEL!$L$48</f>
        <v>-6242.9182806587141</v>
      </c>
    </row>
    <row r="54" spans="1:37" hidden="1" outlineLevel="2" x14ac:dyDescent="0.25">
      <c r="A54" s="16" t="s">
        <v>51</v>
      </c>
      <c r="B54" s="13">
        <f>+[1]Pricing_BEL!$L$49</f>
        <v>-783.02277338053375</v>
      </c>
      <c r="C54" s="13">
        <f>+[5]Pricing_BEL!$L$49</f>
        <v>-783.02277338053375</v>
      </c>
      <c r="D54" s="32">
        <f>+[6]Pricing_BEL!$L$49</f>
        <v>-806.659245458442</v>
      </c>
      <c r="E54" s="13">
        <f>+[7]Pricing_BEL!$L$49</f>
        <v>-806.659245458442</v>
      </c>
      <c r="F54" s="13">
        <f>+[8]Pricing_BEL!$L$49</f>
        <v>-806.659245458442</v>
      </c>
      <c r="G54" s="32">
        <f>+[9]Pricing_BEL!$L$49</f>
        <v>-875.03512294072141</v>
      </c>
      <c r="H54" s="13">
        <f>+[10]Pricing_BEL!$L$49</f>
        <v>-875.03512294072141</v>
      </c>
      <c r="I54" s="13">
        <f>+[11]Pricing_BEL!$L$49</f>
        <v>-875.03512294072141</v>
      </c>
      <c r="J54" s="32">
        <f>+[12]Pricing_BEL!$L$49</f>
        <v>-835.68506034320978</v>
      </c>
      <c r="K54" s="13">
        <f>+[13]Pricing_BEL!$L$49</f>
        <v>-835.68506034320978</v>
      </c>
      <c r="L54" s="13">
        <f>+[14]Pricing_BEL!$L$49</f>
        <v>-835.68506034320978</v>
      </c>
      <c r="M54" s="13">
        <f>+[15]Pricing_BEL!$L$49</f>
        <v>-2314.0195086311101</v>
      </c>
      <c r="N54" s="32">
        <f>+[16]Pricing_BEL!$L$49</f>
        <v>-2314.0195086311101</v>
      </c>
      <c r="O54" s="13">
        <f>+[17]Pricing_BEL!$L$49</f>
        <v>-2314.0195086311101</v>
      </c>
      <c r="P54" s="13">
        <f>+[18]Pricing_BEL!$L$49</f>
        <v>-3118.6215831068066</v>
      </c>
      <c r="Q54" s="32">
        <f>+[19]Pricing_BEL!$L$49</f>
        <v>-3118.6215831068066</v>
      </c>
      <c r="R54" s="32">
        <f>+[20]Pricing_BEL!$L$49</f>
        <v>-3118.6215831068066</v>
      </c>
      <c r="S54" s="70">
        <f>+[22]Pricing_BEL!$L$49</f>
        <v>-3118.6215831068066</v>
      </c>
    </row>
    <row r="55" spans="1:37" hidden="1" outlineLevel="2" x14ac:dyDescent="0.25">
      <c r="A55" s="16" t="s">
        <v>52</v>
      </c>
      <c r="B55" s="13">
        <f>+[1]Pricing_BEL!$L$50</f>
        <v>-439.49065664601306</v>
      </c>
      <c r="C55" s="13">
        <f>+[5]Pricing_BEL!$L$50</f>
        <v>-439.49065664601306</v>
      </c>
      <c r="D55" s="32">
        <f>+[6]Pricing_BEL!$L$50</f>
        <v>-451.39044130132487</v>
      </c>
      <c r="E55" s="13">
        <f>+[7]Pricing_BEL!$L$50</f>
        <v>-451.39044130132487</v>
      </c>
      <c r="F55" s="13">
        <f>+[8]Pricing_BEL!$L$50</f>
        <v>-451.39044130132487</v>
      </c>
      <c r="G55" s="32">
        <f>+[9]Pricing_BEL!$L$50</f>
        <v>-490.34668880642931</v>
      </c>
      <c r="H55" s="13">
        <f>+[10]Pricing_BEL!$L$50</f>
        <v>-490.34668880642931</v>
      </c>
      <c r="I55" s="13">
        <f>+[11]Pricing_BEL!$L$50</f>
        <v>-490.34668880642931</v>
      </c>
      <c r="J55" s="32">
        <f>+[12]Pricing_BEL!$L$50</f>
        <v>-463.48659264325988</v>
      </c>
      <c r="K55" s="13">
        <f>+[13]Pricing_BEL!$L$50</f>
        <v>-463.48659264325988</v>
      </c>
      <c r="L55" s="13">
        <f>+[14]Pricing_BEL!$L$50</f>
        <v>-463.48659264325988</v>
      </c>
      <c r="M55" s="13">
        <f>+[15]Pricing_BEL!$L$50</f>
        <v>-1210.75301815789</v>
      </c>
      <c r="N55" s="32">
        <f>+[16]Pricing_BEL!$L$50</f>
        <v>-1210.75301815789</v>
      </c>
      <c r="O55" s="13">
        <f>+[17]Pricing_BEL!$L$50</f>
        <v>-1210.75301815789</v>
      </c>
      <c r="P55" s="13">
        <f>+[18]Pricing_BEL!$L$50</f>
        <v>-1627.9835618553084</v>
      </c>
      <c r="Q55" s="32">
        <f>+[19]Pricing_BEL!$L$50</f>
        <v>-1627.9835618553084</v>
      </c>
      <c r="R55" s="32">
        <f>+[20]Pricing_BEL!$L$50</f>
        <v>-1627.9835618553084</v>
      </c>
      <c r="S55" s="70">
        <f>+[22]Pricing_BEL!$L$50</f>
        <v>-1627.9835618553084</v>
      </c>
    </row>
    <row r="56" spans="1:37" hidden="1" outlineLevel="2" x14ac:dyDescent="0.25">
      <c r="A56" s="16" t="s">
        <v>53</v>
      </c>
      <c r="B56" s="13">
        <f>+[1]Pricing_BEL!$L$51</f>
        <v>-234.21458037811101</v>
      </c>
      <c r="C56" s="13">
        <f>+[5]Pricing_BEL!$L$51</f>
        <v>-234.21458037811101</v>
      </c>
      <c r="D56" s="32">
        <f>+[6]Pricing_BEL!$L$51</f>
        <v>-241.10901589147616</v>
      </c>
      <c r="E56" s="13">
        <f>+[7]Pricing_BEL!$L$51</f>
        <v>-241.10901589147616</v>
      </c>
      <c r="F56" s="13">
        <f>+[8]Pricing_BEL!$L$51</f>
        <v>-241.10901589147616</v>
      </c>
      <c r="G56" s="32">
        <f>+[9]Pricing_BEL!$L$51</f>
        <v>-264.81456325395709</v>
      </c>
      <c r="H56" s="13">
        <f>+[10]Pricing_BEL!$L$51</f>
        <v>-264.81456325395709</v>
      </c>
      <c r="I56" s="13">
        <f>+[11]Pricing_BEL!$L$51</f>
        <v>-264.81456325395709</v>
      </c>
      <c r="J56" s="32">
        <f>+[12]Pricing_BEL!$L$51</f>
        <v>-246.49396421247741</v>
      </c>
      <c r="K56" s="13">
        <f>+[13]Pricing_BEL!$L$51</f>
        <v>-246.49396421247741</v>
      </c>
      <c r="L56" s="13">
        <f>+[14]Pricing_BEL!$L$51</f>
        <v>-246.49396421247741</v>
      </c>
      <c r="M56" s="13">
        <f>+[15]Pricing_BEL!$L$51</f>
        <v>-535.63758174284806</v>
      </c>
      <c r="N56" s="32">
        <f>+[16]Pricing_BEL!$L$51</f>
        <v>-535.63758174284806</v>
      </c>
      <c r="O56" s="13">
        <f>+[17]Pricing_BEL!$L$51</f>
        <v>-535.63758174284806</v>
      </c>
      <c r="P56" s="13">
        <f>+[18]Pricing_BEL!$L$51</f>
        <v>-783.82853921882997</v>
      </c>
      <c r="Q56" s="32">
        <f>+[19]Pricing_BEL!$L$51</f>
        <v>-783.82853921882997</v>
      </c>
      <c r="R56" s="32">
        <f>+[20]Pricing_BEL!$L$51</f>
        <v>-783.82853921882997</v>
      </c>
      <c r="S56" s="70">
        <f>+[22]Pricing_BEL!$L$51</f>
        <v>-783.82853921882997</v>
      </c>
    </row>
    <row r="57" spans="1:37" hidden="1" outlineLevel="2" x14ac:dyDescent="0.25">
      <c r="A57" s="16" t="s">
        <v>54</v>
      </c>
      <c r="B57" s="13">
        <f>+[1]Pricing_BEL!$L$52</f>
        <v>-108.71119017222405</v>
      </c>
      <c r="C57" s="13">
        <f>+[5]Pricing_BEL!$L$52</f>
        <v>-108.71119017222405</v>
      </c>
      <c r="D57" s="32">
        <f>+[6]Pricing_BEL!$L$52</f>
        <v>-108.3669233012069</v>
      </c>
      <c r="E57" s="13">
        <f>+[7]Pricing_BEL!$L$52</f>
        <v>-108.3669233012069</v>
      </c>
      <c r="F57" s="13">
        <f>+[8]Pricing_BEL!$L$52</f>
        <v>-108.3669233012069</v>
      </c>
      <c r="G57" s="32">
        <f>+[9]Pricing_BEL!$L$52</f>
        <v>-122.74125710355435</v>
      </c>
      <c r="H57" s="13">
        <f>+[10]Pricing_BEL!$L$52</f>
        <v>-122.74125710355435</v>
      </c>
      <c r="I57" s="13">
        <f>+[11]Pricing_BEL!$L$52</f>
        <v>-122.74125710355435</v>
      </c>
      <c r="J57" s="32">
        <f>+[12]Pricing_BEL!$L$52</f>
        <v>-113.113168720899</v>
      </c>
      <c r="K57" s="13">
        <f>+[13]Pricing_BEL!$L$52</f>
        <v>-113.113168720899</v>
      </c>
      <c r="L57" s="13">
        <f>+[14]Pricing_BEL!$L$52</f>
        <v>-113.113168720899</v>
      </c>
      <c r="M57" s="13">
        <f>+[15]Pricing_BEL!$L$52</f>
        <v>-151.96654878024</v>
      </c>
      <c r="N57" s="32">
        <f>+[16]Pricing_BEL!$L$52</f>
        <v>-151.96654878024</v>
      </c>
      <c r="O57" s="13">
        <f>+[17]Pricing_BEL!$L$52</f>
        <v>-151.96654878024</v>
      </c>
      <c r="P57" s="13">
        <f>+[18]Pricing_BEL!$L$52</f>
        <v>-298.27026528754777</v>
      </c>
      <c r="Q57" s="32">
        <f>+[19]Pricing_BEL!$L$52</f>
        <v>-298.27026528754777</v>
      </c>
      <c r="R57" s="32">
        <f>+[20]Pricing_BEL!$L$52</f>
        <v>-298.27026528754777</v>
      </c>
      <c r="S57" s="70">
        <f>+[22]Pricing_BEL!$L$52</f>
        <v>-298.27026528754777</v>
      </c>
    </row>
    <row r="58" spans="1:37" hidden="1" outlineLevel="2" x14ac:dyDescent="0.25">
      <c r="A58" s="16" t="s">
        <v>55</v>
      </c>
      <c r="B58" s="13">
        <f>+[1]Pricing_BEL!$L$53</f>
        <v>-41.184322737764781</v>
      </c>
      <c r="C58" s="13">
        <f>+[5]Pricing_BEL!$L$53</f>
        <v>-41.184322737764781</v>
      </c>
      <c r="D58" s="32">
        <f>+[6]Pricing_BEL!$L$53</f>
        <v>-39.986952229971827</v>
      </c>
      <c r="E58" s="13">
        <f>+[7]Pricing_BEL!$L$53</f>
        <v>-39.986952229971827</v>
      </c>
      <c r="F58" s="13">
        <f>+[8]Pricing_BEL!$L$53</f>
        <v>-39.986952229971827</v>
      </c>
      <c r="G58" s="32">
        <f>+[9]Pricing_BEL!$L$53</f>
        <v>-43.200758370612327</v>
      </c>
      <c r="H58" s="13">
        <f>+[10]Pricing_BEL!$L$53</f>
        <v>-43.200758370612327</v>
      </c>
      <c r="I58" s="13">
        <f>+[11]Pricing_BEL!$L$53</f>
        <v>-43.200758370612327</v>
      </c>
      <c r="J58" s="32">
        <f>+[12]Pricing_BEL!$L$53</f>
        <v>-38.976195360878997</v>
      </c>
      <c r="K58" s="13">
        <f>+[13]Pricing_BEL!$L$53</f>
        <v>-38.976195360878997</v>
      </c>
      <c r="L58" s="13">
        <f>+[14]Pricing_BEL!$L$53</f>
        <v>-38.976195360878997</v>
      </c>
      <c r="M58" s="13">
        <f>+[15]Pricing_BEL!$L$53</f>
        <v>-4.64558014967246</v>
      </c>
      <c r="N58" s="32">
        <f>+[16]Pricing_BEL!$L$53</f>
        <v>-4.64558014967246</v>
      </c>
      <c r="O58" s="13">
        <f>+[17]Pricing_BEL!$L$53</f>
        <v>-4.64558014967246</v>
      </c>
      <c r="P58" s="13">
        <f>+[18]Pricing_BEL!$L$53</f>
        <v>-62.287026525971783</v>
      </c>
      <c r="Q58" s="32">
        <f>+[19]Pricing_BEL!$L$53</f>
        <v>-62.287026525971783</v>
      </c>
      <c r="R58" s="32">
        <f>+[20]Pricing_BEL!$L$53</f>
        <v>-62.287026525971783</v>
      </c>
      <c r="S58" s="70">
        <f>+[22]Pricing_BEL!$L$53</f>
        <v>-62.287026525971783</v>
      </c>
    </row>
    <row r="59" spans="1:37" hidden="1" outlineLevel="2" x14ac:dyDescent="0.25">
      <c r="A59" s="16" t="s">
        <v>56</v>
      </c>
      <c r="B59" s="13">
        <f>+[1]Pricing_BEL!$L$54</f>
        <v>-11.016512418472226</v>
      </c>
      <c r="C59" s="13">
        <f>+[5]Pricing_BEL!$L$54</f>
        <v>-11.016512418472226</v>
      </c>
      <c r="D59" s="32">
        <f>+[6]Pricing_BEL!$L$54</f>
        <v>-9.9802857346089286</v>
      </c>
      <c r="E59" s="13">
        <f>+[7]Pricing_BEL!$L$54</f>
        <v>-9.9802857346089286</v>
      </c>
      <c r="F59" s="13">
        <f>+[8]Pricing_BEL!$L$54</f>
        <v>-9.9802857346089286</v>
      </c>
      <c r="G59" s="32">
        <f>+[9]Pricing_BEL!$L$54</f>
        <v>-11.36844671892011</v>
      </c>
      <c r="H59" s="13">
        <f>+[10]Pricing_BEL!$L$54</f>
        <v>-11.36844671892011</v>
      </c>
      <c r="I59" s="13">
        <f>+[11]Pricing_BEL!$L$54</f>
        <v>-11.36844671892011</v>
      </c>
      <c r="J59" s="32">
        <f>+[12]Pricing_BEL!$L$54</f>
        <v>-10.161319506247931</v>
      </c>
      <c r="K59" s="13">
        <f>+[13]Pricing_BEL!$L$54</f>
        <v>-10.161319506247931</v>
      </c>
      <c r="L59" s="13">
        <f>+[14]Pricing_BEL!$L$54</f>
        <v>-10.161319506247931</v>
      </c>
      <c r="M59" s="13">
        <f>+[15]Pricing_BEL!$L$54</f>
        <v>9.6622135507758895E-3</v>
      </c>
      <c r="N59" s="32">
        <f>+[16]Pricing_BEL!$L$54</f>
        <v>9.6622135507758895E-3</v>
      </c>
      <c r="O59" s="13">
        <f>+[17]Pricing_BEL!$L$54</f>
        <v>9.6622135507758895E-3</v>
      </c>
      <c r="P59" s="13">
        <f>+[18]Pricing_BEL!$L$54</f>
        <v>9.7051567221127198E-3</v>
      </c>
      <c r="Q59" s="32">
        <f>+[19]Pricing_BEL!$L$54</f>
        <v>9.7051567221127198E-3</v>
      </c>
      <c r="R59" s="32">
        <f>+[20]Pricing_BEL!$L$54</f>
        <v>9.7051567221127198E-3</v>
      </c>
      <c r="S59" s="70">
        <f>+[22]Pricing_BEL!$L$54</f>
        <v>9.7051567221127198E-3</v>
      </c>
    </row>
    <row r="60" spans="1:37" collapsed="1" x14ac:dyDescent="0.25">
      <c r="A60" s="12" t="s">
        <v>57</v>
      </c>
      <c r="B60" s="13">
        <f>+SUM([1]Result!$C$5:$C$54)</f>
        <v>-978171986.96353614</v>
      </c>
      <c r="C60" s="13">
        <f>+SUM([5]Result!$C$5:$C$54)</f>
        <v>-981200429.49091113</v>
      </c>
      <c r="D60" s="32">
        <f>+SUM([6]Result!$C$5:$C$54)</f>
        <v>-1011413882.4312611</v>
      </c>
      <c r="E60" s="13">
        <f>+SUM([7]Result!$C$5:$C$54)</f>
        <v>-1018258463.2114347</v>
      </c>
      <c r="F60" s="13">
        <f>+SUM([8]Result!$C$5:$C$54)</f>
        <v>-1016355020.9103098</v>
      </c>
      <c r="G60" s="32">
        <f>+SUM([9]Result!$C$5:$C$54)</f>
        <v>-983378546.93547118</v>
      </c>
      <c r="H60" s="13">
        <f>+SUM([10]Result!$C$5:$C$54)</f>
        <v>-981155540.74945152</v>
      </c>
      <c r="I60" s="13">
        <f>+SUM([11]Result!$C$5:$C$54)</f>
        <v>-981579726.14440536</v>
      </c>
      <c r="J60" s="32">
        <f>+SUM([12]Result!$C$5:$C$54)</f>
        <v>-983392715.7042501</v>
      </c>
      <c r="K60" s="13">
        <f>+SUM([13]Result!$C$5:$C$54)</f>
        <v>-984206589.0158757</v>
      </c>
      <c r="L60" s="13">
        <f>+SUM([14]Result!$C$5:$C$54)</f>
        <v>-981958764.92923605</v>
      </c>
      <c r="M60" s="32">
        <f>+SUM([15]Result!$C$5:$C$54)</f>
        <v>-881289719.75995088</v>
      </c>
      <c r="N60" s="13">
        <f>+SUM([16]Result!$C$5:$C$54)</f>
        <v>-882348695.37794352</v>
      </c>
      <c r="O60" s="13">
        <f>+SUM([17]Result!$C$5:$C$54)</f>
        <v>-885416131.99693823</v>
      </c>
      <c r="P60" s="32">
        <f>+SUM([18]Result!$C$5:$C$54)</f>
        <v>-982271484.82752299</v>
      </c>
      <c r="Q60" s="13">
        <f>+SUM([19]Result!$C$5:$C$54)</f>
        <v>-981689679.28960884</v>
      </c>
      <c r="R60" s="13">
        <f>+SUM([20]Result!$C$5:$C$54)</f>
        <v>-983904050.97356451</v>
      </c>
      <c r="S60" s="70">
        <f>+SUM([22]Result!$C$5:$C$54)</f>
        <v>-984778501.40283179</v>
      </c>
      <c r="T60" s="13">
        <f>+B60-(B61+B67+B73+B84+B95)</f>
        <v>0</v>
      </c>
      <c r="U60" s="13">
        <f t="shared" ref="U60:W60" si="42">+C60-(C61+C67+C73+C84+C95)</f>
        <v>0</v>
      </c>
      <c r="V60" s="13">
        <f t="shared" si="42"/>
        <v>0</v>
      </c>
      <c r="W60" s="13">
        <f t="shared" si="42"/>
        <v>0</v>
      </c>
      <c r="X60" s="13">
        <f t="shared" ref="X60" si="43">+F60-(F61+F67+F73+F84+F95)</f>
        <v>0</v>
      </c>
      <c r="Y60" s="13">
        <f t="shared" ref="Y60:AE60" si="44">+G60-(G61+G67+G73+G84+G95)</f>
        <v>0</v>
      </c>
      <c r="Z60" s="13">
        <f t="shared" si="44"/>
        <v>0</v>
      </c>
      <c r="AA60" s="13">
        <f t="shared" si="44"/>
        <v>0</v>
      </c>
      <c r="AB60" s="13">
        <f t="shared" si="44"/>
        <v>0</v>
      </c>
      <c r="AC60" s="13">
        <f t="shared" si="44"/>
        <v>0</v>
      </c>
      <c r="AD60" s="13">
        <f t="shared" si="44"/>
        <v>0</v>
      </c>
      <c r="AE60" s="13">
        <f t="shared" si="44"/>
        <v>0</v>
      </c>
      <c r="AF60" s="13">
        <f t="shared" ref="AF60" si="45">+N60-(N61+N67+N73+N84+N95)</f>
        <v>0</v>
      </c>
      <c r="AG60" s="13">
        <f t="shared" ref="AG60:AH60" si="46">+O60-(O61+O67+O73+O84+O95)</f>
        <v>0</v>
      </c>
      <c r="AH60" s="13">
        <f t="shared" si="46"/>
        <v>0</v>
      </c>
      <c r="AI60" s="13">
        <f t="shared" ref="AI60" si="47">+Q60-(Q61+Q67+Q73+Q84+Q95)</f>
        <v>0</v>
      </c>
      <c r="AJ60" s="13">
        <f t="shared" ref="AJ60:AK60" si="48">+R60-(R61+R67+R73+R84+R95)</f>
        <v>0</v>
      </c>
      <c r="AK60" s="13">
        <f t="shared" si="48"/>
        <v>0</v>
      </c>
    </row>
    <row r="61" spans="1:37" hidden="1" outlineLevel="1" x14ac:dyDescent="0.25">
      <c r="A61" s="15" t="s">
        <v>2</v>
      </c>
      <c r="B61" s="13" cm="1">
        <f t="array" ref="B61">+[1]!PV_1_5</f>
        <v>-822605303.34840965</v>
      </c>
      <c r="C61" s="13" cm="1">
        <f t="array" ref="C61">+[5]!PV_1_5</f>
        <v>-824185048.74982357</v>
      </c>
      <c r="D61" s="32" cm="1">
        <f t="array" ref="D61">+[6]!PV_1_5</f>
        <v>-865398320.5344981</v>
      </c>
      <c r="E61" s="13" cm="1">
        <f t="array" ref="E61">+[7]!PV_1_5</f>
        <v>-869000150.87221885</v>
      </c>
      <c r="F61" s="13" cm="1">
        <f t="array" ref="F61">+[8]!PV_1_5</f>
        <v>-868395669.07064998</v>
      </c>
      <c r="G61" s="32" cm="1">
        <f t="array" ref="G61">+[9]!PV_1_5</f>
        <v>-836248778.02859414</v>
      </c>
      <c r="H61" s="13" cm="1">
        <f t="array" ref="H61">+[10]!PV_1_5</f>
        <v>-835138260.36864519</v>
      </c>
      <c r="I61" s="13" cm="1">
        <f t="array" ref="I61">+[11]!PV_1_5</f>
        <v>-835601513.55952179</v>
      </c>
      <c r="J61" s="32" cm="1">
        <f t="array" ref="J61">+[12]!PV_1_5</f>
        <v>-836430509.85940611</v>
      </c>
      <c r="K61" s="13" cm="1">
        <f t="array" ref="K61">+[13]!PV_1_5</f>
        <v>-836780542.51725864</v>
      </c>
      <c r="L61" s="13" cm="1">
        <f t="array" ref="L61">+[14]!PV_1_5</f>
        <v>-836237930.40588617</v>
      </c>
      <c r="M61" s="13" cm="1">
        <f t="array" ref="M61">+[15]!PV_1_5</f>
        <v>-769148468.30536473</v>
      </c>
      <c r="N61" s="32" cm="1">
        <f t="array" ref="N61">+[16]!PV_1_5</f>
        <v>-769559428.513726</v>
      </c>
      <c r="O61" s="13" cm="1">
        <f t="array" ref="O61">+[17]!PV_1_5</f>
        <v>-770579148.96571839</v>
      </c>
      <c r="P61" s="13" cm="1">
        <f t="array" ref="P61">+[18]!PV_1_5</f>
        <v>-864259543.2505672</v>
      </c>
      <c r="Q61" s="32" cm="1">
        <f t="array" ref="Q61">+[19]!PV_1_5</f>
        <v>-863829394.23180449</v>
      </c>
      <c r="R61" s="32" cm="1">
        <f t="array" ref="R61">+[20]!PV_1_5</f>
        <v>-865186763.11524057</v>
      </c>
      <c r="S61" s="70" cm="1">
        <f t="array" ref="S61">+[22]!PV_1_5</f>
        <v>-865384127.39970374</v>
      </c>
      <c r="T61" s="13">
        <f>+B61-SUM(B62:B66)</f>
        <v>0</v>
      </c>
      <c r="U61" s="13">
        <f t="shared" ref="U61:W61" si="49">+C61-SUM(C62:C66)</f>
        <v>0</v>
      </c>
      <c r="V61" s="13">
        <f t="shared" si="49"/>
        <v>0</v>
      </c>
      <c r="W61" s="13">
        <f t="shared" si="49"/>
        <v>0</v>
      </c>
      <c r="X61" s="13">
        <f t="shared" ref="X61" si="50">+F61-SUM(F62:F66)</f>
        <v>0</v>
      </c>
      <c r="Y61" s="13">
        <f t="shared" ref="Y61:AE61" si="51">+G61-SUM(G62:G66)</f>
        <v>0</v>
      </c>
      <c r="Z61" s="13">
        <f t="shared" si="51"/>
        <v>0</v>
      </c>
      <c r="AA61" s="13">
        <f t="shared" si="51"/>
        <v>0</v>
      </c>
      <c r="AB61" s="13">
        <f t="shared" si="51"/>
        <v>0</v>
      </c>
      <c r="AC61" s="13">
        <f t="shared" si="51"/>
        <v>0</v>
      </c>
      <c r="AD61" s="13">
        <f t="shared" si="51"/>
        <v>0</v>
      </c>
      <c r="AE61" s="13">
        <f t="shared" si="51"/>
        <v>0</v>
      </c>
      <c r="AF61" s="13">
        <f t="shared" ref="AF61" si="52">+N61-SUM(N62:N66)</f>
        <v>0</v>
      </c>
      <c r="AG61" s="13">
        <f t="shared" ref="AG61:AH61" si="53">+O61-SUM(O62:O66)</f>
        <v>0</v>
      </c>
      <c r="AH61" s="13">
        <f t="shared" si="53"/>
        <v>0</v>
      </c>
      <c r="AI61" s="13">
        <f t="shared" ref="AI61" si="54">+Q61-SUM(Q62:Q66)</f>
        <v>0</v>
      </c>
      <c r="AJ61" s="13">
        <f t="shared" ref="AJ61:AK61" si="55">+R61-SUM(R62:R66)</f>
        <v>0</v>
      </c>
      <c r="AK61" s="13">
        <f t="shared" si="55"/>
        <v>0</v>
      </c>
    </row>
    <row r="62" spans="1:37" hidden="1" outlineLevel="2" x14ac:dyDescent="0.25">
      <c r="A62" s="16" t="s">
        <v>3</v>
      </c>
      <c r="B62" s="13">
        <f>+[1]Result!$C$5</f>
        <v>-406157627.42051959</v>
      </c>
      <c r="C62" s="13">
        <f>+[5]Result!$C$5</f>
        <v>-406460348.649409</v>
      </c>
      <c r="D62" s="32">
        <f>+[6]Result!$C$5</f>
        <v>-407456305.20932937</v>
      </c>
      <c r="E62" s="13">
        <f>+[7]Result!$C$5</f>
        <v>-408020287.7236163</v>
      </c>
      <c r="F62" s="13">
        <f>+[8]Result!$C$5</f>
        <v>-407988541.94369066</v>
      </c>
      <c r="G62" s="32">
        <f>+[9]Result!$C$5</f>
        <v>-370720587.77618015</v>
      </c>
      <c r="H62" s="13">
        <f>+[10]Result!$C$5</f>
        <v>-370598142.34710336</v>
      </c>
      <c r="I62" s="13">
        <f>+[11]Result!$C$5</f>
        <v>-370614338.98212355</v>
      </c>
      <c r="J62" s="32">
        <f>+[12]Result!$C$5</f>
        <v>-350739330.38610649</v>
      </c>
      <c r="K62" s="13">
        <f>+[13]Result!$C$5</f>
        <v>-350730822.25284928</v>
      </c>
      <c r="L62" s="13">
        <f>+[14]Result!$C$5</f>
        <v>-350710406.13495123</v>
      </c>
      <c r="M62" s="13">
        <f>+[15]Result!$C$5</f>
        <v>-328948610.65663356</v>
      </c>
      <c r="N62" s="32">
        <f>+[16]Result!$C$5</f>
        <v>-328953395.01492131</v>
      </c>
      <c r="O62" s="13">
        <f>+[17]Result!$C$5</f>
        <v>-328999658.31487298</v>
      </c>
      <c r="P62" s="13">
        <f>+[18]Result!$C$5</f>
        <v>-384229859.06355286</v>
      </c>
      <c r="Q62" s="32">
        <f>+[19]Result!$C$5</f>
        <v>-384095033.05874312</v>
      </c>
      <c r="R62" s="32">
        <f>+[20]Result!$C$5</f>
        <v>-384250191.94468641</v>
      </c>
      <c r="S62" s="70">
        <f>+[22]Result!$C$5</f>
        <v>-384257586.80068958</v>
      </c>
    </row>
    <row r="63" spans="1:37" hidden="1" outlineLevel="2" x14ac:dyDescent="0.25">
      <c r="A63" s="16" t="s">
        <v>4</v>
      </c>
      <c r="B63" s="13">
        <f>+[1]Result!$C$6</f>
        <v>-214342424.02024883</v>
      </c>
      <c r="C63" s="13">
        <f>+[5]Result!$C$6</f>
        <v>-214769900.22254267</v>
      </c>
      <c r="D63" s="32">
        <f>+[6]Result!$C$6</f>
        <v>-253850073.98798481</v>
      </c>
      <c r="E63" s="13">
        <f>+[7]Result!$C$6</f>
        <v>-254965386.93674061</v>
      </c>
      <c r="F63" s="13">
        <f>+[8]Result!$C$6</f>
        <v>-254808702.85593623</v>
      </c>
      <c r="G63" s="32">
        <f>+[9]Result!$C$6</f>
        <v>-260591402.3017914</v>
      </c>
      <c r="H63" s="13">
        <f>+[10]Result!$C$6</f>
        <v>-260255804.06464103</v>
      </c>
      <c r="I63" s="13">
        <f>+[11]Result!$C$6</f>
        <v>-260365970.13590339</v>
      </c>
      <c r="J63" s="32">
        <f>+[12]Result!$C$6</f>
        <v>-269509194.12749141</v>
      </c>
      <c r="K63" s="13">
        <f>+[13]Result!$C$6</f>
        <v>-269583570.81120718</v>
      </c>
      <c r="L63" s="13">
        <f>+[14]Result!$C$6</f>
        <v>-269455156.89439327</v>
      </c>
      <c r="M63" s="13">
        <f>+[15]Result!$C$6</f>
        <v>-246427794.61111838</v>
      </c>
      <c r="N63" s="32">
        <f>+[16]Result!$C$6</f>
        <v>-246514983.58079392</v>
      </c>
      <c r="O63" s="13">
        <f>+[17]Result!$C$6</f>
        <v>-246732060.12919298</v>
      </c>
      <c r="P63" s="13">
        <f>+[18]Result!$C$6</f>
        <v>-275784334.12786663</v>
      </c>
      <c r="Q63" s="32">
        <f>+[19]Result!$C$6</f>
        <v>-275542047.84299958</v>
      </c>
      <c r="R63" s="32">
        <f>+[20]Result!$C$6</f>
        <v>-275990211.47617483</v>
      </c>
      <c r="S63" s="70">
        <f>+[22]Result!$C$6</f>
        <v>-276046103.02543885</v>
      </c>
    </row>
    <row r="64" spans="1:37" hidden="1" outlineLevel="2" x14ac:dyDescent="0.25">
      <c r="A64" s="16" t="s">
        <v>5</v>
      </c>
      <c r="B64" s="13">
        <f>+[1]Result!$C$7</f>
        <v>-104531979.96334508</v>
      </c>
      <c r="C64" s="13">
        <f>+[5]Result!$C$7</f>
        <v>-104885840.65743843</v>
      </c>
      <c r="D64" s="32">
        <f>+[6]Result!$C$7</f>
        <v>-105565821.75520958</v>
      </c>
      <c r="E64" s="13">
        <f>+[7]Result!$C$7</f>
        <v>-106351266.2647834</v>
      </c>
      <c r="F64" s="13">
        <f>+[8]Result!$C$7</f>
        <v>-106195706.67872909</v>
      </c>
      <c r="G64" s="32">
        <f>+[9]Result!$C$7</f>
        <v>-105528194.18059124</v>
      </c>
      <c r="H64" s="13">
        <f>+[10]Result!$C$7</f>
        <v>-105261835.85019356</v>
      </c>
      <c r="I64" s="13">
        <f>+[11]Result!$C$7</f>
        <v>-105392868.39997682</v>
      </c>
      <c r="J64" s="32">
        <f>+[12]Result!$C$7</f>
        <v>-113593171.50073127</v>
      </c>
      <c r="K64" s="13">
        <f>+[13]Result!$C$7</f>
        <v>-113695754.43948658</v>
      </c>
      <c r="L64" s="13">
        <f>+[14]Result!$C$7</f>
        <v>-113561528.59903578</v>
      </c>
      <c r="M64" s="13">
        <f>+[15]Result!$C$7</f>
        <v>-104794757.63488789</v>
      </c>
      <c r="N64" s="32">
        <f>+[16]Result!$C$7</f>
        <v>-104917729.90969402</v>
      </c>
      <c r="O64" s="13">
        <f>+[17]Result!$C$7</f>
        <v>-105175202.35858084</v>
      </c>
      <c r="P64" s="13">
        <f>+[18]Result!$C$7</f>
        <v>-110835788.91125928</v>
      </c>
      <c r="Q64" s="32">
        <f>+[19]Result!$C$7</f>
        <v>-110773549.22878297</v>
      </c>
      <c r="R64" s="32">
        <f>+[20]Result!$C$7</f>
        <v>-111109771.74229099</v>
      </c>
      <c r="S64" s="70">
        <f>+[22]Result!$C$7</f>
        <v>-111149855.07895122</v>
      </c>
    </row>
    <row r="65" spans="1:37" hidden="1" outlineLevel="2" x14ac:dyDescent="0.25">
      <c r="A65" s="16" t="s">
        <v>6</v>
      </c>
      <c r="B65" s="13">
        <f>+[1]Result!$C$8</f>
        <v>-57099478.882479854</v>
      </c>
      <c r="C65" s="13">
        <f>+[5]Result!$C$8</f>
        <v>-57364379.304232955</v>
      </c>
      <c r="D65" s="32">
        <f>+[6]Result!$C$8</f>
        <v>-58380546.355761454</v>
      </c>
      <c r="E65" s="13">
        <f>+[7]Result!$C$8</f>
        <v>-58984184.081899561</v>
      </c>
      <c r="F65" s="13">
        <f>+[8]Result!$C$8</f>
        <v>-58848943.098917149</v>
      </c>
      <c r="G65" s="32">
        <f>+[9]Result!$C$8</f>
        <v>-58815075.16132959</v>
      </c>
      <c r="H65" s="13">
        <f>+[10]Result!$C$8</f>
        <v>-58606910.374663688</v>
      </c>
      <c r="I65" s="13">
        <f>+[11]Result!$C$8</f>
        <v>-58720788.467526004</v>
      </c>
      <c r="J65" s="32">
        <f>+[12]Result!$C$8</f>
        <v>-61206229.188557744</v>
      </c>
      <c r="K65" s="13">
        <f>+[13]Result!$C$8</f>
        <v>-61299226.278193384</v>
      </c>
      <c r="L65" s="13">
        <f>+[14]Result!$C$8</f>
        <v>-61173756.419615656</v>
      </c>
      <c r="M65" s="13">
        <f>+[15]Result!$C$8</f>
        <v>-54217961.667858906</v>
      </c>
      <c r="N65" s="32">
        <f>+[16]Result!$C$8</f>
        <v>-54323585.55225008</v>
      </c>
      <c r="O65" s="13">
        <f>+[17]Result!$C$8</f>
        <v>-54576043.992379658</v>
      </c>
      <c r="P65" s="13">
        <f>+[18]Result!$C$8</f>
        <v>-56638860.171294563</v>
      </c>
      <c r="Q65" s="32">
        <f>+[19]Result!$C$8</f>
        <v>-56643707.540274344</v>
      </c>
      <c r="R65" s="32">
        <f>+[20]Result!$C$8</f>
        <v>-56875495.342311338</v>
      </c>
      <c r="S65" s="70">
        <f>+[22]Result!$C$8</f>
        <v>-56914058.841264881</v>
      </c>
    </row>
    <row r="66" spans="1:37" hidden="1" outlineLevel="2" x14ac:dyDescent="0.25">
      <c r="A66" s="16" t="s">
        <v>7</v>
      </c>
      <c r="B66" s="13">
        <f>+[1]Result!$C$9</f>
        <v>-40473793.06181626</v>
      </c>
      <c r="C66" s="13">
        <f>+[5]Result!$C$9</f>
        <v>-40704579.916200504</v>
      </c>
      <c r="D66" s="32">
        <f>+[6]Result!$C$9</f>
        <v>-40145573.226212926</v>
      </c>
      <c r="E66" s="13">
        <f>+[7]Result!$C$9</f>
        <v>-40679025.865179092</v>
      </c>
      <c r="F66" s="13">
        <f>+[8]Result!$C$9</f>
        <v>-40553774.493376926</v>
      </c>
      <c r="G66" s="32">
        <f>+[9]Result!$C$9</f>
        <v>-40593518.608701654</v>
      </c>
      <c r="H66" s="13">
        <f>+[10]Result!$C$9</f>
        <v>-40415567.732043639</v>
      </c>
      <c r="I66" s="13">
        <f>+[11]Result!$C$9</f>
        <v>-40507547.573992021</v>
      </c>
      <c r="J66" s="32">
        <f>+[12]Result!$C$9</f>
        <v>-41382584.656519152</v>
      </c>
      <c r="K66" s="13">
        <f>+[13]Result!$C$9</f>
        <v>-41471168.73552224</v>
      </c>
      <c r="L66" s="13">
        <f>+[14]Result!$C$9</f>
        <v>-41337082.3578903</v>
      </c>
      <c r="M66" s="13">
        <f>+[15]Result!$C$9</f>
        <v>-34759343.734865889</v>
      </c>
      <c r="N66" s="32">
        <f>+[16]Result!$C$9</f>
        <v>-34849734.45606669</v>
      </c>
      <c r="O66" s="13">
        <f>+[17]Result!$C$9</f>
        <v>-35096184.170691967</v>
      </c>
      <c r="P66" s="13">
        <f>+[18]Result!$C$9</f>
        <v>-36770700.976593815</v>
      </c>
      <c r="Q66" s="32">
        <f>+[19]Result!$C$9</f>
        <v>-36775056.561004363</v>
      </c>
      <c r="R66" s="32">
        <f>+[20]Result!$C$9</f>
        <v>-36961092.609776989</v>
      </c>
      <c r="S66" s="70">
        <f>+[22]Result!$C$9</f>
        <v>-37016523.653359197</v>
      </c>
    </row>
    <row r="67" spans="1:37" hidden="1" outlineLevel="1" x14ac:dyDescent="0.25">
      <c r="A67" s="15" t="s">
        <v>8</v>
      </c>
      <c r="B67" s="13" cm="1">
        <f t="array" ref="B67">+[1]!PV_6_10</f>
        <v>-101128907.86610332</v>
      </c>
      <c r="C67" s="13" cm="1">
        <f t="array" ref="C67">+[5]!PV_6_10</f>
        <v>-101918579.08596408</v>
      </c>
      <c r="D67" s="32" cm="1">
        <f t="array" ref="D67">+[6]!PV_6_10</f>
        <v>-97596835.402849719</v>
      </c>
      <c r="E67" s="13" cm="1">
        <f t="array" ref="E67">+[7]!PV_6_10</f>
        <v>-99386523.101632982</v>
      </c>
      <c r="F67" s="13" cm="1">
        <f t="array" ref="F67">+[8]!PV_6_10</f>
        <v>-98890163.214597732</v>
      </c>
      <c r="G67" s="32" cm="1">
        <f t="array" ref="G67">+[9]!PV_6_10</f>
        <v>-98912486.66653809</v>
      </c>
      <c r="H67" s="13" cm="1">
        <f t="array" ref="H67">+[10]!PV_6_10</f>
        <v>-98340399.846246138</v>
      </c>
      <c r="I67" s="13" cm="1">
        <f t="array" ref="I67">+[11]!PV_6_10</f>
        <v>-98554744.22026138</v>
      </c>
      <c r="J67" s="32" cm="1">
        <f t="array" ref="J67">+[12]!PV_6_10</f>
        <v>-98754847.848336682</v>
      </c>
      <c r="K67" s="13" cm="1">
        <f t="array" ref="K67">+[13]!PV_6_10</f>
        <v>-99064851.590113238</v>
      </c>
      <c r="L67" s="13" cm="1">
        <f t="array" ref="L67">+[14]!PV_6_10</f>
        <v>-98393620.446320489</v>
      </c>
      <c r="M67" s="13" cm="1">
        <f t="array" ref="M67">+[15]!PV_6_10</f>
        <v>-77539661.523402929</v>
      </c>
      <c r="N67" s="32" cm="1">
        <f t="array" ref="N67">+[16]!PV_6_10</f>
        <v>-77866190.281300753</v>
      </c>
      <c r="O67" s="13" cm="1">
        <f t="array" ref="O67">+[17]!PV_6_10</f>
        <v>-78856380.559076548</v>
      </c>
      <c r="P67" s="13" cm="1">
        <f t="array" ref="P67">+[18]!PV_6_10</f>
        <v>-81762932.41335921</v>
      </c>
      <c r="Q67" s="32" cm="1">
        <f t="array" ref="Q67">+[19]!PV_6_10</f>
        <v>-81743154.88671279</v>
      </c>
      <c r="R67" s="32" cm="1">
        <f t="array" ref="R67">+[20]!PV_6_10</f>
        <v>-82329484.839519575</v>
      </c>
      <c r="S67" s="70" cm="1">
        <f t="array" ref="S67">+[22]!PV_6_10</f>
        <v>-82614140.266386926</v>
      </c>
      <c r="T67" s="13">
        <f>+B67-SUM(B68:B72)</f>
        <v>0</v>
      </c>
      <c r="U67" s="13">
        <f t="shared" ref="U67:W67" si="56">+C67-SUM(C68:C72)</f>
        <v>0</v>
      </c>
      <c r="V67" s="13">
        <f t="shared" si="56"/>
        <v>0</v>
      </c>
      <c r="W67" s="13">
        <f t="shared" si="56"/>
        <v>0</v>
      </c>
      <c r="X67" s="13">
        <f t="shared" ref="X67" si="57">+F67-SUM(F68:F72)</f>
        <v>0</v>
      </c>
      <c r="Y67" s="13">
        <f t="shared" ref="Y67:AE67" si="58">+G67-SUM(G68:G72)</f>
        <v>0</v>
      </c>
      <c r="Z67" s="13">
        <f t="shared" si="58"/>
        <v>0</v>
      </c>
      <c r="AA67" s="13">
        <f t="shared" si="58"/>
        <v>0</v>
      </c>
      <c r="AB67" s="13">
        <f t="shared" si="58"/>
        <v>0</v>
      </c>
      <c r="AC67" s="13">
        <f t="shared" si="58"/>
        <v>0</v>
      </c>
      <c r="AD67" s="13">
        <f t="shared" si="58"/>
        <v>0</v>
      </c>
      <c r="AE67" s="13">
        <f t="shared" si="58"/>
        <v>0</v>
      </c>
      <c r="AF67" s="13">
        <f t="shared" ref="AF67" si="59">+N67-SUM(N68:N72)</f>
        <v>0</v>
      </c>
      <c r="AG67" s="13">
        <f t="shared" ref="AG67:AH67" si="60">+O67-SUM(O68:O72)</f>
        <v>0</v>
      </c>
      <c r="AH67" s="13">
        <f t="shared" si="60"/>
        <v>0</v>
      </c>
      <c r="AI67" s="13">
        <f t="shared" ref="AI67" si="61">+Q67-SUM(Q68:Q72)</f>
        <v>0</v>
      </c>
      <c r="AJ67" s="13">
        <f t="shared" ref="AJ67:AK67" si="62">+R67-SUM(R68:R72)</f>
        <v>0</v>
      </c>
      <c r="AK67" s="13">
        <f t="shared" si="62"/>
        <v>0</v>
      </c>
    </row>
    <row r="68" spans="1:37" hidden="1" outlineLevel="2" x14ac:dyDescent="0.25">
      <c r="A68" s="16" t="s">
        <v>9</v>
      </c>
      <c r="B68" s="13">
        <f>+[1]Result!$C$10</f>
        <v>-31334600.843931548</v>
      </c>
      <c r="C68" s="13">
        <f>+[5]Result!$C$10</f>
        <v>-31551581.315808576</v>
      </c>
      <c r="D68" s="32">
        <f>+[6]Result!$C$10</f>
        <v>-30710093.721975312</v>
      </c>
      <c r="E68" s="13">
        <f>+[7]Result!$C$10</f>
        <v>-31196670.094101746</v>
      </c>
      <c r="F68" s="13">
        <f>+[8]Result!$C$10</f>
        <v>-31077576.048749566</v>
      </c>
      <c r="G68" s="32">
        <f>+[9]Result!$C$10</f>
        <v>-30964354.156462595</v>
      </c>
      <c r="H68" s="13">
        <f>+[10]Result!$C$10</f>
        <v>-30806358.863499515</v>
      </c>
      <c r="I68" s="13">
        <f>+[11]Result!$C$10</f>
        <v>-30882173.297670413</v>
      </c>
      <c r="J68" s="32">
        <f>+[12]Result!$C$10</f>
        <v>-31094481.820361163</v>
      </c>
      <c r="K68" s="13">
        <f>+[13]Result!$C$10</f>
        <v>-31178079.073664788</v>
      </c>
      <c r="L68" s="13">
        <f>+[14]Result!$C$10</f>
        <v>-31032791.374937251</v>
      </c>
      <c r="M68" s="13">
        <f>+[15]Result!$C$10</f>
        <v>-25619215.631909054</v>
      </c>
      <c r="N68" s="32">
        <f>+[16]Result!$C$10</f>
        <v>-25703101.627607416</v>
      </c>
      <c r="O68" s="13">
        <f>+[17]Result!$C$10</f>
        <v>-25945473.292213604</v>
      </c>
      <c r="P68" s="13">
        <f>+[18]Result!$C$10</f>
        <v>-26897902.109670643</v>
      </c>
      <c r="Q68" s="32">
        <f>+[19]Result!$C$10</f>
        <v>-26897128.857119765</v>
      </c>
      <c r="R68" s="32">
        <f>+[20]Result!$C$10</f>
        <v>-27059994.741257921</v>
      </c>
      <c r="S68" s="70">
        <f>+[22]Result!$C$10</f>
        <v>-27124106.698636893</v>
      </c>
    </row>
    <row r="69" spans="1:37" hidden="1" outlineLevel="2" x14ac:dyDescent="0.25">
      <c r="A69" s="16" t="s">
        <v>10</v>
      </c>
      <c r="B69" s="13">
        <f>+[1]Result!$C$11</f>
        <v>-24121279.795468491</v>
      </c>
      <c r="C69" s="13">
        <f>+[5]Result!$C$11</f>
        <v>-24303703.492700286</v>
      </c>
      <c r="D69" s="32">
        <f>+[6]Result!$C$11</f>
        <v>-23538600.609099794</v>
      </c>
      <c r="E69" s="13">
        <f>+[7]Result!$C$11</f>
        <v>-23956179.3367645</v>
      </c>
      <c r="F69" s="13">
        <f>+[8]Result!$C$11</f>
        <v>-23847611.012576174</v>
      </c>
      <c r="G69" s="32">
        <f>+[9]Result!$C$11</f>
        <v>-23864838.140046805</v>
      </c>
      <c r="H69" s="13">
        <f>+[10]Result!$C$11</f>
        <v>-23733141.736575015</v>
      </c>
      <c r="I69" s="13">
        <f>+[11]Result!$C$11</f>
        <v>-23791548.064097878</v>
      </c>
      <c r="J69" s="32">
        <f>+[12]Result!$C$11</f>
        <v>-23886004.749120846</v>
      </c>
      <c r="K69" s="13">
        <f>+[13]Result!$C$11</f>
        <v>-23958645.985593263</v>
      </c>
      <c r="L69" s="13">
        <f>+[14]Result!$C$11</f>
        <v>-23813760.033850651</v>
      </c>
      <c r="M69" s="13">
        <f>+[15]Result!$C$11</f>
        <v>-19261291.243350249</v>
      </c>
      <c r="N69" s="32">
        <f>+[16]Result!$C$11</f>
        <v>-19338395.32089857</v>
      </c>
      <c r="O69" s="13">
        <f>+[17]Result!$C$11</f>
        <v>-19566173.054746602</v>
      </c>
      <c r="P69" s="13">
        <f>+[18]Result!$C$11</f>
        <v>-20326111.944867536</v>
      </c>
      <c r="Q69" s="32">
        <f>+[19]Result!$C$11</f>
        <v>-20324147.699400343</v>
      </c>
      <c r="R69" s="32">
        <f>+[20]Result!$C$11</f>
        <v>-20465697.322464734</v>
      </c>
      <c r="S69" s="70">
        <f>+[22]Result!$C$11</f>
        <v>-20527972.944714189</v>
      </c>
    </row>
    <row r="70" spans="1:37" hidden="1" outlineLevel="2" x14ac:dyDescent="0.25">
      <c r="A70" s="16" t="s">
        <v>11</v>
      </c>
      <c r="B70" s="13">
        <f>+[1]Result!$C$12</f>
        <v>-18751822.072159898</v>
      </c>
      <c r="C70" s="13">
        <f>+[5]Result!$C$12</f>
        <v>-18900604.606831633</v>
      </c>
      <c r="D70" s="32">
        <f>+[6]Result!$C$12</f>
        <v>-18178263.17677144</v>
      </c>
      <c r="E70" s="13">
        <f>+[7]Result!$C$12</f>
        <v>-18529863.37190662</v>
      </c>
      <c r="F70" s="13">
        <f>+[8]Result!$C$12</f>
        <v>-18431558.476244681</v>
      </c>
      <c r="G70" s="32">
        <f>+[9]Result!$C$12</f>
        <v>-18508641.194475058</v>
      </c>
      <c r="H70" s="13">
        <f>+[10]Result!$C$12</f>
        <v>-18399416.489268858</v>
      </c>
      <c r="I70" s="13">
        <f>+[11]Result!$C$12</f>
        <v>-18440906.007074829</v>
      </c>
      <c r="J70" s="32">
        <f>+[12]Result!$C$12</f>
        <v>-18483219.444327764</v>
      </c>
      <c r="K70" s="13">
        <f>+[13]Result!$C$12</f>
        <v>-18544088.3759523</v>
      </c>
      <c r="L70" s="13">
        <f>+[14]Result!$C$12</f>
        <v>-18407424.035900567</v>
      </c>
      <c r="M70" s="13">
        <f>+[15]Result!$C$12</f>
        <v>-14558980.710281555</v>
      </c>
      <c r="N70" s="32">
        <f>+[16]Result!$C$12</f>
        <v>-14627088.199036298</v>
      </c>
      <c r="O70" s="13">
        <f>+[17]Result!$C$12</f>
        <v>-14832787.177479714</v>
      </c>
      <c r="P70" s="13">
        <f>+[18]Result!$C$12</f>
        <v>-15368219.503612306</v>
      </c>
      <c r="Q70" s="32">
        <f>+[19]Result!$C$12</f>
        <v>-15363629.998778537</v>
      </c>
      <c r="R70" s="32">
        <f>+[20]Result!$C$12</f>
        <v>-15483817.120307699</v>
      </c>
      <c r="S70" s="70">
        <f>+[22]Result!$C$12</f>
        <v>-15541622.634386988</v>
      </c>
    </row>
    <row r="71" spans="1:37" hidden="1" outlineLevel="2" x14ac:dyDescent="0.25">
      <c r="A71" s="16" t="s">
        <v>12</v>
      </c>
      <c r="B71" s="13">
        <f>+[1]Result!$C$13</f>
        <v>-14602667.511427339</v>
      </c>
      <c r="C71" s="13">
        <f>+[5]Result!$C$13</f>
        <v>-14724272.025630783</v>
      </c>
      <c r="D71" s="32">
        <f>+[6]Result!$C$13</f>
        <v>-13578116.42511081</v>
      </c>
      <c r="E71" s="13">
        <f>+[7]Result!$C$13</f>
        <v>-13860560.027828779</v>
      </c>
      <c r="F71" s="13">
        <f>+[8]Result!$C$13</f>
        <v>-13774478.163747534</v>
      </c>
      <c r="G71" s="32">
        <f>+[9]Result!$C$13</f>
        <v>-13721349.057034651</v>
      </c>
      <c r="H71" s="13">
        <f>+[10]Result!$C$13</f>
        <v>-13634756.153772444</v>
      </c>
      <c r="I71" s="13">
        <f>+[11]Result!$C$13</f>
        <v>-13659385.269172125</v>
      </c>
      <c r="J71" s="32">
        <f>+[12]Result!$C$13</f>
        <v>-13618501.844860042</v>
      </c>
      <c r="K71" s="13">
        <f>+[13]Result!$C$13</f>
        <v>-13667058.739564016</v>
      </c>
      <c r="L71" s="13">
        <f>+[14]Result!$C$13</f>
        <v>-13546907.273305647</v>
      </c>
      <c r="M71" s="13">
        <f>+[15]Result!$C$13</f>
        <v>-10608833.487724511</v>
      </c>
      <c r="N71" s="32">
        <f>+[16]Result!$C$13</f>
        <v>-10662847.411999509</v>
      </c>
      <c r="O71" s="13">
        <f>+[17]Result!$C$13</f>
        <v>-10836885.856788365</v>
      </c>
      <c r="P71" s="13">
        <f>+[18]Result!$C$13</f>
        <v>-11218628.881615886</v>
      </c>
      <c r="Q71" s="32">
        <f>+[19]Result!$C$13</f>
        <v>-11214041.076259535</v>
      </c>
      <c r="R71" s="32">
        <f>+[20]Result!$C$13</f>
        <v>-11308214.205481408</v>
      </c>
      <c r="S71" s="70">
        <f>+[22]Result!$C$13</f>
        <v>-11362730.521121711</v>
      </c>
    </row>
    <row r="72" spans="1:37" hidden="1" outlineLevel="2" x14ac:dyDescent="0.25">
      <c r="A72" s="16" t="s">
        <v>13</v>
      </c>
      <c r="B72" s="13">
        <f>+[1]Result!$C$14</f>
        <v>-12318537.643116049</v>
      </c>
      <c r="C72" s="13">
        <f>+[5]Result!$C$14</f>
        <v>-12438417.644992815</v>
      </c>
      <c r="D72" s="32">
        <f>+[6]Result!$C$14</f>
        <v>-11591761.469892373</v>
      </c>
      <c r="E72" s="13">
        <f>+[7]Result!$C$14</f>
        <v>-11843250.271031342</v>
      </c>
      <c r="F72" s="13">
        <f>+[8]Result!$C$14</f>
        <v>-11758939.513279777</v>
      </c>
      <c r="G72" s="32">
        <f>+[9]Result!$C$14</f>
        <v>-11853304.118518984</v>
      </c>
      <c r="H72" s="13">
        <f>+[10]Result!$C$14</f>
        <v>-11766726.603130316</v>
      </c>
      <c r="I72" s="13">
        <f>+[11]Result!$C$14</f>
        <v>-11780731.582246138</v>
      </c>
      <c r="J72" s="32">
        <f>+[12]Result!$C$14</f>
        <v>-11672639.989666861</v>
      </c>
      <c r="K72" s="13">
        <f>+[13]Result!$C$14</f>
        <v>-11716979.415338874</v>
      </c>
      <c r="L72" s="13">
        <f>+[14]Result!$C$14</f>
        <v>-11592737.728326367</v>
      </c>
      <c r="M72" s="13">
        <f>+[15]Result!$C$14</f>
        <v>-7491340.4501375593</v>
      </c>
      <c r="N72" s="32">
        <f>+[16]Result!$C$14</f>
        <v>-7534757.7217589626</v>
      </c>
      <c r="O72" s="13">
        <f>+[17]Result!$C$14</f>
        <v>-7675061.1778482636</v>
      </c>
      <c r="P72" s="13">
        <f>+[18]Result!$C$14</f>
        <v>-7952069.9735928345</v>
      </c>
      <c r="Q72" s="32">
        <f>+[19]Result!$C$14</f>
        <v>-7944207.2551546097</v>
      </c>
      <c r="R72" s="32">
        <f>+[20]Result!$C$14</f>
        <v>-8011761.4500078103</v>
      </c>
      <c r="S72" s="70">
        <f>+[22]Result!$C$14</f>
        <v>-8057707.4675271548</v>
      </c>
    </row>
    <row r="73" spans="1:37" hidden="1" outlineLevel="1" x14ac:dyDescent="0.25">
      <c r="A73" s="15" t="s">
        <v>14</v>
      </c>
      <c r="B73" s="13" cm="1">
        <f t="array" ref="B73">+[1]!PV_11_20</f>
        <v>-46311212.354559712</v>
      </c>
      <c r="C73" s="13" cm="1">
        <f t="array" ref="C73">+[5]!PV_11_20</f>
        <v>-46787577.245026223</v>
      </c>
      <c r="D73" s="32" cm="1">
        <f t="array" ref="D73">+[6]!PV_11_20</f>
        <v>-41053306.833920009</v>
      </c>
      <c r="E73" s="13" cm="1">
        <f t="array" ref="E73">+[7]!PV_11_20</f>
        <v>-42235778.55637157</v>
      </c>
      <c r="F73" s="13" cm="1">
        <f t="array" ref="F73">+[8]!PV_11_20</f>
        <v>-41677396.177332215</v>
      </c>
      <c r="G73" s="32" cm="1">
        <f t="array" ref="G73">+[9]!PV_11_20</f>
        <v>-41076197.47212813</v>
      </c>
      <c r="H73" s="13" cm="1">
        <f t="array" ref="H73">+[10]!PV_11_20</f>
        <v>-40661134.607776642</v>
      </c>
      <c r="I73" s="13" cm="1">
        <f t="array" ref="I73">+[11]!PV_11_20</f>
        <v>-40525022.985613562</v>
      </c>
      <c r="J73" s="32" cm="1">
        <f t="array" ref="J73">+[12]!PV_11_20</f>
        <v>-40865789.637550235</v>
      </c>
      <c r="K73" s="13" cm="1">
        <f t="array" ref="K73">+[13]!PV_11_20</f>
        <v>-41012712.682131253</v>
      </c>
      <c r="L73" s="13" cm="1">
        <f t="array" ref="L73">+[14]!PV_11_20</f>
        <v>-40256135.287022918</v>
      </c>
      <c r="M73" s="13" cm="1">
        <f t="array" ref="M73">+[15]!PV_11_20</f>
        <v>-29584134.210609779</v>
      </c>
      <c r="N73" s="32" cm="1">
        <f t="array" ref="N73">+[16]!PV_11_20</f>
        <v>-29826423.311605554</v>
      </c>
      <c r="O73" s="13" cm="1">
        <f t="array" ref="O73">+[17]!PV_11_20</f>
        <v>-30657119.38506908</v>
      </c>
      <c r="P73" s="13" cm="1">
        <f t="array" ref="P73">+[18]!PV_11_20</f>
        <v>-30811166.28196644</v>
      </c>
      <c r="Q73" s="32" cm="1">
        <f t="array" ref="Q73">+[19]!PV_11_20</f>
        <v>-30722040.91333824</v>
      </c>
      <c r="R73" s="32" cm="1">
        <f t="array" ref="R73">+[20]!PV_11_20</f>
        <v>-30976597.744953178</v>
      </c>
      <c r="S73" s="70" cm="1">
        <f t="array" ref="S73">+[22]!PV_11_20</f>
        <v>-31281805.658016525</v>
      </c>
      <c r="T73" s="13">
        <f>+B73-SUM(B74:B83)</f>
        <v>0</v>
      </c>
      <c r="U73" s="13">
        <f t="shared" ref="U73:W73" si="63">+C73-SUM(C74:C83)</f>
        <v>0</v>
      </c>
      <c r="V73" s="13">
        <f t="shared" si="63"/>
        <v>0</v>
      </c>
      <c r="W73" s="13">
        <f t="shared" si="63"/>
        <v>0</v>
      </c>
      <c r="X73" s="13">
        <f t="shared" ref="X73" si="64">+F73-SUM(F74:F83)</f>
        <v>0</v>
      </c>
      <c r="Y73" s="13">
        <f t="shared" ref="Y73:AE73" si="65">+G73-SUM(G74:G83)</f>
        <v>0</v>
      </c>
      <c r="Z73" s="13">
        <f t="shared" si="65"/>
        <v>0</v>
      </c>
      <c r="AA73" s="13">
        <f t="shared" si="65"/>
        <v>0</v>
      </c>
      <c r="AB73" s="13">
        <f t="shared" si="65"/>
        <v>0</v>
      </c>
      <c r="AC73" s="13">
        <f t="shared" si="65"/>
        <v>0</v>
      </c>
      <c r="AD73" s="13">
        <f t="shared" si="65"/>
        <v>0</v>
      </c>
      <c r="AE73" s="13">
        <f t="shared" si="65"/>
        <v>0</v>
      </c>
      <c r="AF73" s="13">
        <f t="shared" ref="AF73" si="66">+N73-SUM(N74:N83)</f>
        <v>0</v>
      </c>
      <c r="AG73" s="13">
        <f t="shared" ref="AG73:AH73" si="67">+O73-SUM(O74:O83)</f>
        <v>0</v>
      </c>
      <c r="AH73" s="13">
        <f t="shared" si="67"/>
        <v>0</v>
      </c>
      <c r="AI73" s="13">
        <f t="shared" ref="AI73" si="68">+Q73-SUM(Q74:Q83)</f>
        <v>0</v>
      </c>
      <c r="AJ73" s="13">
        <f t="shared" ref="AJ73:AK73" si="69">+R73-SUM(R74:R83)</f>
        <v>0</v>
      </c>
      <c r="AK73" s="13">
        <f t="shared" si="69"/>
        <v>0</v>
      </c>
    </row>
    <row r="74" spans="1:37" hidden="1" outlineLevel="2" x14ac:dyDescent="0.25">
      <c r="A74" s="16" t="s">
        <v>15</v>
      </c>
      <c r="B74" s="13">
        <f>+[1]Result!$C$15</f>
        <v>-9725456.9393869638</v>
      </c>
      <c r="C74" s="13">
        <f>+[5]Result!$C$15</f>
        <v>-9823754.4155704584</v>
      </c>
      <c r="D74" s="32">
        <f>+[6]Result!$C$15</f>
        <v>-8905807.3530354947</v>
      </c>
      <c r="E74" s="13">
        <f>+[7]Result!$C$15</f>
        <v>-9111991.5135631133</v>
      </c>
      <c r="F74" s="13">
        <f>+[8]Result!$C$15</f>
        <v>-9037548.6910562031</v>
      </c>
      <c r="G74" s="32">
        <f>+[9]Result!$C$15</f>
        <v>-9078914.257216135</v>
      </c>
      <c r="H74" s="13">
        <f>+[10]Result!$C$15</f>
        <v>-9004099.3116890322</v>
      </c>
      <c r="I74" s="13">
        <f>+[11]Result!$C$15</f>
        <v>-9006210.654281022</v>
      </c>
      <c r="J74" s="32">
        <f>+[12]Result!$C$15</f>
        <v>-8991488.6128074098</v>
      </c>
      <c r="K74" s="13">
        <f>+[13]Result!$C$15</f>
        <v>-9026910.5040165838</v>
      </c>
      <c r="L74" s="13">
        <f>+[14]Result!$C$15</f>
        <v>-8915961.4673190527</v>
      </c>
      <c r="M74" s="13">
        <f>+[15]Result!$C$15</f>
        <v>-5476337.0974828117</v>
      </c>
      <c r="N74" s="32">
        <f>+[16]Result!$C$15</f>
        <v>-5511605.9075170374</v>
      </c>
      <c r="O74" s="13">
        <f>+[17]Result!$C$15</f>
        <v>-5626807.200610104</v>
      </c>
      <c r="P74" s="13">
        <f>+[18]Result!$C$15</f>
        <v>-5820827.0544764819</v>
      </c>
      <c r="Q74" s="32">
        <f>+[19]Result!$C$15</f>
        <v>-5814724.3514573304</v>
      </c>
      <c r="R74" s="32">
        <f>+[20]Result!$C$15</f>
        <v>-5865575.0803230945</v>
      </c>
      <c r="S74" s="70">
        <f>+[22]Result!$C$15</f>
        <v>-5905280.6934302226</v>
      </c>
    </row>
    <row r="75" spans="1:37" hidden="1" outlineLevel="2" x14ac:dyDescent="0.25">
      <c r="A75" s="16" t="s">
        <v>16</v>
      </c>
      <c r="B75" s="13">
        <f>+[1]Result!$C$16</f>
        <v>-7146733.9806441134</v>
      </c>
      <c r="C75" s="13">
        <f>+[5]Result!$C$16</f>
        <v>-7214057.3902788972</v>
      </c>
      <c r="D75" s="32">
        <f>+[6]Result!$C$16</f>
        <v>-6254477.5038796635</v>
      </c>
      <c r="E75" s="13">
        <f>+[7]Result!$C$16</f>
        <v>-6412755.0413827924</v>
      </c>
      <c r="F75" s="13">
        <f>+[8]Result!$C$16</f>
        <v>-6352205.983597408</v>
      </c>
      <c r="G75" s="32">
        <f>+[9]Result!$C$16</f>
        <v>-6292646.0791515475</v>
      </c>
      <c r="H75" s="13">
        <f>+[10]Result!$C$16</f>
        <v>-6241517.3137775166</v>
      </c>
      <c r="I75" s="13">
        <f>+[11]Result!$C$16</f>
        <v>-6236572.2972302036</v>
      </c>
      <c r="J75" s="32">
        <f>+[12]Result!$C$16</f>
        <v>-6282151.0805244306</v>
      </c>
      <c r="K75" s="13">
        <f>+[13]Result!$C$16</f>
        <v>-6306773.1610545143</v>
      </c>
      <c r="L75" s="13">
        <f>+[14]Result!$C$16</f>
        <v>-6218749.945456923</v>
      </c>
      <c r="M75" s="13">
        <f>+[15]Result!$C$16</f>
        <v>-4488475.6112192804</v>
      </c>
      <c r="N75" s="32">
        <f>+[16]Result!$C$16</f>
        <v>-4518632.8970472151</v>
      </c>
      <c r="O75" s="13">
        <f>+[17]Result!$C$16</f>
        <v>-4623405.8949269466</v>
      </c>
      <c r="P75" s="13">
        <f>+[18]Result!$C$16</f>
        <v>-4629736.8527554013</v>
      </c>
      <c r="Q75" s="32">
        <f>+[19]Result!$C$16</f>
        <v>-4625554.8968052426</v>
      </c>
      <c r="R75" s="32">
        <f>+[20]Result!$C$16</f>
        <v>-4668035.1183331115</v>
      </c>
      <c r="S75" s="70">
        <f>+[22]Result!$C$16</f>
        <v>-4707880.9874304663</v>
      </c>
    </row>
    <row r="76" spans="1:37" hidden="1" outlineLevel="2" x14ac:dyDescent="0.25">
      <c r="A76" s="16" t="s">
        <v>17</v>
      </c>
      <c r="B76" s="13">
        <f>+[1]Result!$C$17</f>
        <v>-6018642.6173464991</v>
      </c>
      <c r="C76" s="13">
        <f>+[5]Result!$C$17</f>
        <v>-6076918.9238533415</v>
      </c>
      <c r="D76" s="32">
        <f>+[6]Result!$C$17</f>
        <v>-5259966.0393875306</v>
      </c>
      <c r="E76" s="13">
        <f>+[7]Result!$C$17</f>
        <v>-5401806.6293785572</v>
      </c>
      <c r="F76" s="13">
        <f>+[8]Result!$C$17</f>
        <v>-5343155.1232931679</v>
      </c>
      <c r="G76" s="32">
        <f>+[9]Result!$C$17</f>
        <v>-5261989.0194793306</v>
      </c>
      <c r="H76" s="13">
        <f>+[10]Result!$C$17</f>
        <v>-5219937.532675813</v>
      </c>
      <c r="I76" s="13">
        <f>+[11]Result!$C$17</f>
        <v>-5209699.5895419493</v>
      </c>
      <c r="J76" s="32">
        <f>+[12]Result!$C$17</f>
        <v>-5241839.8047073847</v>
      </c>
      <c r="K76" s="13">
        <f>+[13]Result!$C$17</f>
        <v>-5261937.8241447974</v>
      </c>
      <c r="L76" s="13">
        <f>+[14]Result!$C$17</f>
        <v>-5179435.1463920958</v>
      </c>
      <c r="M76" s="13">
        <f>+[15]Result!$C$17</f>
        <v>-3847764.9656374045</v>
      </c>
      <c r="N76" s="32">
        <f>+[16]Result!$C$17</f>
        <v>-3877564.3642093367</v>
      </c>
      <c r="O76" s="13">
        <f>+[17]Result!$C$17</f>
        <v>-3975814.3654418425</v>
      </c>
      <c r="P76" s="13">
        <f>+[18]Result!$C$17</f>
        <v>-3989276.1712525031</v>
      </c>
      <c r="Q76" s="32">
        <f>+[19]Result!$C$17</f>
        <v>-3983232.6305200276</v>
      </c>
      <c r="R76" s="32">
        <f>+[20]Result!$C$17</f>
        <v>-4020302.2955996757</v>
      </c>
      <c r="S76" s="70">
        <f>+[22]Result!$C$17</f>
        <v>-4060000.4578816518</v>
      </c>
    </row>
    <row r="77" spans="1:37" hidden="1" outlineLevel="2" x14ac:dyDescent="0.25">
      <c r="A77" s="16" t="s">
        <v>18</v>
      </c>
      <c r="B77" s="13">
        <f>+[1]Result!$C$18</f>
        <v>-5155083.2411313411</v>
      </c>
      <c r="C77" s="13">
        <f>+[5]Result!$C$18</f>
        <v>-5209462.1719169375</v>
      </c>
      <c r="D77" s="32">
        <f>+[6]Result!$C$18</f>
        <v>-4524511.705873223</v>
      </c>
      <c r="E77" s="13">
        <f>+[7]Result!$C$18</f>
        <v>-4652403.659819819</v>
      </c>
      <c r="F77" s="13">
        <f>+[8]Result!$C$18</f>
        <v>-4594244.6413703207</v>
      </c>
      <c r="G77" s="32">
        <f>+[9]Result!$C$18</f>
        <v>-4542925.0321068568</v>
      </c>
      <c r="H77" s="13">
        <f>+[10]Result!$C$18</f>
        <v>-4503382.8310443526</v>
      </c>
      <c r="I77" s="13">
        <f>+[11]Result!$C$18</f>
        <v>-4488287.8088599956</v>
      </c>
      <c r="J77" s="32">
        <f>+[12]Result!$C$18</f>
        <v>-4524782.4149424331</v>
      </c>
      <c r="K77" s="13">
        <f>+[13]Result!$C$18</f>
        <v>-4542032.9449538663</v>
      </c>
      <c r="L77" s="13">
        <f>+[14]Result!$C$18</f>
        <v>-4463106.3963361653</v>
      </c>
      <c r="M77" s="13">
        <f>+[15]Result!$C$18</f>
        <v>-3414999.3903822424</v>
      </c>
      <c r="N77" s="32">
        <f>+[16]Result!$C$18</f>
        <v>-3445775.729551468</v>
      </c>
      <c r="O77" s="13">
        <f>+[17]Result!$C$18</f>
        <v>-3539653.1510617007</v>
      </c>
      <c r="P77" s="13">
        <f>+[18]Result!$C$18</f>
        <v>-3548064.0165716219</v>
      </c>
      <c r="Q77" s="32">
        <f>+[19]Result!$C$18</f>
        <v>-3543215.7299447106</v>
      </c>
      <c r="R77" s="32">
        <f>+[20]Result!$C$18</f>
        <v>-3576752.7281256323</v>
      </c>
      <c r="S77" s="70">
        <f>+[22]Result!$C$18</f>
        <v>-3614176.1061233045</v>
      </c>
    </row>
    <row r="78" spans="1:37" hidden="1" outlineLevel="2" x14ac:dyDescent="0.25">
      <c r="A78" s="16" t="s">
        <v>19</v>
      </c>
      <c r="B78" s="13">
        <f>+[1]Result!$C$19</f>
        <v>-4555823.572141951</v>
      </c>
      <c r="C78" s="13">
        <f>+[5]Result!$C$19</f>
        <v>-4611353.7694644881</v>
      </c>
      <c r="D78" s="32">
        <f>+[6]Result!$C$19</f>
        <v>-4016635.2803870793</v>
      </c>
      <c r="E78" s="13">
        <f>+[7]Result!$C$19</f>
        <v>-4134622.7214817405</v>
      </c>
      <c r="F78" s="13">
        <f>+[8]Result!$C$19</f>
        <v>-4075700.9255283605</v>
      </c>
      <c r="G78" s="32">
        <f>+[9]Result!$C$19</f>
        <v>-3994953.5072737345</v>
      </c>
      <c r="H78" s="13">
        <f>+[10]Result!$C$19</f>
        <v>-3953702.2538957587</v>
      </c>
      <c r="I78" s="13">
        <f>+[11]Result!$C$19</f>
        <v>-3936723.1400966677</v>
      </c>
      <c r="J78" s="32">
        <f>+[12]Result!$C$19</f>
        <v>-3941491.7631009873</v>
      </c>
      <c r="K78" s="13">
        <f>+[13]Result!$C$19</f>
        <v>-3956230.7215642887</v>
      </c>
      <c r="L78" s="13">
        <f>+[14]Result!$C$19</f>
        <v>-3877528.5910429657</v>
      </c>
      <c r="M78" s="13">
        <f>+[15]Result!$C$19</f>
        <v>-3025709.6285055242</v>
      </c>
      <c r="N78" s="32">
        <f>+[16]Result!$C$19</f>
        <v>-3053243.3020005487</v>
      </c>
      <c r="O78" s="13">
        <f>+[17]Result!$C$19</f>
        <v>-3142661.4577990873</v>
      </c>
      <c r="P78" s="13">
        <f>+[18]Result!$C$19</f>
        <v>-3116340.0280715292</v>
      </c>
      <c r="Q78" s="32">
        <f>+[19]Result!$C$19</f>
        <v>-3109504.5473876712</v>
      </c>
      <c r="R78" s="32">
        <f>+[20]Result!$C$19</f>
        <v>-3137994.8762682639</v>
      </c>
      <c r="S78" s="70">
        <f>+[22]Result!$C$19</f>
        <v>-3171697.388188574</v>
      </c>
    </row>
    <row r="79" spans="1:37" hidden="1" outlineLevel="2" x14ac:dyDescent="0.25">
      <c r="A79" s="16" t="s">
        <v>20</v>
      </c>
      <c r="B79" s="13">
        <f>+[1]Result!$C$20</f>
        <v>-3806436.2754099858</v>
      </c>
      <c r="C79" s="13">
        <f>+[5]Result!$C$20</f>
        <v>-3853906.2331468347</v>
      </c>
      <c r="D79" s="32">
        <f>+[6]Result!$C$20</f>
        <v>-3350205.1084550237</v>
      </c>
      <c r="E79" s="13">
        <f>+[7]Result!$C$20</f>
        <v>-3455032.8832262144</v>
      </c>
      <c r="F79" s="13">
        <f>+[8]Result!$C$20</f>
        <v>-3399340.3675602837</v>
      </c>
      <c r="G79" s="32">
        <f>+[9]Result!$C$20</f>
        <v>-3308601.5524498727</v>
      </c>
      <c r="H79" s="13">
        <f>+[10]Result!$C$20</f>
        <v>-3268669.2261583162</v>
      </c>
      <c r="I79" s="13">
        <f>+[11]Result!$C$20</f>
        <v>-3251452.8079054286</v>
      </c>
      <c r="J79" s="32">
        <f>+[12]Result!$C$20</f>
        <v>-3273325.5394397969</v>
      </c>
      <c r="K79" s="13">
        <f>+[13]Result!$C$20</f>
        <v>-3284673.554429315</v>
      </c>
      <c r="L79" s="13">
        <f>+[14]Result!$C$20</f>
        <v>-3210311.5486942059</v>
      </c>
      <c r="M79" s="13">
        <f>+[15]Result!$C$20</f>
        <v>-2537029.3681642693</v>
      </c>
      <c r="N79" s="32">
        <f>+[16]Result!$C$20</f>
        <v>-2558835.9480326818</v>
      </c>
      <c r="O79" s="13">
        <f>+[17]Result!$C$20</f>
        <v>-2639792.7478424744</v>
      </c>
      <c r="P79" s="13">
        <f>+[18]Result!$C$20</f>
        <v>-2615778.0795694534</v>
      </c>
      <c r="Q79" s="32">
        <f>+[19]Result!$C$20</f>
        <v>-2604374.8068338023</v>
      </c>
      <c r="R79" s="32">
        <f>+[20]Result!$C$20</f>
        <v>-2625152.7546896143</v>
      </c>
      <c r="S79" s="70">
        <f>+[22]Result!$C$20</f>
        <v>-2653900.9164088038</v>
      </c>
    </row>
    <row r="80" spans="1:37" hidden="1" outlineLevel="2" x14ac:dyDescent="0.25">
      <c r="A80" s="16" t="s">
        <v>21</v>
      </c>
      <c r="B80" s="13">
        <f>+[1]Result!$C$21</f>
        <v>-3182390.6996845701</v>
      </c>
      <c r="C80" s="13">
        <f>+[5]Result!$C$21</f>
        <v>-3216847.6716578519</v>
      </c>
      <c r="D80" s="32">
        <f>+[6]Result!$C$21</f>
        <v>-2793215.1844161227</v>
      </c>
      <c r="E80" s="13">
        <f>+[7]Result!$C$21</f>
        <v>-2888907.8467784291</v>
      </c>
      <c r="F80" s="13">
        <f>+[8]Result!$C$21</f>
        <v>-2836171.5060330783</v>
      </c>
      <c r="G80" s="32">
        <f>+[9]Result!$C$21</f>
        <v>-2752545.249730208</v>
      </c>
      <c r="H80" s="13">
        <f>+[10]Result!$C$21</f>
        <v>-2715462.190317302</v>
      </c>
      <c r="I80" s="13">
        <f>+[11]Result!$C$21</f>
        <v>-2697426.656147093</v>
      </c>
      <c r="J80" s="32">
        <f>+[12]Result!$C$21</f>
        <v>-2730488.4726187247</v>
      </c>
      <c r="K80" s="13">
        <f>+[13]Result!$C$21</f>
        <v>-2739031.6928348741</v>
      </c>
      <c r="L80" s="13">
        <f>+[14]Result!$C$21</f>
        <v>-2669877.4899125872</v>
      </c>
      <c r="M80" s="13">
        <f>+[15]Result!$C$21</f>
        <v>-2125559.9563318887</v>
      </c>
      <c r="N80" s="32">
        <f>+[16]Result!$C$21</f>
        <v>-2143996.0313853617</v>
      </c>
      <c r="O80" s="13">
        <f>+[17]Result!$C$21</f>
        <v>-2216430.7061034562</v>
      </c>
      <c r="P80" s="13">
        <f>+[18]Result!$C$21</f>
        <v>-2199425.9339135103</v>
      </c>
      <c r="Q80" s="32">
        <f>+[19]Result!$C$21</f>
        <v>-2186091.5904303873</v>
      </c>
      <c r="R80" s="32">
        <f>+[20]Result!$C$21</f>
        <v>-2201150.5001102304</v>
      </c>
      <c r="S80" s="70">
        <f>+[22]Result!$C$21</f>
        <v>-2225927.495078132</v>
      </c>
    </row>
    <row r="81" spans="1:37" hidden="1" outlineLevel="2" x14ac:dyDescent="0.25">
      <c r="A81" s="16" t="s">
        <v>22</v>
      </c>
      <c r="B81" s="13">
        <f>+[1]Result!$C$22</f>
        <v>-2628988.5409700279</v>
      </c>
      <c r="C81" s="13">
        <f>+[5]Result!$C$22</f>
        <v>-2652182.2995219692</v>
      </c>
      <c r="D81" s="32">
        <f>+[6]Result!$C$22</f>
        <v>-2313212.8442273675</v>
      </c>
      <c r="E81" s="13">
        <f>+[7]Result!$C$22</f>
        <v>-2399383.6063289233</v>
      </c>
      <c r="F81" s="13">
        <f>+[8]Result!$C$22</f>
        <v>-2350351.1200374435</v>
      </c>
      <c r="G81" s="32">
        <f>+[9]Result!$C$22</f>
        <v>-2274864.6195710776</v>
      </c>
      <c r="H81" s="13">
        <f>+[10]Result!$C$22</f>
        <v>-2241617.0747095812</v>
      </c>
      <c r="I81" s="13">
        <f>+[11]Result!$C$22</f>
        <v>-2223184.1681491197</v>
      </c>
      <c r="J81" s="32">
        <f>+[12]Result!$C$22</f>
        <v>-2278620.236507196</v>
      </c>
      <c r="K81" s="13">
        <f>+[13]Result!$C$22</f>
        <v>-2285016.2933196682</v>
      </c>
      <c r="L81" s="13">
        <f>+[14]Result!$C$22</f>
        <v>-2221815.1203640467</v>
      </c>
      <c r="M81" s="13">
        <f>+[15]Result!$C$22</f>
        <v>-1791091.8587376974</v>
      </c>
      <c r="N81" s="32">
        <f>+[16]Result!$C$22</f>
        <v>-1807880.0235498676</v>
      </c>
      <c r="O81" s="13">
        <f>+[17]Result!$C$22</f>
        <v>-1872397.5720848548</v>
      </c>
      <c r="P81" s="13">
        <f>+[18]Result!$C$22</f>
        <v>-1871036.3276450695</v>
      </c>
      <c r="Q81" s="32">
        <f>+[19]Result!$C$22</f>
        <v>-1857756.6588233595</v>
      </c>
      <c r="R81" s="32">
        <f>+[20]Result!$C$22</f>
        <v>-1868957.2223793317</v>
      </c>
      <c r="S81" s="70">
        <f>+[22]Result!$C$22</f>
        <v>-1891121.6409798793</v>
      </c>
    </row>
    <row r="82" spans="1:37" hidden="1" outlineLevel="2" x14ac:dyDescent="0.25">
      <c r="A82" s="16" t="s">
        <v>23</v>
      </c>
      <c r="B82" s="13">
        <f>+[1]Result!$C$23</f>
        <v>-2180337.6575034442</v>
      </c>
      <c r="C82" s="13">
        <f>+[5]Result!$C$23</f>
        <v>-2198143.8856598563</v>
      </c>
      <c r="D82" s="32">
        <f>+[6]Result!$C$23</f>
        <v>-1939033.5113775153</v>
      </c>
      <c r="E82" s="13">
        <f>+[7]Result!$C$23</f>
        <v>-2015281.5636604752</v>
      </c>
      <c r="F82" s="13">
        <f>+[8]Result!$C$23</f>
        <v>-1969455.6959361203</v>
      </c>
      <c r="G82" s="32">
        <f>+[9]Result!$C$23</f>
        <v>-1912901.9067135239</v>
      </c>
      <c r="H82" s="13">
        <f>+[10]Result!$C$23</f>
        <v>-1883364.4483408278</v>
      </c>
      <c r="I82" s="13">
        <f>+[11]Result!$C$23</f>
        <v>-1864820.195593378</v>
      </c>
      <c r="J82" s="32">
        <f>+[12]Result!$C$23</f>
        <v>-1937182.2292721095</v>
      </c>
      <c r="K82" s="13">
        <f>+[13]Result!$C$23</f>
        <v>-1942060.3531830665</v>
      </c>
      <c r="L82" s="13">
        <f>+[14]Result!$C$23</f>
        <v>-1884144.0886916469</v>
      </c>
      <c r="M82" s="13">
        <f>+[15]Result!$C$23</f>
        <v>-1546442.5273388091</v>
      </c>
      <c r="N82" s="32">
        <f>+[16]Result!$C$23</f>
        <v>-1562610.2694107443</v>
      </c>
      <c r="O82" s="13">
        <f>+[17]Result!$C$23</f>
        <v>-1621175.0147249259</v>
      </c>
      <c r="P82" s="13">
        <f>+[18]Result!$C$23</f>
        <v>-1625121.6292201292</v>
      </c>
      <c r="Q82" s="32">
        <f>+[19]Result!$C$23</f>
        <v>-1612791.1642773354</v>
      </c>
      <c r="R82" s="32">
        <f>+[20]Result!$C$23</f>
        <v>-1621332.3290444452</v>
      </c>
      <c r="S82" s="70">
        <f>+[22]Result!$C$23</f>
        <v>-1641810.6639552386</v>
      </c>
    </row>
    <row r="83" spans="1:37" hidden="1" outlineLevel="2" x14ac:dyDescent="0.25">
      <c r="A83" s="16" t="s">
        <v>24</v>
      </c>
      <c r="B83" s="13">
        <f>+[1]Result!$C$24</f>
        <v>-1911318.8303408145</v>
      </c>
      <c r="C83" s="13">
        <f>+[5]Result!$C$24</f>
        <v>-1930950.4839555856</v>
      </c>
      <c r="D83" s="32">
        <f>+[6]Result!$C$24</f>
        <v>-1696242.3028809899</v>
      </c>
      <c r="E83" s="13">
        <f>+[7]Result!$C$24</f>
        <v>-1763593.0907515138</v>
      </c>
      <c r="F83" s="13">
        <f>+[8]Result!$C$24</f>
        <v>-1719222.1229198256</v>
      </c>
      <c r="G83" s="32">
        <f>+[9]Result!$C$24</f>
        <v>-1655856.2484358449</v>
      </c>
      <c r="H83" s="13">
        <f>+[10]Result!$C$24</f>
        <v>-1629382.4251681441</v>
      </c>
      <c r="I83" s="13">
        <f>+[11]Result!$C$24</f>
        <v>-1610645.6678086955</v>
      </c>
      <c r="J83" s="32">
        <f>+[12]Result!$C$24</f>
        <v>-1664419.4836297634</v>
      </c>
      <c r="K83" s="13">
        <f>+[13]Result!$C$24</f>
        <v>-1668045.6326302818</v>
      </c>
      <c r="L83" s="13">
        <f>+[14]Result!$C$24</f>
        <v>-1615205.4928132405</v>
      </c>
      <c r="M83" s="13">
        <f>+[15]Result!$C$24</f>
        <v>-1330723.8068098498</v>
      </c>
      <c r="N83" s="32">
        <f>+[16]Result!$C$24</f>
        <v>-1346278.8389012949</v>
      </c>
      <c r="O83" s="13">
        <f>+[17]Result!$C$24</f>
        <v>-1398981.2744736844</v>
      </c>
      <c r="P83" s="13">
        <f>+[18]Result!$C$24</f>
        <v>-1395560.188490737</v>
      </c>
      <c r="Q83" s="32">
        <f>+[19]Result!$C$24</f>
        <v>-1384794.5368583768</v>
      </c>
      <c r="R83" s="32">
        <f>+[20]Result!$C$24</f>
        <v>-1391344.8400797769</v>
      </c>
      <c r="S83" s="70">
        <f>+[22]Result!$C$24</f>
        <v>-1410009.3085402537</v>
      </c>
    </row>
    <row r="84" spans="1:37" hidden="1" outlineLevel="1" x14ac:dyDescent="0.25">
      <c r="A84" s="15" t="s">
        <v>25</v>
      </c>
      <c r="B84" s="13" cm="1">
        <f t="array" ref="B84">+[1]!PV_21_30</f>
        <v>-7700323.6787403487</v>
      </c>
      <c r="C84" s="13" cm="1">
        <f t="array" ref="C84">+[5]!PV_21_30</f>
        <v>-7868018.965789238</v>
      </c>
      <c r="D84" s="32" cm="1">
        <f t="array" ref="D84">+[6]!PV_21_30</f>
        <v>-6948235.4885651749</v>
      </c>
      <c r="E84" s="13" cm="1">
        <f t="array" ref="E84">+[7]!PV_21_30</f>
        <v>-7204790.2879003026</v>
      </c>
      <c r="F84" s="13" cm="1">
        <f t="array" ref="F84">+[8]!PV_21_30</f>
        <v>-6977367.8141456963</v>
      </c>
      <c r="G84" s="32" cm="1">
        <f t="array" ref="G84">+[9]!PV_21_30</f>
        <v>-6721710.8276522206</v>
      </c>
      <c r="H84" s="13" cm="1">
        <f t="array" ref="H84">+[10]!PV_21_30</f>
        <v>-6604459.2352305539</v>
      </c>
      <c r="I84" s="13" cm="1">
        <f t="array" ref="I84">+[11]!PV_21_30</f>
        <v>-6496457.9940780634</v>
      </c>
      <c r="J84" s="32" cm="1">
        <f t="array" ref="J84">+[12]!PV_21_30</f>
        <v>-6921650.3864309657</v>
      </c>
      <c r="K84" s="13" cm="1">
        <f t="array" ref="K84">+[13]!PV_21_30</f>
        <v>-6928698.3449289817</v>
      </c>
      <c r="L84" s="13" cm="1">
        <f t="array" ref="L84">+[14]!PV_21_30</f>
        <v>-6670320.6694118241</v>
      </c>
      <c r="M84" s="13" cm="1">
        <f t="array" ref="M84">+[15]!PV_21_30</f>
        <v>-4835614.0371860769</v>
      </c>
      <c r="N84" s="32" cm="1">
        <f t="array" ref="N84">+[16]!PV_21_30</f>
        <v>-4910811.0205790671</v>
      </c>
      <c r="O84" s="13" cm="1">
        <f t="array" ref="O84">+[17]!PV_21_30</f>
        <v>-5127591.5635193642</v>
      </c>
      <c r="P84" s="13" cm="1">
        <f t="array" ref="P84">+[18]!PV_21_30</f>
        <v>-5176934.0048675761</v>
      </c>
      <c r="Q84" s="32" cm="1">
        <f t="array" ref="Q84">+[19]!PV_21_30</f>
        <v>-5136278.5275201509</v>
      </c>
      <c r="R84" s="32" cm="1">
        <f t="array" ref="R84">+[20]!PV_21_30</f>
        <v>-5152209.0177700957</v>
      </c>
      <c r="S84" s="70" cm="1">
        <f t="array" ref="S84">+[22]!PV_21_30</f>
        <v>-5234327.8919835743</v>
      </c>
      <c r="T84" s="13">
        <f>+B84-SUM(B85:B94)</f>
        <v>0</v>
      </c>
      <c r="U84" s="13">
        <f t="shared" ref="U84:W84" si="70">+C84-SUM(C85:C94)</f>
        <v>0</v>
      </c>
      <c r="V84" s="13">
        <f t="shared" si="70"/>
        <v>0</v>
      </c>
      <c r="W84" s="13">
        <f t="shared" si="70"/>
        <v>0</v>
      </c>
      <c r="X84" s="13">
        <f t="shared" ref="X84" si="71">+F84-SUM(F85:F94)</f>
        <v>0</v>
      </c>
      <c r="Y84" s="13">
        <f t="shared" ref="Y84:AE84" si="72">+G84-SUM(G85:G94)</f>
        <v>0</v>
      </c>
      <c r="Z84" s="13">
        <f t="shared" si="72"/>
        <v>0</v>
      </c>
      <c r="AA84" s="13">
        <f t="shared" si="72"/>
        <v>0</v>
      </c>
      <c r="AB84" s="13">
        <f t="shared" si="72"/>
        <v>0</v>
      </c>
      <c r="AC84" s="13">
        <f t="shared" si="72"/>
        <v>0</v>
      </c>
      <c r="AD84" s="13">
        <f t="shared" si="72"/>
        <v>0</v>
      </c>
      <c r="AE84" s="13">
        <f t="shared" si="72"/>
        <v>0</v>
      </c>
      <c r="AF84" s="13">
        <f t="shared" ref="AF84" si="73">+N84-SUM(N85:N94)</f>
        <v>0</v>
      </c>
      <c r="AG84" s="13">
        <f t="shared" ref="AG84:AH84" si="74">+O84-SUM(O85:O94)</f>
        <v>0</v>
      </c>
      <c r="AH84" s="13">
        <f t="shared" si="74"/>
        <v>0</v>
      </c>
      <c r="AI84" s="13">
        <f t="shared" ref="AI84" si="75">+Q84-SUM(Q85:Q94)</f>
        <v>0</v>
      </c>
      <c r="AJ84" s="13">
        <f t="shared" ref="AJ84:AK84" si="76">+R84-SUM(R85:R94)</f>
        <v>0</v>
      </c>
      <c r="AK84" s="13">
        <f t="shared" si="76"/>
        <v>0</v>
      </c>
    </row>
    <row r="85" spans="1:37" hidden="1" outlineLevel="2" x14ac:dyDescent="0.25">
      <c r="A85" s="16" t="s">
        <v>26</v>
      </c>
      <c r="B85" s="13">
        <f>+[1]Result!$C$25</f>
        <v>-1613930.0365054344</v>
      </c>
      <c r="C85" s="13">
        <f>+[5]Result!$C$25</f>
        <v>-1636590.775005863</v>
      </c>
      <c r="D85" s="32">
        <f>+[6]Result!$C$25</f>
        <v>-1431793.7778284522</v>
      </c>
      <c r="E85" s="13">
        <f>+[7]Result!$C$25</f>
        <v>-1487466.8409898733</v>
      </c>
      <c r="F85" s="13">
        <f>+[8]Result!$C$25</f>
        <v>-1446851.2758843689</v>
      </c>
      <c r="G85" s="32">
        <f>+[9]Result!$C$25</f>
        <v>-1385727.2618410569</v>
      </c>
      <c r="H85" s="13">
        <f>+[10]Result!$C$25</f>
        <v>-1362989.2641060196</v>
      </c>
      <c r="I85" s="13">
        <f>+[11]Result!$C$25</f>
        <v>-1345180.7507431894</v>
      </c>
      <c r="J85" s="32">
        <f>+[12]Result!$C$25</f>
        <v>-1398732.7906570691</v>
      </c>
      <c r="K85" s="13">
        <f>+[13]Result!$C$25</f>
        <v>-1401240.1845123211</v>
      </c>
      <c r="L85" s="13">
        <f>+[14]Result!$C$25</f>
        <v>-1354481.3358172334</v>
      </c>
      <c r="M85" s="13">
        <f>+[15]Result!$C$25</f>
        <v>-1091703.3871420478</v>
      </c>
      <c r="N85" s="32">
        <f>+[16]Result!$C$25</f>
        <v>-1105779.7928446084</v>
      </c>
      <c r="O85" s="13">
        <f>+[17]Result!$C$25</f>
        <v>-1150755.0559263844</v>
      </c>
      <c r="P85" s="13">
        <f>+[18]Result!$C$25</f>
        <v>-1147358.1222297451</v>
      </c>
      <c r="Q85" s="32">
        <f>+[19]Result!$C$25</f>
        <v>-1138506.6437675292</v>
      </c>
      <c r="R85" s="32">
        <f>+[20]Result!$C$25</f>
        <v>-1143260.9550205809</v>
      </c>
      <c r="S85" s="70">
        <f>+[22]Result!$C$25</f>
        <v>-1159619.9410759318</v>
      </c>
    </row>
    <row r="86" spans="1:37" hidden="1" outlineLevel="2" x14ac:dyDescent="0.25">
      <c r="A86" s="16" t="s">
        <v>27</v>
      </c>
      <c r="B86" s="13">
        <f>+[1]Result!$C$26</f>
        <v>-1352384.8748423744</v>
      </c>
      <c r="C86" s="13">
        <f>+[5]Result!$C$26</f>
        <v>-1376195.473548111</v>
      </c>
      <c r="D86" s="32">
        <f>+[6]Result!$C$26</f>
        <v>-1200056.3127438158</v>
      </c>
      <c r="E86" s="13">
        <f>+[7]Result!$C$26</f>
        <v>-1245653.5877997763</v>
      </c>
      <c r="F86" s="13">
        <f>+[8]Result!$C$26</f>
        <v>-1209244.4221977952</v>
      </c>
      <c r="G86" s="32">
        <f>+[9]Result!$C$26</f>
        <v>-1153354.665332888</v>
      </c>
      <c r="H86" s="13">
        <f>+[10]Result!$C$26</f>
        <v>-1133869.345454684</v>
      </c>
      <c r="I86" s="13">
        <f>+[11]Result!$C$26</f>
        <v>-1117521.5822840312</v>
      </c>
      <c r="J86" s="32">
        <f>+[12]Result!$C$26</f>
        <v>-1171343.2114048714</v>
      </c>
      <c r="K86" s="13">
        <f>+[13]Result!$C$26</f>
        <v>-1173055.4420739617</v>
      </c>
      <c r="L86" s="13">
        <f>+[14]Result!$C$26</f>
        <v>-1132040.3651465988</v>
      </c>
      <c r="M86" s="13">
        <f>+[15]Result!$C$26</f>
        <v>-886856.30670998001</v>
      </c>
      <c r="N86" s="32">
        <f>+[16]Result!$C$26</f>
        <v>-899319.18261397863</v>
      </c>
      <c r="O86" s="13">
        <f>+[17]Result!$C$26</f>
        <v>-937129.37094915891</v>
      </c>
      <c r="P86" s="13">
        <f>+[18]Result!$C$26</f>
        <v>-936728.22798927606</v>
      </c>
      <c r="Q86" s="32">
        <f>+[19]Result!$C$26</f>
        <v>-929439.75225267373</v>
      </c>
      <c r="R86" s="32">
        <f>+[20]Result!$C$26</f>
        <v>-932831.73536998197</v>
      </c>
      <c r="S86" s="70">
        <f>+[22]Result!$C$26</f>
        <v>-946834.099010039</v>
      </c>
    </row>
    <row r="87" spans="1:37" hidden="1" outlineLevel="2" x14ac:dyDescent="0.25">
      <c r="A87" s="16" t="s">
        <v>28</v>
      </c>
      <c r="B87" s="13">
        <f>+[1]Result!$C$27</f>
        <v>-1120039.7189590174</v>
      </c>
      <c r="C87" s="13">
        <f>+[5]Result!$C$27</f>
        <v>-1143187.7302155865</v>
      </c>
      <c r="D87" s="32">
        <f>+[6]Result!$C$27</f>
        <v>-998693.46431677928</v>
      </c>
      <c r="E87" s="13">
        <f>+[7]Result!$C$27</f>
        <v>-1035828.6189600568</v>
      </c>
      <c r="F87" s="13">
        <f>+[8]Result!$C$27</f>
        <v>-1003839.4117957099</v>
      </c>
      <c r="G87" s="32">
        <f>+[9]Result!$C$27</f>
        <v>-956939.03809264523</v>
      </c>
      <c r="H87" s="13">
        <f>+[10]Result!$C$27</f>
        <v>-940336.84504928172</v>
      </c>
      <c r="I87" s="13">
        <f>+[11]Result!$C$27</f>
        <v>-925649.32995665295</v>
      </c>
      <c r="J87" s="32">
        <f>+[12]Result!$C$27</f>
        <v>-983144.53483178385</v>
      </c>
      <c r="K87" s="13">
        <f>+[13]Result!$C$27</f>
        <v>-984326.60214987467</v>
      </c>
      <c r="L87" s="13">
        <f>+[14]Result!$C$27</f>
        <v>-948444.58009203302</v>
      </c>
      <c r="M87" s="13">
        <f>+[15]Result!$C$27</f>
        <v>-722309.28421863366</v>
      </c>
      <c r="N87" s="32">
        <f>+[16]Result!$C$27</f>
        <v>-733173.57590675238</v>
      </c>
      <c r="O87" s="13">
        <f>+[17]Result!$C$27</f>
        <v>-765043.86036037572</v>
      </c>
      <c r="P87" s="13">
        <f>+[18]Result!$C$27</f>
        <v>-770313.0849758361</v>
      </c>
      <c r="Q87" s="32">
        <f>+[19]Result!$C$27</f>
        <v>-764292.04083569755</v>
      </c>
      <c r="R87" s="32">
        <f>+[20]Result!$C$27</f>
        <v>-766794.17272759252</v>
      </c>
      <c r="S87" s="70">
        <f>+[22]Result!$C$27</f>
        <v>-778759.53759298357</v>
      </c>
    </row>
    <row r="88" spans="1:37" hidden="1" outlineLevel="2" x14ac:dyDescent="0.25">
      <c r="A88" s="16" t="s">
        <v>29</v>
      </c>
      <c r="B88" s="13">
        <f>+[1]Result!$C$28</f>
        <v>-929827.44648639485</v>
      </c>
      <c r="C88" s="13">
        <f>+[5]Result!$C$28</f>
        <v>-951430.82905073161</v>
      </c>
      <c r="D88" s="32">
        <f>+[6]Result!$C$28</f>
        <v>-838591.99756181927</v>
      </c>
      <c r="E88" s="13">
        <f>+[7]Result!$C$28</f>
        <v>-869196.34280755126</v>
      </c>
      <c r="F88" s="13">
        <f>+[8]Result!$C$28</f>
        <v>-841180.69791188941</v>
      </c>
      <c r="G88" s="32">
        <f>+[9]Result!$C$28</f>
        <v>-813780.94623681426</v>
      </c>
      <c r="H88" s="13">
        <f>+[10]Result!$C$28</f>
        <v>-799498.5192043765</v>
      </c>
      <c r="I88" s="13">
        <f>+[11]Result!$C$28</f>
        <v>-786011.95819412277</v>
      </c>
      <c r="J88" s="32">
        <f>+[12]Result!$C$28</f>
        <v>-844040.2802872468</v>
      </c>
      <c r="K88" s="13">
        <f>+[13]Result!$C$28</f>
        <v>-844810.31097369175</v>
      </c>
      <c r="L88" s="13">
        <f>+[14]Result!$C$28</f>
        <v>-812953.70162698836</v>
      </c>
      <c r="M88" s="13">
        <f>+[15]Result!$C$28</f>
        <v>-604652.80282386323</v>
      </c>
      <c r="N88" s="32">
        <f>+[16]Result!$C$28</f>
        <v>-614364.10842643643</v>
      </c>
      <c r="O88" s="13">
        <f>+[17]Result!$C$28</f>
        <v>-641915.21915263077</v>
      </c>
      <c r="P88" s="13">
        <f>+[18]Result!$C$28</f>
        <v>-647927.34716249455</v>
      </c>
      <c r="Q88" s="32">
        <f>+[19]Result!$C$28</f>
        <v>-642857.64046046708</v>
      </c>
      <c r="R88" s="32">
        <f>+[20]Result!$C$28</f>
        <v>-644688.61563014053</v>
      </c>
      <c r="S88" s="70">
        <f>+[22]Result!$C$28</f>
        <v>-655199.30507903756</v>
      </c>
    </row>
    <row r="89" spans="1:37" hidden="1" outlineLevel="2" x14ac:dyDescent="0.25">
      <c r="A89" s="16" t="s">
        <v>30</v>
      </c>
      <c r="B89" s="13">
        <f>+[1]Result!$C$29</f>
        <v>-796059.15840951505</v>
      </c>
      <c r="C89" s="13">
        <f>+[5]Result!$C$29</f>
        <v>-816421.66078018444</v>
      </c>
      <c r="D89" s="32">
        <f>+[6]Result!$C$29</f>
        <v>-720685.38802104245</v>
      </c>
      <c r="E89" s="13">
        <f>+[7]Result!$C$29</f>
        <v>-746610.62443113979</v>
      </c>
      <c r="F89" s="13">
        <f>+[8]Result!$C$29</f>
        <v>-721627.88305312023</v>
      </c>
      <c r="G89" s="32">
        <f>+[9]Result!$C$29</f>
        <v>-694410.56206453638</v>
      </c>
      <c r="H89" s="13">
        <f>+[10]Result!$C$29</f>
        <v>-682033.90434023098</v>
      </c>
      <c r="I89" s="13">
        <f>+[11]Result!$C$29</f>
        <v>-669806.62667969335</v>
      </c>
      <c r="J89" s="32">
        <f>+[12]Result!$C$29</f>
        <v>-711139.97418653429</v>
      </c>
      <c r="K89" s="13">
        <f>+[13]Result!$C$29</f>
        <v>-711562.82254877198</v>
      </c>
      <c r="L89" s="13">
        <f>+[14]Result!$C$29</f>
        <v>-683937.89706217579</v>
      </c>
      <c r="M89" s="13">
        <f>+[15]Result!$C$29</f>
        <v>-490529.7389226018</v>
      </c>
      <c r="N89" s="32">
        <f>+[16]Result!$C$29</f>
        <v>-498863.50668085396</v>
      </c>
      <c r="O89" s="13">
        <f>+[17]Result!$C$29</f>
        <v>-521835.36305447086</v>
      </c>
      <c r="P89" s="13">
        <f>+[18]Result!$C$29</f>
        <v>-520897.49400409742</v>
      </c>
      <c r="Q89" s="32">
        <f>+[19]Result!$C$29</f>
        <v>-516771.56422571518</v>
      </c>
      <c r="R89" s="32">
        <f>+[20]Result!$C$29</f>
        <v>-518060.89487233618</v>
      </c>
      <c r="S89" s="70">
        <f>+[22]Result!$C$29</f>
        <v>-526806.68571622088</v>
      </c>
    </row>
    <row r="90" spans="1:37" hidden="1" outlineLevel="2" x14ac:dyDescent="0.25">
      <c r="A90" s="16" t="s">
        <v>31</v>
      </c>
      <c r="B90" s="13">
        <f>+[1]Result!$C$30</f>
        <v>-617422.42378739431</v>
      </c>
      <c r="C90" s="13">
        <f>+[5]Result!$C$30</f>
        <v>-634417.41566486226</v>
      </c>
      <c r="D90" s="32">
        <f>+[6]Result!$C$30</f>
        <v>-558235.74806917703</v>
      </c>
      <c r="E90" s="13">
        <f>+[7]Result!$C$30</f>
        <v>-578073.26628467359</v>
      </c>
      <c r="F90" s="13">
        <f>+[8]Result!$C$30</f>
        <v>-558094.66168788797</v>
      </c>
      <c r="G90" s="32">
        <f>+[9]Result!$C$30</f>
        <v>-532513.42848822905</v>
      </c>
      <c r="H90" s="13">
        <f>+[10]Result!$C$30</f>
        <v>-522833.83441889228</v>
      </c>
      <c r="I90" s="13">
        <f>+[11]Result!$C$30</f>
        <v>-513018.44132045296</v>
      </c>
      <c r="J90" s="32">
        <f>+[12]Result!$C$30</f>
        <v>-552199.01513229171</v>
      </c>
      <c r="K90" s="13">
        <f>+[13]Result!$C$30</f>
        <v>-552403.94547140575</v>
      </c>
      <c r="L90" s="13">
        <f>+[14]Result!$C$30</f>
        <v>-530299.1188879672</v>
      </c>
      <c r="M90" s="13">
        <f>+[15]Result!$C$30</f>
        <v>-353067.84601641231</v>
      </c>
      <c r="N90" s="32">
        <f>+[16]Result!$C$30</f>
        <v>-359357.38324047765</v>
      </c>
      <c r="O90" s="13">
        <f>+[17]Result!$C$30</f>
        <v>-376316.31642071391</v>
      </c>
      <c r="P90" s="13">
        <f>+[18]Result!$C$30</f>
        <v>-376066.82769809855</v>
      </c>
      <c r="Q90" s="32">
        <f>+[19]Result!$C$30</f>
        <v>-373059.10265823413</v>
      </c>
      <c r="R90" s="32">
        <f>+[20]Result!$C$30</f>
        <v>-373889.19486202142</v>
      </c>
      <c r="S90" s="70">
        <f>+[22]Result!$C$30</f>
        <v>-380366.94948450098</v>
      </c>
    </row>
    <row r="91" spans="1:37" hidden="1" outlineLevel="2" x14ac:dyDescent="0.25">
      <c r="A91" s="16" t="s">
        <v>32</v>
      </c>
      <c r="B91" s="13">
        <f>+[1]Result!$C$31</f>
        <v>-462862.20953628205</v>
      </c>
      <c r="C91" s="13">
        <f>+[5]Result!$C$31</f>
        <v>-476353.96902256395</v>
      </c>
      <c r="D91" s="32">
        <f>+[6]Result!$C$31</f>
        <v>-421440.35980320035</v>
      </c>
      <c r="E91" s="13">
        <f>+[7]Result!$C$31</f>
        <v>-436281.19316810532</v>
      </c>
      <c r="F91" s="13">
        <f>+[8]Result!$C$31</f>
        <v>-420732.57409328723</v>
      </c>
      <c r="G91" s="32">
        <f>+[9]Result!$C$31</f>
        <v>-401050.35687358223</v>
      </c>
      <c r="H91" s="13">
        <f>+[10]Result!$C$31</f>
        <v>-393680.48024040664</v>
      </c>
      <c r="I91" s="13">
        <f>+[11]Result!$C$31</f>
        <v>-386003.6209224037</v>
      </c>
      <c r="J91" s="32">
        <f>+[12]Result!$C$31</f>
        <v>-423380.14346740802</v>
      </c>
      <c r="K91" s="13">
        <f>+[13]Result!$C$31</f>
        <v>-423543.82695739612</v>
      </c>
      <c r="L91" s="13">
        <f>+[14]Result!$C$31</f>
        <v>-406154.62256355846</v>
      </c>
      <c r="M91" s="13">
        <f>+[15]Result!$C$31</f>
        <v>-239662.32629451307</v>
      </c>
      <c r="N91" s="32">
        <f>+[16]Result!$C$31</f>
        <v>-244163.05705358658</v>
      </c>
      <c r="O91" s="13">
        <f>+[17]Result!$C$31</f>
        <v>-255917.50014957995</v>
      </c>
      <c r="P91" s="13">
        <f>+[18]Result!$C$31</f>
        <v>-255230.73046098024</v>
      </c>
      <c r="Q91" s="32">
        <f>+[19]Result!$C$31</f>
        <v>-253174.69184305158</v>
      </c>
      <c r="R91" s="32">
        <f>+[20]Result!$C$31</f>
        <v>-253695.25212466475</v>
      </c>
      <c r="S91" s="70">
        <f>+[22]Result!$C$31</f>
        <v>-258164.9103780915</v>
      </c>
    </row>
    <row r="92" spans="1:37" hidden="1" outlineLevel="2" x14ac:dyDescent="0.25">
      <c r="A92" s="16" t="s">
        <v>33</v>
      </c>
      <c r="B92" s="13">
        <f>+[1]Result!$C$32</f>
        <v>-329971.76586000697</v>
      </c>
      <c r="C92" s="13">
        <f>+[5]Result!$C$32</f>
        <v>-340093.4995581847</v>
      </c>
      <c r="D92" s="32">
        <f>+[6]Result!$C$32</f>
        <v>-302770.53230302059</v>
      </c>
      <c r="E92" s="13">
        <f>+[7]Result!$C$32</f>
        <v>-313337.0142939341</v>
      </c>
      <c r="F92" s="13">
        <f>+[8]Result!$C$32</f>
        <v>-301879.16888527013</v>
      </c>
      <c r="G92" s="32">
        <f>+[9]Result!$C$32</f>
        <v>-288324.2961432063</v>
      </c>
      <c r="H92" s="13">
        <f>+[10]Result!$C$32</f>
        <v>-282979.52123980742</v>
      </c>
      <c r="I92" s="13">
        <f>+[11]Result!$C$32</f>
        <v>-277292.52808574348</v>
      </c>
      <c r="J92" s="32">
        <f>+[12]Result!$C$32</f>
        <v>-318185.20672800002</v>
      </c>
      <c r="K92" s="13">
        <f>+[13]Result!$C$32</f>
        <v>-318269.9805057979</v>
      </c>
      <c r="L92" s="13">
        <f>+[14]Result!$C$32</f>
        <v>-304924.73257548793</v>
      </c>
      <c r="M92" s="13">
        <f>+[15]Result!$C$32</f>
        <v>-157939.73418820425</v>
      </c>
      <c r="N92" s="32">
        <f>+[16]Result!$C$32</f>
        <v>-161018.55487805823</v>
      </c>
      <c r="O92" s="13">
        <f>+[17]Result!$C$32</f>
        <v>-168934.484513945</v>
      </c>
      <c r="P92" s="13">
        <f>+[18]Result!$C$32</f>
        <v>-180683.89500333491</v>
      </c>
      <c r="Q92" s="32">
        <f>+[19]Result!$C$32</f>
        <v>-179221.41415514925</v>
      </c>
      <c r="R92" s="32">
        <f>+[20]Result!$C$32</f>
        <v>-179555.87632130313</v>
      </c>
      <c r="S92" s="70">
        <f>+[22]Result!$C$32</f>
        <v>-182791.18734435015</v>
      </c>
    </row>
    <row r="93" spans="1:37" hidden="1" outlineLevel="2" x14ac:dyDescent="0.25">
      <c r="A93" s="16" t="s">
        <v>34</v>
      </c>
      <c r="B93" s="13">
        <f>+[1]Result!$C$33</f>
        <v>-236749.53145776485</v>
      </c>
      <c r="C93" s="13">
        <f>+[5]Result!$C$33</f>
        <v>-244312.53112732136</v>
      </c>
      <c r="D93" s="32">
        <f>+[6]Result!$C$33</f>
        <v>-236314.58827624502</v>
      </c>
      <c r="E93" s="13">
        <f>+[7]Result!$C$33</f>
        <v>-244492.71413946871</v>
      </c>
      <c r="F93" s="13">
        <f>+[8]Result!$C$33</f>
        <v>-235397.8937845327</v>
      </c>
      <c r="G93" s="32">
        <f>+[9]Result!$C$33</f>
        <v>-247053.28273686222</v>
      </c>
      <c r="H93" s="13">
        <f>+[10]Result!$C$33</f>
        <v>-242409.57988661717</v>
      </c>
      <c r="I93" s="13">
        <f>+[11]Result!$C$33</f>
        <v>-237362.96516116668</v>
      </c>
      <c r="J93" s="32">
        <f>+[12]Result!$C$33</f>
        <v>-277469.76962050592</v>
      </c>
      <c r="K93" s="13">
        <f>+[13]Result!$C$33</f>
        <v>-277469.76962050592</v>
      </c>
      <c r="L93" s="13">
        <f>+[14]Result!$C$33</f>
        <v>-265605.71317641175</v>
      </c>
      <c r="M93" s="13">
        <f>+[15]Result!$C$33</f>
        <v>-144379.36741605116</v>
      </c>
      <c r="N93" s="32">
        <f>+[16]Result!$C$33</f>
        <v>-147276.83027889836</v>
      </c>
      <c r="O93" s="13">
        <f>+[17]Result!$C$33</f>
        <v>-154679.82452527745</v>
      </c>
      <c r="P93" s="13">
        <f>+[18]Result!$C$33</f>
        <v>-175221.64866817903</v>
      </c>
      <c r="Q93" s="32">
        <f>+[19]Result!$C$33</f>
        <v>-173799.99813984064</v>
      </c>
      <c r="R93" s="32">
        <f>+[20]Result!$C$33</f>
        <v>-174064.11080569527</v>
      </c>
      <c r="S93" s="70">
        <f>+[22]Result!$C$33</f>
        <v>-177291.00402458571</v>
      </c>
    </row>
    <row r="94" spans="1:37" hidden="1" outlineLevel="2" x14ac:dyDescent="0.25">
      <c r="A94" s="16" t="s">
        <v>35</v>
      </c>
      <c r="B94" s="13">
        <f>+[1]Result!$C$34</f>
        <v>-241076.51289616292</v>
      </c>
      <c r="C94" s="13">
        <f>+[5]Result!$C$34</f>
        <v>-249015.08181583084</v>
      </c>
      <c r="D94" s="32">
        <f>+[6]Result!$C$34</f>
        <v>-239653.31964162237</v>
      </c>
      <c r="E94" s="13">
        <f>+[7]Result!$C$34</f>
        <v>-247850.08502572356</v>
      </c>
      <c r="F94" s="13">
        <f>+[8]Result!$C$34</f>
        <v>-238519.82485183503</v>
      </c>
      <c r="G94" s="32">
        <f>+[9]Result!$C$34</f>
        <v>-248556.98984240094</v>
      </c>
      <c r="H94" s="13">
        <f>+[10]Result!$C$34</f>
        <v>-243827.94129023791</v>
      </c>
      <c r="I94" s="13">
        <f>+[11]Result!$C$34</f>
        <v>-238610.19073060714</v>
      </c>
      <c r="J94" s="32">
        <f>+[12]Result!$C$34</f>
        <v>-242015.46011525355</v>
      </c>
      <c r="K94" s="13">
        <f>+[13]Result!$C$34</f>
        <v>-242015.46011525355</v>
      </c>
      <c r="L94" s="13">
        <f>+[14]Result!$C$34</f>
        <v>-231478.60246336809</v>
      </c>
      <c r="M94" s="13">
        <f>+[15]Result!$C$34</f>
        <v>-144513.24345376971</v>
      </c>
      <c r="N94" s="32">
        <f>+[16]Result!$C$34</f>
        <v>-147495.02865541712</v>
      </c>
      <c r="O94" s="13">
        <f>+[17]Result!$C$34</f>
        <v>-155064.56846682745</v>
      </c>
      <c r="P94" s="13">
        <f>+[18]Result!$C$34</f>
        <v>-166506.62667553377</v>
      </c>
      <c r="Q94" s="32">
        <f>+[19]Result!$C$34</f>
        <v>-165155.67918179266</v>
      </c>
      <c r="R94" s="32">
        <f>+[20]Result!$C$34</f>
        <v>-165368.21003578024</v>
      </c>
      <c r="S94" s="70">
        <f>+[22]Result!$C$34</f>
        <v>-168494.27227783366</v>
      </c>
    </row>
    <row r="95" spans="1:37" hidden="1" outlineLevel="1" x14ac:dyDescent="0.25">
      <c r="A95" s="15" t="s">
        <v>36</v>
      </c>
      <c r="B95" s="13" cm="1">
        <f t="array" ref="B95">+[1]!PV_31_50</f>
        <v>-426239.71572303877</v>
      </c>
      <c r="C95" s="13" cm="1">
        <f t="array" ref="C95">+[5]!PV_31_50</f>
        <v>-441205.44430808019</v>
      </c>
      <c r="D95" s="32" cm="1">
        <f t="array" ref="D95">+[6]!PV_31_50</f>
        <v>-417184.1714283633</v>
      </c>
      <c r="E95" s="13" cm="1">
        <f t="array" ref="E95">+[7]!PV_31_50</f>
        <v>-431220.39331079554</v>
      </c>
      <c r="F95" s="13" cm="1">
        <f t="array" ref="F95">+[8]!PV_31_50</f>
        <v>-414424.6335842876</v>
      </c>
      <c r="G95" s="32" cm="1">
        <f t="array" ref="G95">+[9]!PV_31_50</f>
        <v>-419373.94055885891</v>
      </c>
      <c r="H95" s="13" cm="1">
        <f t="array" ref="H95">+[10]!PV_31_50</f>
        <v>-411286.69155286311</v>
      </c>
      <c r="I95" s="13" cm="1">
        <f t="array" ref="I95">+[11]!PV_31_50</f>
        <v>-401987.38493087993</v>
      </c>
      <c r="J95" s="32" cm="1">
        <f t="array" ref="J95">+[12]!PV_31_50</f>
        <v>-419917.97252610925</v>
      </c>
      <c r="K95" s="13" cm="1">
        <f t="array" ref="K95">+[13]!PV_31_50</f>
        <v>-419783.8814435582</v>
      </c>
      <c r="L95" s="13" cm="1">
        <f t="array" ref="L95">+[14]!PV_31_50</f>
        <v>-400758.12059437257</v>
      </c>
      <c r="M95" s="13" cm="1">
        <f t="array" ref="M95">+[15]!PV_31_50</f>
        <v>-181841.68338712351</v>
      </c>
      <c r="N95" s="32" cm="1">
        <f t="array" ref="N95">+[16]!PV_31_50</f>
        <v>-185842.25073223078</v>
      </c>
      <c r="O95" s="13" cm="1">
        <f t="array" ref="O95">+[17]!PV_31_50</f>
        <v>-195891.52355484478</v>
      </c>
      <c r="P95" s="13" cm="1">
        <f t="array" ref="P95">+[18]!PV_31_50</f>
        <v>-260908.8767627202</v>
      </c>
      <c r="Q95" s="32" cm="1">
        <f t="array" ref="Q95">+[19]!PV_31_50</f>
        <v>-258810.73023306776</v>
      </c>
      <c r="R95" s="32" cm="1">
        <f t="array" ref="R95">+[20]!PV_31_50</f>
        <v>-258996.25608104572</v>
      </c>
      <c r="S95" s="70" cm="1">
        <f t="array" ref="S95">+[22]!PV_31_50</f>
        <v>-264100.18674120458</v>
      </c>
      <c r="T95" s="13">
        <f>+B95-SUM(B96:B115)</f>
        <v>0</v>
      </c>
      <c r="U95" s="13">
        <f t="shared" ref="U95:W95" si="77">+C95-SUM(C96:C115)</f>
        <v>0</v>
      </c>
      <c r="V95" s="13">
        <f t="shared" si="77"/>
        <v>0</v>
      </c>
      <c r="W95" s="13">
        <f t="shared" si="77"/>
        <v>0</v>
      </c>
      <c r="X95" s="13">
        <f t="shared" ref="X95" si="78">+F95-SUM(F96:F115)</f>
        <v>0</v>
      </c>
      <c r="Y95" s="13">
        <f t="shared" ref="Y95:AE95" si="79">+G95-SUM(G96:G115)</f>
        <v>0</v>
      </c>
      <c r="Z95" s="13">
        <f t="shared" si="79"/>
        <v>0</v>
      </c>
      <c r="AA95" s="13">
        <f t="shared" si="79"/>
        <v>0</v>
      </c>
      <c r="AB95" s="13">
        <f t="shared" si="79"/>
        <v>0</v>
      </c>
      <c r="AC95" s="13">
        <f t="shared" si="79"/>
        <v>0</v>
      </c>
      <c r="AD95" s="13">
        <f t="shared" si="79"/>
        <v>0</v>
      </c>
      <c r="AE95" s="13">
        <f t="shared" si="79"/>
        <v>0</v>
      </c>
      <c r="AF95" s="13">
        <f t="shared" ref="AF95" si="80">+N95-SUM(N96:N115)</f>
        <v>0</v>
      </c>
      <c r="AG95" s="13">
        <f t="shared" ref="AG95:AH95" si="81">+O95-SUM(O96:O115)</f>
        <v>0</v>
      </c>
      <c r="AH95" s="13">
        <f t="shared" si="81"/>
        <v>0</v>
      </c>
      <c r="AI95" s="13">
        <f t="shared" ref="AI95" si="82">+Q95-SUM(Q96:Q115)</f>
        <v>0</v>
      </c>
      <c r="AJ95" s="13">
        <f t="shared" ref="AJ95:AK95" si="83">+R95-SUM(R96:R115)</f>
        <v>0</v>
      </c>
      <c r="AK95" s="13">
        <f t="shared" si="83"/>
        <v>0</v>
      </c>
    </row>
    <row r="96" spans="1:37" hidden="1" outlineLevel="2" x14ac:dyDescent="0.25">
      <c r="A96" s="16" t="s">
        <v>37</v>
      </c>
      <c r="B96" s="13">
        <f>+[1]Result!$C$35</f>
        <v>-133225.6003380669</v>
      </c>
      <c r="C96" s="13">
        <f>+[5]Result!$C$35</f>
        <v>-137722.10753499789</v>
      </c>
      <c r="D96" s="32">
        <f>+[6]Result!$C$35</f>
        <v>-131360.10463322376</v>
      </c>
      <c r="E96" s="13">
        <f>+[7]Result!$C$35</f>
        <v>-135825.81511771758</v>
      </c>
      <c r="F96" s="13">
        <f>+[8]Result!$C$35</f>
        <v>-130640.34878674126</v>
      </c>
      <c r="G96" s="32">
        <f>+[9]Result!$C$35</f>
        <v>-133327.28810435469</v>
      </c>
      <c r="H96" s="13">
        <f>+[10]Result!$C$35</f>
        <v>-130783.15399994284</v>
      </c>
      <c r="I96" s="13">
        <f>+[11]Result!$C$35</f>
        <v>-127928.73380603196</v>
      </c>
      <c r="J96" s="32">
        <f>+[12]Result!$C$35</f>
        <v>-130742.85421556988</v>
      </c>
      <c r="K96" s="13">
        <f>+[13]Result!$C$35</f>
        <v>-130723.48067481464</v>
      </c>
      <c r="L96" s="13">
        <f>+[14]Result!$C$35</f>
        <v>-124954.69986821599</v>
      </c>
      <c r="M96" s="13">
        <f>+[15]Result!$C$35</f>
        <v>-72649.934621320223</v>
      </c>
      <c r="N96" s="32">
        <f>+[16]Result!$C$35</f>
        <v>-74178.346935734924</v>
      </c>
      <c r="O96" s="13">
        <f>+[17]Result!$C$35</f>
        <v>-78059.745419591709</v>
      </c>
      <c r="P96" s="13">
        <f>+[18]Result!$C$35</f>
        <v>-86857.229731737549</v>
      </c>
      <c r="Q96" s="32">
        <f>+[19]Result!$C$35</f>
        <v>-86154.18270265084</v>
      </c>
      <c r="R96" s="32">
        <f>+[20]Result!$C$35</f>
        <v>-86256.078739195291</v>
      </c>
      <c r="S96" s="70">
        <f>+[22]Result!$C$35</f>
        <v>-87903.436226992591</v>
      </c>
    </row>
    <row r="97" spans="1:19" hidden="1" outlineLevel="2" x14ac:dyDescent="0.25">
      <c r="A97" s="16" t="s">
        <v>38</v>
      </c>
      <c r="B97" s="13">
        <f>+[1]Result!$C$36</f>
        <v>-78792.095034110927</v>
      </c>
      <c r="C97" s="13">
        <f>+[5]Result!$C$36</f>
        <v>-81514.580477403011</v>
      </c>
      <c r="D97" s="32">
        <f>+[6]Result!$C$36</f>
        <v>-76613.781504529004</v>
      </c>
      <c r="E97" s="13">
        <f>+[7]Result!$C$36</f>
        <v>-79207.61238392751</v>
      </c>
      <c r="F97" s="13">
        <f>+[8]Result!$C$36</f>
        <v>-76145.273878351407</v>
      </c>
      <c r="G97" s="32">
        <f>+[9]Result!$C$36</f>
        <v>-76442.220355635334</v>
      </c>
      <c r="H97" s="13">
        <f>+[10]Result!$C$36</f>
        <v>-74970.723353977635</v>
      </c>
      <c r="I97" s="13">
        <f>+[11]Result!$C$36</f>
        <v>-73303.926559828411</v>
      </c>
      <c r="J97" s="32">
        <f>+[12]Result!$C$36</f>
        <v>-76967.601667992509</v>
      </c>
      <c r="K97" s="13">
        <f>+[13]Result!$C$36</f>
        <v>-76944.063511447996</v>
      </c>
      <c r="L97" s="13">
        <f>+[14]Result!$C$36</f>
        <v>-73507.336086235533</v>
      </c>
      <c r="M97" s="13">
        <f>+[15]Result!$C$36</f>
        <v>-35182.067004716082</v>
      </c>
      <c r="N97" s="32">
        <f>+[16]Result!$C$36</f>
        <v>-35941.259043932652</v>
      </c>
      <c r="O97" s="13">
        <f>+[17]Result!$C$36</f>
        <v>-37850.434239974391</v>
      </c>
      <c r="P97" s="13">
        <f>+[18]Result!$C$36</f>
        <v>-45908.360863898481</v>
      </c>
      <c r="Q97" s="32">
        <f>+[19]Result!$C$36</f>
        <v>-45538.529381222092</v>
      </c>
      <c r="R97" s="32">
        <f>+[20]Result!$C$36</f>
        <v>-45587.198659250382</v>
      </c>
      <c r="S97" s="70">
        <f>+[22]Result!$C$36</f>
        <v>-46465.380846854896</v>
      </c>
    </row>
    <row r="98" spans="1:19" hidden="1" outlineLevel="2" x14ac:dyDescent="0.25">
      <c r="A98" s="16" t="s">
        <v>39</v>
      </c>
      <c r="B98" s="13">
        <f>+[1]Result!$C$37</f>
        <v>-54421.355842475517</v>
      </c>
      <c r="C98" s="13">
        <f>+[5]Result!$C$37</f>
        <v>-56335.377108664659</v>
      </c>
      <c r="D98" s="32">
        <f>+[6]Result!$C$37</f>
        <v>-53186.890228914985</v>
      </c>
      <c r="E98" s="13">
        <f>+[7]Result!$C$37</f>
        <v>-54967.176934454095</v>
      </c>
      <c r="F98" s="13">
        <f>+[8]Result!$C$37</f>
        <v>-52826.321561152785</v>
      </c>
      <c r="G98" s="32">
        <f>+[9]Result!$C$37</f>
        <v>-53005.316646199317</v>
      </c>
      <c r="H98" s="13">
        <f>+[10]Result!$C$37</f>
        <v>-51985.801424325291</v>
      </c>
      <c r="I98" s="13">
        <f>+[11]Result!$C$37</f>
        <v>-50809.851334709674</v>
      </c>
      <c r="J98" s="32">
        <f>+[12]Result!$C$37</f>
        <v>-55138.364067873139</v>
      </c>
      <c r="K98" s="13">
        <f>+[13]Result!$C$37</f>
        <v>-55120.967589132859</v>
      </c>
      <c r="L98" s="13">
        <f>+[14]Result!$C$37</f>
        <v>-52624.23546334717</v>
      </c>
      <c r="M98" s="13">
        <f>+[15]Result!$C$37</f>
        <v>-20920.213984346297</v>
      </c>
      <c r="N98" s="32">
        <f>+[16]Result!$C$37</f>
        <v>-21382.767739060935</v>
      </c>
      <c r="O98" s="13">
        <f>+[17]Result!$C$37</f>
        <v>-22534.283683442958</v>
      </c>
      <c r="P98" s="13">
        <f>+[18]Result!$C$37</f>
        <v>-30161.16610343006</v>
      </c>
      <c r="Q98" s="32">
        <f>+[19]Result!$C$37</f>
        <v>-29919.930627685815</v>
      </c>
      <c r="R98" s="32">
        <f>+[20]Result!$C$37</f>
        <v>-29943.495343037397</v>
      </c>
      <c r="S98" s="70">
        <f>+[22]Result!$C$37</f>
        <v>-30529.188173279552</v>
      </c>
    </row>
    <row r="99" spans="1:19" hidden="1" outlineLevel="2" x14ac:dyDescent="0.25">
      <c r="A99" s="16" t="s">
        <v>40</v>
      </c>
      <c r="B99" s="13">
        <f>+[1]Result!$C$38</f>
        <v>-44151.151817653088</v>
      </c>
      <c r="C99" s="13">
        <f>+[5]Result!$C$38</f>
        <v>-45722.435333248381</v>
      </c>
      <c r="D99" s="32">
        <f>+[6]Result!$C$38</f>
        <v>-43470.514270396518</v>
      </c>
      <c r="E99" s="13">
        <f>+[7]Result!$C$38</f>
        <v>-44926.935473877536</v>
      </c>
      <c r="F99" s="13">
        <f>+[8]Result!$C$38</f>
        <v>-43159.777006377728</v>
      </c>
      <c r="G99" s="32">
        <f>+[9]Result!$C$38</f>
        <v>-43466.015749504208</v>
      </c>
      <c r="H99" s="13">
        <f>+[10]Result!$C$38</f>
        <v>-42632.32246988533</v>
      </c>
      <c r="I99" s="13">
        <f>+[11]Result!$C$38</f>
        <v>-41652.234118102715</v>
      </c>
      <c r="J99" s="32">
        <f>+[12]Result!$C$38</f>
        <v>-43771.077745306437</v>
      </c>
      <c r="K99" s="13">
        <f>+[13]Result!$C$38</f>
        <v>-43756.843736239534</v>
      </c>
      <c r="L99" s="13">
        <f>+[14]Result!$C$38</f>
        <v>-41749.308371231928</v>
      </c>
      <c r="M99" s="13">
        <f>+[15]Result!$C$38</f>
        <v>-14529.595144170398</v>
      </c>
      <c r="N99" s="32">
        <f>+[16]Result!$C$38</f>
        <v>-14856.021574353377</v>
      </c>
      <c r="O99" s="13">
        <f>+[17]Result!$C$38</f>
        <v>-15668.587990447755</v>
      </c>
      <c r="P99" s="13">
        <f>+[18]Result!$C$38</f>
        <v>-21764.148937311955</v>
      </c>
      <c r="Q99" s="32">
        <f>+[19]Result!$C$38</f>
        <v>-21591.74783998659</v>
      </c>
      <c r="R99" s="32">
        <f>+[20]Result!$C$38</f>
        <v>-21602.265869509338</v>
      </c>
      <c r="S99" s="70">
        <f>+[22]Result!$C$38</f>
        <v>-22030.77665103101</v>
      </c>
    </row>
    <row r="100" spans="1:19" hidden="1" outlineLevel="2" x14ac:dyDescent="0.25">
      <c r="A100" s="16" t="s">
        <v>41</v>
      </c>
      <c r="B100" s="13">
        <f>+[1]Result!$C$39</f>
        <v>-35182.757918298477</v>
      </c>
      <c r="C100" s="13">
        <f>+[5]Result!$C$39</f>
        <v>-36454.295703688709</v>
      </c>
      <c r="D100" s="32">
        <f>+[6]Result!$C$39</f>
        <v>-33762.457129006609</v>
      </c>
      <c r="E100" s="13">
        <f>+[7]Result!$C$39</f>
        <v>-34892.650337022744</v>
      </c>
      <c r="F100" s="13">
        <f>+[8]Result!$C$39</f>
        <v>-33513.963522848491</v>
      </c>
      <c r="G100" s="32">
        <f>+[9]Result!$C$39</f>
        <v>-33341.908925090589</v>
      </c>
      <c r="H100" s="13">
        <f>+[10]Result!$C$39</f>
        <v>-32694.503444548398</v>
      </c>
      <c r="I100" s="13">
        <f>+[11]Result!$C$39</f>
        <v>-31936.791611657038</v>
      </c>
      <c r="J100" s="32">
        <f>+[12]Result!$C$39</f>
        <v>-32887.039771196309</v>
      </c>
      <c r="K100" s="13">
        <f>+[13]Result!$C$39</f>
        <v>-32876.02666078831</v>
      </c>
      <c r="L100" s="13">
        <f>+[14]Result!$C$39</f>
        <v>-31355.283189987345</v>
      </c>
      <c r="M100" s="13">
        <f>+[15]Result!$C$39</f>
        <v>-9207.531327121882</v>
      </c>
      <c r="N100" s="32">
        <f>+[16]Result!$C$39</f>
        <v>-9417.4872571376272</v>
      </c>
      <c r="O100" s="13">
        <f>+[17]Result!$C$39</f>
        <v>-9940.0608458968691</v>
      </c>
      <c r="P100" s="13">
        <f>+[18]Result!$C$39</f>
        <v>-14665.877965982176</v>
      </c>
      <c r="Q100" s="32">
        <f>+[19]Result!$C$39</f>
        <v>-14548.686215077023</v>
      </c>
      <c r="R100" s="32">
        <f>+[20]Result!$C$39</f>
        <v>-14553.549909947036</v>
      </c>
      <c r="S100" s="70">
        <f>+[22]Result!$C$39</f>
        <v>-14845.976026825876</v>
      </c>
    </row>
    <row r="101" spans="1:19" hidden="1" outlineLevel="2" x14ac:dyDescent="0.25">
      <c r="A101" s="16" t="s">
        <v>42</v>
      </c>
      <c r="B101" s="13">
        <f>+[1]Result!$C$40</f>
        <v>-23681.107489436574</v>
      </c>
      <c r="C101" s="13">
        <f>+[5]Result!$C$40</f>
        <v>-24549.337244879298</v>
      </c>
      <c r="D101" s="32">
        <f>+[6]Result!$C$40</f>
        <v>-22915.227676036942</v>
      </c>
      <c r="E101" s="13">
        <f>+[7]Result!$C$40</f>
        <v>-23676.168784817593</v>
      </c>
      <c r="F101" s="13">
        <f>+[8]Result!$C$40</f>
        <v>-22737.796116739199</v>
      </c>
      <c r="G101" s="32">
        <f>+[9]Result!$C$40</f>
        <v>-22905.605933961695</v>
      </c>
      <c r="H101" s="13">
        <f>+[10]Result!$C$40</f>
        <v>-22455.855371807866</v>
      </c>
      <c r="I101" s="13">
        <f>+[11]Result!$C$40</f>
        <v>-21931.896189929277</v>
      </c>
      <c r="J101" s="32">
        <f>+[12]Result!$C$40</f>
        <v>-23257.061642207878</v>
      </c>
      <c r="K101" s="13">
        <f>+[13]Result!$C$40</f>
        <v>-23245.049617543849</v>
      </c>
      <c r="L101" s="13">
        <f>+[14]Result!$C$40</f>
        <v>-22162.323436659557</v>
      </c>
      <c r="M101" s="13">
        <f>+[15]Result!$C$40</f>
        <v>-4008.3123423634188</v>
      </c>
      <c r="N101" s="32">
        <f>+[16]Result!$C$40</f>
        <v>-4100.9814232098634</v>
      </c>
      <c r="O101" s="13">
        <f>+[17]Result!$C$40</f>
        <v>-4331.5881960926035</v>
      </c>
      <c r="P101" s="13">
        <f>+[18]Result!$C$40</f>
        <v>-8583.851095944201</v>
      </c>
      <c r="Q101" s="32">
        <f>+[19]Result!$C$40</f>
        <v>-8514.7417499599305</v>
      </c>
      <c r="R101" s="32">
        <f>+[20]Result!$C$40</f>
        <v>-8517.6707735150048</v>
      </c>
      <c r="S101" s="70">
        <f>+[22]Result!$C$40</f>
        <v>-8689.344428358736</v>
      </c>
    </row>
    <row r="102" spans="1:19" hidden="1" outlineLevel="2" x14ac:dyDescent="0.25">
      <c r="A102" s="16" t="s">
        <v>43</v>
      </c>
      <c r="B102" s="13">
        <f>+[1]Result!$C$41</f>
        <v>-16900.495060827616</v>
      </c>
      <c r="C102" s="13">
        <f>+[5]Result!$C$41</f>
        <v>-17525.322778278623</v>
      </c>
      <c r="D102" s="32">
        <f>+[6]Result!$C$41</f>
        <v>-16624.525991813585</v>
      </c>
      <c r="E102" s="13">
        <f>+[7]Result!$C$41</f>
        <v>-17174.003835760748</v>
      </c>
      <c r="F102" s="13">
        <f>+[8]Result!$C$41</f>
        <v>-16489.272428630797</v>
      </c>
      <c r="G102" s="32">
        <f>+[9]Result!$C$41</f>
        <v>-16782.488887323627</v>
      </c>
      <c r="H102" s="13">
        <f>+[10]Result!$C$41</f>
        <v>-16452.541226222842</v>
      </c>
      <c r="I102" s="13">
        <f>+[11]Result!$C$41</f>
        <v>-16063.685920100548</v>
      </c>
      <c r="J102" s="32">
        <f>+[12]Result!$C$41</f>
        <v>-17581.257062822835</v>
      </c>
      <c r="K102" s="13">
        <f>+[13]Result!$C$41</f>
        <v>-17571.908799711855</v>
      </c>
      <c r="L102" s="13">
        <f>+[14]Result!$C$41</f>
        <v>-16745.792017299678</v>
      </c>
      <c r="M102" s="13">
        <f>+[15]Result!$C$41</f>
        <v>-1206.37775780484</v>
      </c>
      <c r="N102" s="32">
        <f>+[16]Result!$C$41</f>
        <v>-1234.6265702991475</v>
      </c>
      <c r="O102" s="13">
        <f>+[17]Result!$C$41</f>
        <v>-1304.907411580059</v>
      </c>
      <c r="P102" s="13">
        <f>+[18]Result!$C$41</f>
        <v>-5180.67811559646</v>
      </c>
      <c r="Q102" s="32">
        <f>+[19]Result!$C$41</f>
        <v>-5139.6153126648951</v>
      </c>
      <c r="R102" s="32">
        <f>+[20]Result!$C$41</f>
        <v>-5140.5262208047488</v>
      </c>
      <c r="S102" s="70">
        <f>+[22]Result!$C$41</f>
        <v>-5245.2215409305627</v>
      </c>
    </row>
    <row r="103" spans="1:19" hidden="1" outlineLevel="2" x14ac:dyDescent="0.25">
      <c r="A103" s="16" t="s">
        <v>44</v>
      </c>
      <c r="B103" s="13">
        <f>+[1]Result!$C$42</f>
        <v>-12810.258105766356</v>
      </c>
      <c r="C103" s="13">
        <f>+[5]Result!$C$42</f>
        <v>-13287.290228230377</v>
      </c>
      <c r="D103" s="32">
        <f>+[6]Result!$C$42</f>
        <v>-12944.009450476451</v>
      </c>
      <c r="E103" s="13">
        <f>+[7]Result!$C$42</f>
        <v>-13371.493293004283</v>
      </c>
      <c r="F103" s="13">
        <f>+[8]Result!$C$42</f>
        <v>-12835.837744550927</v>
      </c>
      <c r="G103" s="32">
        <f>+[9]Result!$C$42</f>
        <v>-13274.818056217662</v>
      </c>
      <c r="H103" s="13">
        <f>+[10]Result!$C$42</f>
        <v>-13013.885560498849</v>
      </c>
      <c r="I103" s="13">
        <f>+[11]Result!$C$42</f>
        <v>-12702.619443787788</v>
      </c>
      <c r="J103" s="32">
        <f>+[12]Result!$C$42</f>
        <v>-14299.462165032886</v>
      </c>
      <c r="K103" s="13">
        <f>+[13]Result!$C$42</f>
        <v>-14291.663859530921</v>
      </c>
      <c r="L103" s="13">
        <f>+[14]Result!$C$42</f>
        <v>-13614.203203977981</v>
      </c>
      <c r="M103" s="13">
        <f>+[15]Result!$C$42</f>
        <v>-291.62650240017581</v>
      </c>
      <c r="N103" s="32">
        <f>+[16]Result!$C$42</f>
        <v>-298.590180024598</v>
      </c>
      <c r="O103" s="13">
        <f>+[17]Result!$C$42</f>
        <v>-315.72154580638608</v>
      </c>
      <c r="P103" s="13">
        <f>+[18]Result!$C$42</f>
        <v>-4145.9938744858064</v>
      </c>
      <c r="Q103" s="32">
        <f>+[19]Result!$C$42</f>
        <v>-4112.9847272039206</v>
      </c>
      <c r="R103" s="32">
        <f>+[20]Result!$C$42</f>
        <v>-4112.9847272039206</v>
      </c>
      <c r="S103" s="70">
        <f>+[22]Result!$C$42</f>
        <v>-4198.3089787651033</v>
      </c>
    </row>
    <row r="104" spans="1:19" hidden="1" outlineLevel="2" x14ac:dyDescent="0.25">
      <c r="A104" s="16" t="s">
        <v>45</v>
      </c>
      <c r="B104" s="13">
        <f>+[1]Result!$C$43</f>
        <v>-11349.910045817098</v>
      </c>
      <c r="C104" s="13">
        <f>+[5]Result!$C$43</f>
        <v>-11775.137846018008</v>
      </c>
      <c r="D104" s="32">
        <f>+[6]Result!$C$43</f>
        <v>-11543.509577092174</v>
      </c>
      <c r="E104" s="13">
        <f>+[7]Result!$C$43</f>
        <v>-11926.09261054456</v>
      </c>
      <c r="F104" s="13">
        <f>+[8]Result!$C$43</f>
        <v>-11444.490444317467</v>
      </c>
      <c r="G104" s="32">
        <f>+[9]Result!$C$43</f>
        <v>-11639.546903360228</v>
      </c>
      <c r="H104" s="13">
        <f>+[10]Result!$C$43</f>
        <v>-11408.998952801972</v>
      </c>
      <c r="I104" s="13">
        <f>+[11]Result!$C$43</f>
        <v>-11133.106925567132</v>
      </c>
      <c r="J104" s="32">
        <f>+[12]Result!$C$43</f>
        <v>-11578.044086596425</v>
      </c>
      <c r="K104" s="13">
        <f>+[13]Result!$C$43</f>
        <v>-11569.394351119518</v>
      </c>
      <c r="L104" s="13">
        <f>+[14]Result!$C$43</f>
        <v>-11019.072361133489</v>
      </c>
      <c r="M104" s="13">
        <f>+[15]Result!$C$43</f>
        <v>52.389672030065192</v>
      </c>
      <c r="N104" s="32">
        <f>+[16]Result!$C$43</f>
        <v>53.654487615860781</v>
      </c>
      <c r="O104" s="13">
        <f>+[17]Result!$C$43</f>
        <v>56.764234602749553</v>
      </c>
      <c r="P104" s="13">
        <f>+[18]Result!$C$43</f>
        <v>-2655.6541506237213</v>
      </c>
      <c r="Q104" s="32">
        <f>+[19]Result!$C$43</f>
        <v>-2634.4391921859669</v>
      </c>
      <c r="R104" s="32">
        <f>+[20]Result!$C$43</f>
        <v>-2634.4391921859669</v>
      </c>
      <c r="S104" s="70">
        <f>+[22]Result!$C$43</f>
        <v>-2689.0591379195744</v>
      </c>
    </row>
    <row r="105" spans="1:19" hidden="1" outlineLevel="2" x14ac:dyDescent="0.25">
      <c r="A105" s="16" t="s">
        <v>46</v>
      </c>
      <c r="B105" s="13">
        <f>+[1]Result!$C$44</f>
        <v>-9015.8098610350626</v>
      </c>
      <c r="C105" s="13">
        <f>+[5]Result!$C$44</f>
        <v>-9355.273440356219</v>
      </c>
      <c r="D105" s="32">
        <f>+[6]Result!$C$44</f>
        <v>-8356.0246217555286</v>
      </c>
      <c r="E105" s="13">
        <f>+[7]Result!$C$44</f>
        <v>-8633.6078883792361</v>
      </c>
      <c r="F105" s="13">
        <f>+[8]Result!$C$44</f>
        <v>-8282.5014577977818</v>
      </c>
      <c r="G105" s="32">
        <f>+[9]Result!$C$44</f>
        <v>-8589.1401774371661</v>
      </c>
      <c r="H105" s="13">
        <f>+[10]Result!$C$44</f>
        <v>-8419.4878055018507</v>
      </c>
      <c r="I105" s="13">
        <f>+[11]Result!$C$44</f>
        <v>-8213.8247651199999</v>
      </c>
      <c r="J105" s="32">
        <f>+[12]Result!$C$44</f>
        <v>-7725.7987717303322</v>
      </c>
      <c r="K105" s="13">
        <f>+[13]Result!$C$44</f>
        <v>-7719.8774338240355</v>
      </c>
      <c r="L105" s="13">
        <f>+[14]Result!$C$44</f>
        <v>-7350.4195387663731</v>
      </c>
      <c r="M105" s="13">
        <f>+[15]Result!$C$44</f>
        <v>283.76114401744445</v>
      </c>
      <c r="N105" s="32">
        <f>+[16]Result!$C$44</f>
        <v>290.62495679969015</v>
      </c>
      <c r="O105" s="13">
        <f>+[17]Result!$C$44</f>
        <v>307.68339627316311</v>
      </c>
      <c r="P105" s="13">
        <f>+[18]Result!$C$44</f>
        <v>-1894.1634334079251</v>
      </c>
      <c r="Q105" s="32">
        <f>+[19]Result!$C$44</f>
        <v>-1879.0011048754811</v>
      </c>
      <c r="R105" s="32">
        <f>+[20]Result!$C$44</f>
        <v>-1879.0011048754811</v>
      </c>
      <c r="S105" s="70">
        <f>+[22]Result!$C$44</f>
        <v>-1917.8779390041502</v>
      </c>
    </row>
    <row r="106" spans="1:19" hidden="1" outlineLevel="2" x14ac:dyDescent="0.25">
      <c r="A106" s="16" t="s">
        <v>47</v>
      </c>
      <c r="B106" s="13">
        <f>+[1]Result!$C$45</f>
        <v>-3594.6423084808293</v>
      </c>
      <c r="C106" s="13">
        <f>+[5]Result!$C$45</f>
        <v>-3730.5142435092393</v>
      </c>
      <c r="D106" s="32">
        <f>+[6]Result!$C$45</f>
        <v>-3397.4935582154299</v>
      </c>
      <c r="E106" s="13">
        <f>+[7]Result!$C$45</f>
        <v>-3509.7920038803227</v>
      </c>
      <c r="F106" s="13">
        <f>+[8]Result!$C$45</f>
        <v>-3366.8491670607127</v>
      </c>
      <c r="G106" s="32">
        <f>+[9]Result!$C$45</f>
        <v>-3508.3161114082377</v>
      </c>
      <c r="H106" s="13">
        <f>+[10]Result!$C$45</f>
        <v>-3439.3186067921106</v>
      </c>
      <c r="I106" s="13">
        <f>+[11]Result!$C$45</f>
        <v>-3355.1857467322429</v>
      </c>
      <c r="J106" s="32">
        <f>+[12]Result!$C$45</f>
        <v>-3146.6201734623305</v>
      </c>
      <c r="K106" s="13">
        <f>+[13]Result!$C$45</f>
        <v>-3144.1475713760697</v>
      </c>
      <c r="L106" s="13">
        <f>+[14]Result!$C$45</f>
        <v>-2992.3157077310866</v>
      </c>
      <c r="M106" s="13">
        <f>+[15]Result!$C$45</f>
        <v>-14580.279265667665</v>
      </c>
      <c r="N106" s="32">
        <f>+[16]Result!$C$45</f>
        <v>-14936.135827683574</v>
      </c>
      <c r="O106" s="13">
        <f>+[17]Result!$C$45</f>
        <v>-15820.132099968108</v>
      </c>
      <c r="P106" s="13">
        <f>+[18]Result!$C$45</f>
        <v>-22007.513355643572</v>
      </c>
      <c r="Q106" s="32">
        <f>+[19]Result!$C$45</f>
        <v>-21831.176032396532</v>
      </c>
      <c r="R106" s="32">
        <f>+[20]Result!$C$45</f>
        <v>-21826.909539482389</v>
      </c>
      <c r="S106" s="70">
        <f>+[22]Result!$C$45</f>
        <v>-22285.669194034712</v>
      </c>
    </row>
    <row r="107" spans="1:19" hidden="1" outlineLevel="2" x14ac:dyDescent="0.25">
      <c r="A107" s="16" t="s">
        <v>48</v>
      </c>
      <c r="B107" s="13">
        <f>+[1]Result!$C$46</f>
        <v>-1464.9813747000192</v>
      </c>
      <c r="C107" s="13">
        <f>+[5]Result!$C$46</f>
        <v>-1520.8170415163149</v>
      </c>
      <c r="D107" s="32">
        <f>+[6]Result!$C$46</f>
        <v>-1405.0568874677729</v>
      </c>
      <c r="E107" s="13">
        <f>+[7]Result!$C$46</f>
        <v>-1451.4846589889933</v>
      </c>
      <c r="F107" s="13">
        <f>+[8]Result!$C$46</f>
        <v>-1392.3533461107775</v>
      </c>
      <c r="G107" s="32">
        <f>+[9]Result!$C$46</f>
        <v>-1451.8746519511105</v>
      </c>
      <c r="H107" s="13">
        <f>+[10]Result!$C$46</f>
        <v>-1423.1981432006091</v>
      </c>
      <c r="I107" s="13">
        <f>+[11]Result!$C$46</f>
        <v>-1388.3763093988366</v>
      </c>
      <c r="J107" s="32">
        <f>+[12]Result!$C$46</f>
        <v>-1319.8167416793956</v>
      </c>
      <c r="K107" s="13">
        <f>+[13]Result!$C$46</f>
        <v>-1318.7540923617296</v>
      </c>
      <c r="L107" s="13">
        <f>+[14]Result!$C$46</f>
        <v>-1254.8013116791237</v>
      </c>
      <c r="M107" s="13">
        <f>+[15]Result!$C$46</f>
        <v>-5445.8935603551636</v>
      </c>
      <c r="N107" s="32">
        <f>+[16]Result!$C$46</f>
        <v>-5579.8892692645522</v>
      </c>
      <c r="O107" s="13">
        <f>+[17]Result!$C$46</f>
        <v>-5912.5716816392505</v>
      </c>
      <c r="P107" s="13">
        <f>+[18]Result!$C$46</f>
        <v>-10207.044430300606</v>
      </c>
      <c r="Q107" s="32">
        <f>+[19]Result!$C$46</f>
        <v>-10125.292409447804</v>
      </c>
      <c r="R107" s="32">
        <f>+[20]Result!$C$46</f>
        <v>-10123.249030073173</v>
      </c>
      <c r="S107" s="70">
        <f>+[22]Result!$C$46</f>
        <v>-10337.185580339854</v>
      </c>
    </row>
    <row r="108" spans="1:19" hidden="1" outlineLevel="2" x14ac:dyDescent="0.25">
      <c r="A108" s="16" t="s">
        <v>49</v>
      </c>
      <c r="B108" s="13">
        <f>+[1]Result!$C$47</f>
        <v>-734.02009441733412</v>
      </c>
      <c r="C108" s="13">
        <f>+[5]Result!$C$47</f>
        <v>-762.20655947521732</v>
      </c>
      <c r="D108" s="32">
        <f>+[6]Result!$C$47</f>
        <v>-717.1686574862033</v>
      </c>
      <c r="E108" s="13">
        <f>+[7]Result!$C$47</f>
        <v>-740.98522236402164</v>
      </c>
      <c r="F108" s="13">
        <f>+[8]Result!$C$47</f>
        <v>-710.67705710689381</v>
      </c>
      <c r="G108" s="32">
        <f>+[9]Result!$C$47</f>
        <v>-733.85117762261257</v>
      </c>
      <c r="H108" s="13">
        <f>+[10]Result!$C$47</f>
        <v>-719.3085068504829</v>
      </c>
      <c r="I108" s="13">
        <f>+[11]Result!$C$47</f>
        <v>-701.58037888906301</v>
      </c>
      <c r="J108" s="32">
        <f>+[12]Result!$C$47</f>
        <v>-674.52510735679948</v>
      </c>
      <c r="K108" s="13">
        <f>+[13]Result!$C$47</f>
        <v>-673.96895901960465</v>
      </c>
      <c r="L108" s="13">
        <f>+[14]Result!$C$47</f>
        <v>-641.17925075802316</v>
      </c>
      <c r="M108" s="13">
        <f>+[15]Result!$C$47</f>
        <v>-2149.7933010860602</v>
      </c>
      <c r="N108" s="32">
        <f>+[16]Result!$C$47</f>
        <v>-2203.5236029828848</v>
      </c>
      <c r="O108" s="13">
        <f>+[17]Result!$C$47</f>
        <v>-2335.755221963936</v>
      </c>
      <c r="P108" s="13">
        <f>+[18]Result!$C$47</f>
        <v>-3857.1793898228639</v>
      </c>
      <c r="Q108" s="32">
        <f>+[19]Result!$C$47</f>
        <v>-3825.5446851227275</v>
      </c>
      <c r="R108" s="32">
        <f>+[20]Result!$C$47</f>
        <v>-3824.7606342187919</v>
      </c>
      <c r="S108" s="70">
        <f>+[22]Result!$C$47</f>
        <v>-3905.141109234652</v>
      </c>
    </row>
    <row r="109" spans="1:19" hidden="1" outlineLevel="2" x14ac:dyDescent="0.25">
      <c r="A109" s="16" t="s">
        <v>50</v>
      </c>
      <c r="B109" s="13">
        <f>+[1]Result!$C$48</f>
        <v>-433.60480575988703</v>
      </c>
      <c r="C109" s="13">
        <f>+[5]Result!$C$48</f>
        <v>-450.27065814168861</v>
      </c>
      <c r="D109" s="32">
        <f>+[6]Result!$C$48</f>
        <v>-418.86153913100105</v>
      </c>
      <c r="E109" s="13">
        <f>+[7]Result!$C$48</f>
        <v>-432.6453907831733</v>
      </c>
      <c r="F109" s="13">
        <f>+[8]Result!$C$48</f>
        <v>-414.98166718759001</v>
      </c>
      <c r="G109" s="32">
        <f>+[9]Result!$C$48</f>
        <v>-424.7262790563737</v>
      </c>
      <c r="H109" s="13">
        <f>+[10]Result!$C$48</f>
        <v>-416.28975964644741</v>
      </c>
      <c r="I109" s="13">
        <f>+[11]Result!$C$48</f>
        <v>-405.96333992240579</v>
      </c>
      <c r="J109" s="32">
        <f>+[12]Result!$C$48</f>
        <v>-390.10817240548039</v>
      </c>
      <c r="K109" s="13">
        <f>+[13]Result!$C$48</f>
        <v>-389.77897662979115</v>
      </c>
      <c r="L109" s="13">
        <f>+[14]Result!$C$48</f>
        <v>-370.69391561263546</v>
      </c>
      <c r="M109" s="13">
        <f>+[15]Result!$C$48</f>
        <v>-1035.9929373555774</v>
      </c>
      <c r="N109" s="32">
        <f>+[16]Result!$C$48</f>
        <v>-1062.0574175756115</v>
      </c>
      <c r="O109" s="13">
        <f>+[17]Result!$C$48</f>
        <v>-1126.3820286560101</v>
      </c>
      <c r="P109" s="13">
        <f>+[18]Result!$C$48</f>
        <v>-1595.6514691922571</v>
      </c>
      <c r="Q109" s="32">
        <f>+[19]Result!$C$48</f>
        <v>-1582.2582563067865</v>
      </c>
      <c r="R109" s="32">
        <f>+[20]Result!$C$48</f>
        <v>-1581.9233671731272</v>
      </c>
      <c r="S109" s="70">
        <f>+[22]Result!$C$48</f>
        <v>-1615.277969017968</v>
      </c>
    </row>
    <row r="110" spans="1:19" hidden="1" outlineLevel="2" x14ac:dyDescent="0.25">
      <c r="A110" s="16" t="s">
        <v>51</v>
      </c>
      <c r="B110" s="13">
        <f>+[1]Result!$C$49</f>
        <v>-239.91696043602747</v>
      </c>
      <c r="C110" s="13">
        <f>+[5]Result!$C$49</f>
        <v>-249.13714918360404</v>
      </c>
      <c r="D110" s="32">
        <f>+[6]Result!$C$49</f>
        <v>-234.44133614261602</v>
      </c>
      <c r="E110" s="13">
        <f>+[7]Result!$C$49</f>
        <v>-242.12565540178153</v>
      </c>
      <c r="F110" s="13">
        <f>+[8]Result!$C$49</f>
        <v>-232.27024342031686</v>
      </c>
      <c r="G110" s="32">
        <f>+[9]Result!$C$49</f>
        <v>-239.42481726623197</v>
      </c>
      <c r="H110" s="13">
        <f>+[10]Result!$C$49</f>
        <v>-234.66244431270346</v>
      </c>
      <c r="I110" s="13">
        <f>+[11]Result!$C$49</f>
        <v>-228.85755787552719</v>
      </c>
      <c r="J110" s="32">
        <f>+[12]Result!$C$49</f>
        <v>-220.50922881407544</v>
      </c>
      <c r="K110" s="13">
        <f>+[13]Result!$C$49</f>
        <v>-220.31888313946703</v>
      </c>
      <c r="L110" s="13">
        <f>+[14]Result!$C$49</f>
        <v>-209.5155732986502</v>
      </c>
      <c r="M110" s="13">
        <f>+[15]Result!$C$49</f>
        <v>-543.71401405841686</v>
      </c>
      <c r="N110" s="32">
        <f>+[16]Result!$C$49</f>
        <v>-557.4703112460619</v>
      </c>
      <c r="O110" s="13">
        <f>+[17]Result!$C$49</f>
        <v>-591.52407606798704</v>
      </c>
      <c r="P110" s="13">
        <f>+[18]Result!$C$49</f>
        <v>-771.82322120499236</v>
      </c>
      <c r="Q110" s="32">
        <f>+[19]Result!$C$49</f>
        <v>-765.36083125201856</v>
      </c>
      <c r="R110" s="32">
        <f>+[20]Result!$C$49</f>
        <v>-765.19668394697669</v>
      </c>
      <c r="S110" s="70">
        <f>+[22]Result!$C$49</f>
        <v>-781.53609641384821</v>
      </c>
    </row>
    <row r="111" spans="1:19" hidden="1" outlineLevel="2" x14ac:dyDescent="0.25">
      <c r="A111" s="16" t="s">
        <v>52</v>
      </c>
      <c r="B111" s="13">
        <f>+[1]Result!$C$50</f>
        <v>-130.43166426832892</v>
      </c>
      <c r="C111" s="13">
        <f>+[5]Result!$C$50</f>
        <v>-135.46824290135481</v>
      </c>
      <c r="D111" s="32">
        <f>+[6]Result!$C$50</f>
        <v>-127.06038352212131</v>
      </c>
      <c r="E111" s="13">
        <f>+[7]Result!$C$50</f>
        <v>-131.23278981539545</v>
      </c>
      <c r="F111" s="13">
        <f>+[8]Result!$C$50</f>
        <v>-125.88547559526197</v>
      </c>
      <c r="G111" s="32">
        <f>+[9]Result!$C$50</f>
        <v>-129.91352749926313</v>
      </c>
      <c r="H111" s="13">
        <f>+[10]Result!$C$50</f>
        <v>-127.3563138183583</v>
      </c>
      <c r="I111" s="13">
        <f>+[11]Result!$C$50</f>
        <v>-124.19121100697478</v>
      </c>
      <c r="J111" s="32">
        <f>+[12]Result!$C$50</f>
        <v>-118.42927000741241</v>
      </c>
      <c r="K111" s="13">
        <f>+[13]Result!$C$50</f>
        <v>-118.32474916638043</v>
      </c>
      <c r="L111" s="13">
        <f>+[14]Result!$C$50</f>
        <v>-112.51999273152317</v>
      </c>
      <c r="M111" s="13">
        <f>+[15]Result!$C$50</f>
        <v>-275.31312342575853</v>
      </c>
      <c r="N111" s="32">
        <f>+[16]Result!$C$50</f>
        <v>-282.31350168777294</v>
      </c>
      <c r="O111" s="13">
        <f>+[17]Result!$C$50</f>
        <v>-299.62723215267323</v>
      </c>
      <c r="P111" s="13">
        <f>+[18]Result!$C$50</f>
        <v>-390.11542492375133</v>
      </c>
      <c r="Q111" s="32">
        <f>+[19]Result!$C$50</f>
        <v>-386.94649315024481</v>
      </c>
      <c r="R111" s="32">
        <f>+[20]Result!$C$50</f>
        <v>-386.77597421229893</v>
      </c>
      <c r="S111" s="70">
        <f>+[22]Result!$C$50</f>
        <v>-395.04904848655895</v>
      </c>
    </row>
    <row r="112" spans="1:19" hidden="1" outlineLevel="2" x14ac:dyDescent="0.25">
      <c r="A112" s="16" t="s">
        <v>53</v>
      </c>
      <c r="B112" s="13">
        <f>+[1]Result!$C$51</f>
        <v>-67.32722304544771</v>
      </c>
      <c r="C112" s="13">
        <f>+[5]Result!$C$51</f>
        <v>-69.9217967858267</v>
      </c>
      <c r="D112" s="32">
        <f>+[6]Result!$C$51</f>
        <v>-65.736038593704549</v>
      </c>
      <c r="E112" s="13">
        <f>+[7]Result!$C$51</f>
        <v>-67.896553540079339</v>
      </c>
      <c r="F112" s="13">
        <f>+[8]Result!$C$51</f>
        <v>-65.114943789328123</v>
      </c>
      <c r="G112" s="32">
        <f>+[9]Result!$C$51</f>
        <v>-67.942105529876073</v>
      </c>
      <c r="H112" s="13">
        <f>+[10]Result!$C$51</f>
        <v>-66.605927366946844</v>
      </c>
      <c r="I112" s="13">
        <f>+[11]Result!$C$51</f>
        <v>-64.943913309976637</v>
      </c>
      <c r="J112" s="32">
        <f>+[12]Result!$C$51</f>
        <v>-60.985110015968452</v>
      </c>
      <c r="K112" s="13">
        <f>+[13]Result!$C$51</f>
        <v>-60.930107144340816</v>
      </c>
      <c r="L112" s="13">
        <f>+[14]Result!$C$51</f>
        <v>-57.929303163601375</v>
      </c>
      <c r="M112" s="13">
        <f>+[15]Result!$C$51</f>
        <v>-117.87102644474649</v>
      </c>
      <c r="N112" s="32">
        <f>+[16]Result!$C$51</f>
        <v>-120.88011162900288</v>
      </c>
      <c r="O112" s="13">
        <f>+[17]Result!$C$51</f>
        <v>-128.34554022385311</v>
      </c>
      <c r="P112" s="13">
        <f>+[18]Result!$C$51</f>
        <v>-181.85920926608628</v>
      </c>
      <c r="Q112" s="32">
        <f>+[19]Result!$C$51</f>
        <v>-180.39048067201725</v>
      </c>
      <c r="R112" s="32">
        <f>+[20]Result!$C$51</f>
        <v>-180.34963705184495</v>
      </c>
      <c r="S112" s="70">
        <f>+[22]Result!$C$51</f>
        <v>-184.16822360513194</v>
      </c>
    </row>
    <row r="113" spans="1:37" hidden="1" outlineLevel="2" x14ac:dyDescent="0.25">
      <c r="A113" s="16" t="s">
        <v>54</v>
      </c>
      <c r="B113" s="13">
        <f>+[1]Result!$C$52</f>
        <v>-30.26901506262417</v>
      </c>
      <c r="C113" s="13">
        <f>+[5]Result!$C$52</f>
        <v>-31.431757877249865</v>
      </c>
      <c r="D113" s="32">
        <f>+[6]Result!$C$52</f>
        <v>-28.611671900662198</v>
      </c>
      <c r="E113" s="13">
        <f>+[7]Result!$C$52</f>
        <v>-29.558853574156629</v>
      </c>
      <c r="F113" s="13">
        <f>+[8]Result!$C$52</f>
        <v>-28.342082992628704</v>
      </c>
      <c r="G113" s="32">
        <f>+[9]Result!$C$52</f>
        <v>-30.498578520610582</v>
      </c>
      <c r="H113" s="13">
        <f>+[10]Result!$C$52</f>
        <v>-29.892896310891057</v>
      </c>
      <c r="I113" s="13">
        <f>+[11]Result!$C$52</f>
        <v>-29.151357941436604</v>
      </c>
      <c r="J113" s="32">
        <f>+[12]Result!$C$52</f>
        <v>-27.094693400393304</v>
      </c>
      <c r="K113" s="13">
        <f>+[13]Result!$C$52</f>
        <v>-27.069732367978688</v>
      </c>
      <c r="L113" s="13">
        <f>+[14]Result!$C$52</f>
        <v>-25.738239382260431</v>
      </c>
      <c r="M113" s="13">
        <f>+[15]Result!$C$52</f>
        <v>-32.362598935100301</v>
      </c>
      <c r="N113" s="32">
        <f>+[16]Result!$C$52</f>
        <v>-33.199176400470108</v>
      </c>
      <c r="O113" s="13">
        <f>+[17]Result!$C$52</f>
        <v>-35.26247583067633</v>
      </c>
      <c r="P113" s="13">
        <f>+[18]Result!$C$52</f>
        <v>-67.015901040005929</v>
      </c>
      <c r="Q113" s="32">
        <f>+[19]Result!$C$52</f>
        <v>-66.463081719068128</v>
      </c>
      <c r="R113" s="32">
        <f>+[20]Result!$C$52</f>
        <v>-66.447878392517538</v>
      </c>
      <c r="S113" s="70">
        <f>+[22]Result!$C$52</f>
        <v>-67.869652803412464</v>
      </c>
    </row>
    <row r="114" spans="1:37" hidden="1" outlineLevel="2" x14ac:dyDescent="0.25">
      <c r="A114" s="16" t="s">
        <v>55</v>
      </c>
      <c r="B114" s="13">
        <f>+[1]Result!$C$53</f>
        <v>-11.104792968254637</v>
      </c>
      <c r="C114" s="13">
        <f>+[5]Result!$C$53</f>
        <v>-11.532319100248507</v>
      </c>
      <c r="D114" s="32">
        <f>+[6]Result!$C$53</f>
        <v>-10.224619289912912</v>
      </c>
      <c r="E114" s="13">
        <f>+[7]Result!$C$53</f>
        <v>-10.56285685043842</v>
      </c>
      <c r="F114" s="13">
        <f>+[8]Result!$C$53</f>
        <v>-10.128668926561344</v>
      </c>
      <c r="G114" s="32">
        <f>+[9]Result!$C$53</f>
        <v>-10.394934532652972</v>
      </c>
      <c r="H114" s="13">
        <f>+[10]Result!$C$53</f>
        <v>-10.189001697201844</v>
      </c>
      <c r="I114" s="13">
        <f>+[11]Result!$C$53</f>
        <v>-9.9333560317748777</v>
      </c>
      <c r="J114" s="32">
        <f>+[12]Result!$C$53</f>
        <v>-9.0403147166375497</v>
      </c>
      <c r="K114" s="13">
        <f>+[13]Result!$C$53</f>
        <v>-9.0318113838463692</v>
      </c>
      <c r="L114" s="13">
        <f>+[14]Result!$C$53</f>
        <v>-8.586553006107577</v>
      </c>
      <c r="M114" s="13">
        <f>+[15]Result!$C$53</f>
        <v>-0.95761951163616799</v>
      </c>
      <c r="N114" s="32">
        <f>+[16]Result!$C$53</f>
        <v>-0.98221145458566617</v>
      </c>
      <c r="O114" s="13">
        <f>+[17]Result!$C$53</f>
        <v>-1.0435975854169437</v>
      </c>
      <c r="P114" s="13">
        <f>+[18]Result!$C$53</f>
        <v>-13.552133173997278</v>
      </c>
      <c r="Q114" s="32">
        <f>+[19]Result!$C$53</f>
        <v>-13.441137156563991</v>
      </c>
      <c r="R114" s="32">
        <f>+[20]Result!$C$53</f>
        <v>-13.434823666558389</v>
      </c>
      <c r="S114" s="70">
        <f>+[22]Result!$C$53</f>
        <v>-13.721987225949286</v>
      </c>
    </row>
    <row r="115" spans="1:37" hidden="1" outlineLevel="2" x14ac:dyDescent="0.25">
      <c r="A115" s="16" t="s">
        <v>56</v>
      </c>
      <c r="B115" s="13">
        <f>+[1]Result!$C$54</f>
        <v>-2.8759704124216965</v>
      </c>
      <c r="C115" s="13">
        <f>+[5]Result!$C$54</f>
        <v>-2.9868438242360571</v>
      </c>
      <c r="D115" s="32">
        <f>+[6]Result!$C$54</f>
        <v>-2.471653368288818</v>
      </c>
      <c r="E115" s="13">
        <f>+[7]Result!$C$54</f>
        <v>-2.5526660912688182</v>
      </c>
      <c r="F115" s="13">
        <f>+[8]Result!$C$54</f>
        <v>-2.4479845896867496</v>
      </c>
      <c r="G115" s="32">
        <f>+[9]Result!$C$54</f>
        <v>-2.6486363873841596</v>
      </c>
      <c r="H115" s="13">
        <f>+[10]Result!$C$54</f>
        <v>-2.5963433544970855</v>
      </c>
      <c r="I115" s="13">
        <f>+[11]Result!$C$54</f>
        <v>-2.5310849370841759</v>
      </c>
      <c r="J115" s="32">
        <f>+[12]Result!$C$54</f>
        <v>-2.2825179220663596</v>
      </c>
      <c r="K115" s="13">
        <f>+[13]Result!$C$54</f>
        <v>-2.2803268154882406</v>
      </c>
      <c r="L115" s="13">
        <f>+[14]Result!$C$54</f>
        <v>-2.1672101544603186</v>
      </c>
      <c r="M115" s="13">
        <f>+[15]Result!$C$54</f>
        <v>1.9279124118586385E-3</v>
      </c>
      <c r="N115" s="32">
        <f>+[16]Result!$C$54</f>
        <v>1.9770313020388429E-3</v>
      </c>
      <c r="O115" s="13">
        <f>+[17]Result!$C$54</f>
        <v>2.1011999572347257E-3</v>
      </c>
      <c r="P115" s="13">
        <f>+[18]Result!$C$54</f>
        <v>2.0442662556671813E-3</v>
      </c>
      <c r="Q115" s="32">
        <f>+[19]Result!$C$54</f>
        <v>2.0276685366229352E-3</v>
      </c>
      <c r="R115" s="32">
        <f>+[20]Result!$C$54</f>
        <v>2.0266964927786782E-3</v>
      </c>
      <c r="S115" s="70">
        <f>+[22]Result!$C$54</f>
        <v>2.0699195794265492E-3</v>
      </c>
    </row>
    <row r="116" spans="1:37" collapsed="1" x14ac:dyDescent="0.25">
      <c r="A116" s="12" t="s">
        <v>58</v>
      </c>
      <c r="B116" s="13">
        <f>+SUM([1]Result!$K$5:$K$54)</f>
        <v>-1005995626.2494037</v>
      </c>
      <c r="C116" s="13">
        <f>+SUM([5]Result!$K$5:$K$54)</f>
        <v>-1007668268.5658641</v>
      </c>
      <c r="D116" s="32">
        <f>+SUM([6]Result!$K$5:$K$54)</f>
        <v>-1040078008.9905136</v>
      </c>
      <c r="E116" s="13">
        <f>+SUM([7]Result!$K$5:$K$54)</f>
        <v>-1043862042.1697321</v>
      </c>
      <c r="F116" s="13">
        <f>+SUM([8]Result!$K$5:$K$54)</f>
        <v>-1042616555.1299289</v>
      </c>
      <c r="G116" s="32">
        <f>+SUM([9]Result!$K$5:$K$54)</f>
        <v>-1010312613.0500355</v>
      </c>
      <c r="H116" s="13">
        <f>+SUM([10]Result!$K$5:$K$54)</f>
        <v>-1009039881.9394641</v>
      </c>
      <c r="I116" s="13">
        <f>+SUM([11]Result!$K$5:$K$54)</f>
        <v>-1009168166.4567928</v>
      </c>
      <c r="J116" s="32">
        <f>+SUM([12]Result!$K$5:$K$54)</f>
        <v>-1012288829.5180184</v>
      </c>
      <c r="K116" s="13">
        <f>+SUM([13]Result!$K$5:$K$54)</f>
        <v>-1012780210.0728967</v>
      </c>
      <c r="L116" s="13">
        <f>+SUM([14]Result!$K$5:$K$54)</f>
        <v>-1011230393.9710463</v>
      </c>
      <c r="M116" s="32">
        <f>+SUM([15]Result!$K$5:$K$54)</f>
        <v>-907238059.5772413</v>
      </c>
      <c r="N116" s="13">
        <f>+SUM([16]Result!$K$5:$K$54)</f>
        <v>-907914608.92245615</v>
      </c>
      <c r="O116" s="13">
        <f>+SUM([17]Result!$K$5:$K$54)</f>
        <v>-909909044.74869943</v>
      </c>
      <c r="P116" s="32">
        <f>+SUM([18]Result!$K$5:$K$54)</f>
        <v>-1014506257.7000024</v>
      </c>
      <c r="Q116" s="13">
        <f>+SUM([19]Result!$K$5:$K$54)</f>
        <v>-1014250958.3490274</v>
      </c>
      <c r="R116" s="13">
        <f>+SUM([20]Result!$K$5:$K$54)</f>
        <v>-1015416691.2161567</v>
      </c>
      <c r="S116" s="70">
        <f>+SUM([22]Result!$K$5:$K$54)</f>
        <v>-1016026305.9117444</v>
      </c>
      <c r="T116" s="13">
        <f>+B116-(B117+B123+B129+B140+B151)</f>
        <v>0</v>
      </c>
      <c r="U116" s="13">
        <f t="shared" ref="U116:W116" si="84">+C116-(C117+C123+C129+C140+C151)</f>
        <v>0</v>
      </c>
      <c r="V116" s="13">
        <f t="shared" si="84"/>
        <v>0</v>
      </c>
      <c r="W116" s="13">
        <f t="shared" si="84"/>
        <v>0</v>
      </c>
      <c r="X116" s="13">
        <f t="shared" ref="X116" si="85">+F116-(F117+F123+F129+F140+F151)</f>
        <v>0</v>
      </c>
      <c r="Y116" s="13">
        <f t="shared" ref="Y116:AE116" si="86">+G116-(G117+G123+G129+G140+G151)</f>
        <v>0</v>
      </c>
      <c r="Z116" s="13">
        <f t="shared" si="86"/>
        <v>0</v>
      </c>
      <c r="AA116" s="13">
        <f t="shared" si="86"/>
        <v>0</v>
      </c>
      <c r="AB116" s="13">
        <f t="shared" si="86"/>
        <v>0</v>
      </c>
      <c r="AC116" s="13">
        <f t="shared" si="86"/>
        <v>0</v>
      </c>
      <c r="AD116" s="13">
        <f t="shared" si="86"/>
        <v>0</v>
      </c>
      <c r="AE116" s="13">
        <f t="shared" si="86"/>
        <v>0</v>
      </c>
      <c r="AF116" s="13">
        <f t="shared" ref="AF116" si="87">+N116-(N117+N123+N129+N140+N151)</f>
        <v>0</v>
      </c>
      <c r="AG116" s="13">
        <f t="shared" ref="AG116:AH116" si="88">+O116-(O117+O123+O129+O140+O151)</f>
        <v>0</v>
      </c>
      <c r="AH116" s="13">
        <f t="shared" si="88"/>
        <v>0</v>
      </c>
      <c r="AI116" s="13">
        <f t="shared" ref="AI116" si="89">+Q116-(Q117+Q123+Q129+Q140+Q151)</f>
        <v>0</v>
      </c>
      <c r="AJ116" s="13">
        <f t="shared" ref="AJ116:AK116" si="90">+R116-(R117+R123+R129+R140+R151)</f>
        <v>0</v>
      </c>
      <c r="AK116" s="13">
        <f t="shared" si="90"/>
        <v>0</v>
      </c>
    </row>
    <row r="117" spans="1:37" hidden="1" outlineLevel="1" x14ac:dyDescent="0.25">
      <c r="A117" s="15" t="s">
        <v>2</v>
      </c>
      <c r="B117" s="13" cm="1">
        <f t="array" ref="B117">+[1]!PV_DOWN_1_5</f>
        <v>-838463820.93176723</v>
      </c>
      <c r="C117" s="13" cm="1">
        <f t="array" ref="C117">+[5]!PV_DOWN_1_5</f>
        <v>-839087327.38156056</v>
      </c>
      <c r="D117" s="32" cm="1">
        <f t="array" ref="D117">+[6]!PV_DOWN_1_5</f>
        <v>-881784615.63763845</v>
      </c>
      <c r="E117" s="13" cm="1">
        <f t="array" ref="E117">+[7]!PV_DOWN_1_5</f>
        <v>-883219636.72303915</v>
      </c>
      <c r="F117" s="13" cm="1">
        <f t="array" ref="F117">+[8]!PV_DOWN_1_5</f>
        <v>-882957320.36307836</v>
      </c>
      <c r="G117" s="32" cm="1">
        <f t="array" ref="G117">+[9]!PV_DOWN_1_5</f>
        <v>-851076752.51706946</v>
      </c>
      <c r="H117" s="13" cm="1">
        <f t="array" ref="H117">+[10]!PV_DOWN_1_5</f>
        <v>-850620959.52129579</v>
      </c>
      <c r="I117" s="13" cm="1">
        <f t="array" ref="I117">+[11]!PV_DOWN_1_5</f>
        <v>-850826280.04868865</v>
      </c>
      <c r="J117" s="32" cm="1">
        <f t="array" ref="J117">+[12]!PV_DOWN_1_5</f>
        <v>-852722080.76408589</v>
      </c>
      <c r="K117" s="13" cm="1">
        <f t="array" ref="K117">+[13]!PV_DOWN_1_5</f>
        <v>-852887446.66636693</v>
      </c>
      <c r="L117" s="13" cm="1">
        <f t="array" ref="L117">+[14]!PV_DOWN_1_5</f>
        <v>-852642455.30969322</v>
      </c>
      <c r="M117" s="13" cm="1">
        <f t="array" ref="M117">+[15]!PV_DOWN_1_5</f>
        <v>-784675390.587749</v>
      </c>
      <c r="N117" s="32" cm="1">
        <f t="array" ref="N117">+[16]!PV_DOWN_1_5</f>
        <v>-784865725.27366352</v>
      </c>
      <c r="O117" s="13" cm="1">
        <f t="array" ref="O117">+[17]!PV_DOWN_1_5</f>
        <v>-785328298.58145332</v>
      </c>
      <c r="P117" s="13" cm="1">
        <f t="array" ref="P117">+[18]!PV_DOWN_1_5</f>
        <v>-885011447.12604654</v>
      </c>
      <c r="Q117" s="32" cm="1">
        <f t="array" ref="Q117">+[19]!PV_DOWN_1_5</f>
        <v>-884879770.24575067</v>
      </c>
      <c r="R117" s="32" cm="1">
        <f t="array" ref="R117">+[20]!PV_DOWN_1_5</f>
        <v>-885436664.45787048</v>
      </c>
      <c r="S117" s="70" cm="1">
        <f t="array" ref="S117">+[22]!PV_DOWN_1_5</f>
        <v>-885529462.14466178</v>
      </c>
      <c r="T117" s="13">
        <f>+B117-SUM(B118:B122)</f>
        <v>0</v>
      </c>
      <c r="U117" s="13">
        <f t="shared" ref="U117:W117" si="91">+C117-SUM(C118:C122)</f>
        <v>0</v>
      </c>
      <c r="V117" s="13">
        <f t="shared" si="91"/>
        <v>0</v>
      </c>
      <c r="W117" s="13">
        <f t="shared" si="91"/>
        <v>0</v>
      </c>
      <c r="X117" s="13">
        <f t="shared" ref="X117" si="92">+F117-SUM(F118:F122)</f>
        <v>0</v>
      </c>
      <c r="Y117" s="13">
        <f t="shared" ref="Y117:AE117" si="93">+G117-SUM(G118:G122)</f>
        <v>0</v>
      </c>
      <c r="Z117" s="13">
        <f t="shared" si="93"/>
        <v>0</v>
      </c>
      <c r="AA117" s="13">
        <f t="shared" si="93"/>
        <v>0</v>
      </c>
      <c r="AB117" s="13">
        <f t="shared" si="93"/>
        <v>0</v>
      </c>
      <c r="AC117" s="13">
        <f t="shared" si="93"/>
        <v>0</v>
      </c>
      <c r="AD117" s="13">
        <f t="shared" si="93"/>
        <v>0</v>
      </c>
      <c r="AE117" s="13">
        <f t="shared" si="93"/>
        <v>0</v>
      </c>
      <c r="AF117" s="13">
        <f t="shared" ref="AF117" si="94">+N117-SUM(N118:N122)</f>
        <v>0</v>
      </c>
      <c r="AG117" s="13">
        <f t="shared" ref="AG117:AH117" si="95">+O117-SUM(O118:O122)</f>
        <v>0</v>
      </c>
      <c r="AH117" s="13">
        <f t="shared" si="95"/>
        <v>0</v>
      </c>
      <c r="AI117" s="13">
        <f t="shared" ref="AI117" si="96">+Q117-SUM(Q118:Q122)</f>
        <v>0</v>
      </c>
      <c r="AJ117" s="13">
        <f t="shared" ref="AJ117:AK117" si="97">+R117-SUM(R118:R122)</f>
        <v>0</v>
      </c>
      <c r="AK117" s="13">
        <f t="shared" si="97"/>
        <v>0</v>
      </c>
    </row>
    <row r="118" spans="1:37" hidden="1" outlineLevel="2" x14ac:dyDescent="0.25">
      <c r="A118" s="16" t="s">
        <v>3</v>
      </c>
      <c r="B118" s="13">
        <f>+[1]Result!$K$5</f>
        <v>-409591315.18106455</v>
      </c>
      <c r="C118" s="13">
        <f>+[5]Result!$K$5</f>
        <v>-409668502.25602406</v>
      </c>
      <c r="D118" s="32">
        <f>+[6]Result!$K$5</f>
        <v>-410680227.98102021</v>
      </c>
      <c r="E118" s="13">
        <f>+[7]Result!$K$5</f>
        <v>-410824956.79612827</v>
      </c>
      <c r="F118" s="13">
        <f>+[8]Result!$K$5</f>
        <v>-410816797.62256449</v>
      </c>
      <c r="G118" s="32">
        <f>+[9]Result!$K$5</f>
        <v>-373326520.93648678</v>
      </c>
      <c r="H118" s="13">
        <f>+[10]Result!$K$5</f>
        <v>-373295018.8322162</v>
      </c>
      <c r="I118" s="13">
        <f>+[11]Result!$K$5</f>
        <v>-373300577.25259525</v>
      </c>
      <c r="J118" s="32">
        <f>+[12]Result!$K$5</f>
        <v>-353359788.63315421</v>
      </c>
      <c r="K118" s="13">
        <f>+[13]Result!$K$5</f>
        <v>-353358035.18292451</v>
      </c>
      <c r="L118" s="13">
        <f>+[14]Result!$K$5</f>
        <v>-353352775.04158163</v>
      </c>
      <c r="M118" s="13">
        <f>+[15]Result!$K$5</f>
        <v>-331470080.46849871</v>
      </c>
      <c r="N118" s="32">
        <f>+[16]Result!$K$5</f>
        <v>-331471725.01048106</v>
      </c>
      <c r="O118" s="13">
        <f>+[17]Result!$K$5</f>
        <v>-331483237.72061878</v>
      </c>
      <c r="P118" s="13">
        <f>+[18]Result!$K$5</f>
        <v>-387913361.98204523</v>
      </c>
      <c r="Q118" s="32">
        <f>+[19]Result!$K$5</f>
        <v>-387878794.82338297</v>
      </c>
      <c r="R118" s="32">
        <f>+[20]Result!$K$5</f>
        <v>-387919124.37720484</v>
      </c>
      <c r="S118" s="70">
        <f>+[22]Result!$K$5</f>
        <v>-387921045.25192869</v>
      </c>
    </row>
    <row r="119" spans="1:37" hidden="1" outlineLevel="2" x14ac:dyDescent="0.25">
      <c r="A119" s="16" t="s">
        <v>4</v>
      </c>
      <c r="B119" s="13">
        <f>+[1]Result!$K$6</f>
        <v>-219175282.754287</v>
      </c>
      <c r="C119" s="13">
        <f>+[5]Result!$K$6</f>
        <v>-219312225.13753405</v>
      </c>
      <c r="D119" s="32">
        <f>+[6]Result!$K$6</f>
        <v>-259313701.13443306</v>
      </c>
      <c r="E119" s="13">
        <f>+[7]Result!$K$6</f>
        <v>-259680368.93439272</v>
      </c>
      <c r="F119" s="13">
        <f>+[8]Result!$K$6</f>
        <v>-259626352.13247922</v>
      </c>
      <c r="G119" s="32">
        <f>+[9]Result!$K$6</f>
        <v>-265649535.92466536</v>
      </c>
      <c r="H119" s="13">
        <f>+[10]Result!$K$6</f>
        <v>-265537675.18478703</v>
      </c>
      <c r="I119" s="13">
        <f>+[11]Result!$K$6</f>
        <v>-265575788.44777539</v>
      </c>
      <c r="J119" s="32">
        <f>+[12]Result!$K$6</f>
        <v>-275133521.31068218</v>
      </c>
      <c r="K119" s="13">
        <f>+[13]Result!$K$6</f>
        <v>-275162059.10654783</v>
      </c>
      <c r="L119" s="13">
        <f>+[14]Result!$K$6</f>
        <v>-275117146.05700254</v>
      </c>
      <c r="M119" s="13">
        <f>+[15]Result!$K$6</f>
        <v>-251781775.12950802</v>
      </c>
      <c r="N119" s="32">
        <f>+[16]Result!$K$6</f>
        <v>-251812877.36898315</v>
      </c>
      <c r="O119" s="13">
        <f>+[17]Result!$K$6</f>
        <v>-251888875.58263189</v>
      </c>
      <c r="P119" s="13">
        <f>+[18]Result!$K$6</f>
        <v>-283266673.36100596</v>
      </c>
      <c r="Q119" s="32">
        <f>+[19]Result!$K$6</f>
        <v>-283188218.6897825</v>
      </c>
      <c r="R119" s="32">
        <f>+[20]Result!$K$6</f>
        <v>-283340670.04593116</v>
      </c>
      <c r="S119" s="70">
        <f>+[22]Result!$K$6</f>
        <v>-283361625.00007826</v>
      </c>
    </row>
    <row r="120" spans="1:37" hidden="1" outlineLevel="2" x14ac:dyDescent="0.25">
      <c r="A120" s="16" t="s">
        <v>5</v>
      </c>
      <c r="B120" s="13">
        <f>+[1]Result!$K$7</f>
        <v>-107909055.56440555</v>
      </c>
      <c r="C120" s="13">
        <f>+[5]Result!$K$7</f>
        <v>-108058577.55110247</v>
      </c>
      <c r="D120" s="32">
        <f>+[6]Result!$K$7</f>
        <v>-108913358.93339667</v>
      </c>
      <c r="E120" s="13">
        <f>+[7]Result!$K$7</f>
        <v>-109242735.66114226</v>
      </c>
      <c r="F120" s="13">
        <f>+[8]Result!$K$7</f>
        <v>-109178392.65490758</v>
      </c>
      <c r="G120" s="32">
        <f>+[9]Result!$K$7</f>
        <v>-108600084.99793562</v>
      </c>
      <c r="H120" s="13">
        <f>+[10]Result!$K$7</f>
        <v>-108487851.38391623</v>
      </c>
      <c r="I120" s="13">
        <f>+[11]Result!$K$7</f>
        <v>-108543612.61121885</v>
      </c>
      <c r="J120" s="32">
        <f>+[12]Result!$K$7</f>
        <v>-117155367.48964781</v>
      </c>
      <c r="K120" s="13">
        <f>+[13]Result!$K$7</f>
        <v>-117199384.73799925</v>
      </c>
      <c r="L120" s="13">
        <f>+[14]Result!$K$7</f>
        <v>-117142039.17749999</v>
      </c>
      <c r="M120" s="13">
        <f>+[15]Result!$K$7</f>
        <v>-108274754.60044101</v>
      </c>
      <c r="N120" s="32">
        <f>+[16]Result!$K$7</f>
        <v>-108329265.01386918</v>
      </c>
      <c r="O120" s="13">
        <f>+[17]Result!$K$7</f>
        <v>-108440078.80652909</v>
      </c>
      <c r="P120" s="13">
        <f>+[18]Result!$K$7</f>
        <v>-115334728.8976752</v>
      </c>
      <c r="Q120" s="32">
        <f>+[19]Result!$K$7</f>
        <v>-115311144.76732738</v>
      </c>
      <c r="R120" s="32">
        <f>+[20]Result!$K$7</f>
        <v>-115453460.05192447</v>
      </c>
      <c r="S120" s="70">
        <f>+[22]Result!$K$7</f>
        <v>-115471724.12834555</v>
      </c>
    </row>
    <row r="121" spans="1:37" hidden="1" outlineLevel="2" x14ac:dyDescent="0.25">
      <c r="A121" s="16" t="s">
        <v>6</v>
      </c>
      <c r="B121" s="13">
        <f>+[1]Result!$K$8</f>
        <v>-59394731.426200487</v>
      </c>
      <c r="C121" s="13">
        <f>+[5]Result!$K$8</f>
        <v>-59526465.471630722</v>
      </c>
      <c r="D121" s="32">
        <f>+[6]Result!$K$8</f>
        <v>-60752526.474339604</v>
      </c>
      <c r="E121" s="13">
        <f>+[7]Result!$K$8</f>
        <v>-61052408.874852911</v>
      </c>
      <c r="F121" s="13">
        <f>+[8]Result!$K$8</f>
        <v>-60985732.903801881</v>
      </c>
      <c r="G121" s="32">
        <f>+[9]Result!$K$8</f>
        <v>-61035400.21805653</v>
      </c>
      <c r="H121" s="13">
        <f>+[10]Result!$K$8</f>
        <v>-60932591.930353567</v>
      </c>
      <c r="I121" s="13">
        <f>+[11]Result!$K$8</f>
        <v>-60988646.618008211</v>
      </c>
      <c r="J121" s="32">
        <f>+[12]Result!$K$8</f>
        <v>-63671508.903889768</v>
      </c>
      <c r="K121" s="13">
        <f>+[13]Result!$K$8</f>
        <v>-63717434.476009876</v>
      </c>
      <c r="L121" s="13">
        <f>+[14]Result!$K$8</f>
        <v>-63654249.900979929</v>
      </c>
      <c r="M121" s="13">
        <f>+[15]Result!$K$8</f>
        <v>-56557782.420327589</v>
      </c>
      <c r="N121" s="32">
        <f>+[16]Result!$K$8</f>
        <v>-56610869.776354194</v>
      </c>
      <c r="O121" s="13">
        <f>+[17]Result!$K$8</f>
        <v>-56737542.796065435</v>
      </c>
      <c r="P121" s="13">
        <f>+[18]Result!$K$8</f>
        <v>-59518590.41446054</v>
      </c>
      <c r="Q121" s="32">
        <f>+[19]Result!$K$8</f>
        <v>-59521189.670570716</v>
      </c>
      <c r="R121" s="32">
        <f>+[20]Result!$K$8</f>
        <v>-59638056.396286704</v>
      </c>
      <c r="S121" s="70">
        <f>+[22]Result!$K$8</f>
        <v>-59658582.621571444</v>
      </c>
    </row>
    <row r="122" spans="1:37" hidden="1" outlineLevel="2" x14ac:dyDescent="0.25">
      <c r="A122" s="16" t="s">
        <v>7</v>
      </c>
      <c r="B122" s="13">
        <f>+[1]Result!$K$9</f>
        <v>-42393436.00580956</v>
      </c>
      <c r="C122" s="13">
        <f>+[5]Result!$K$9</f>
        <v>-42521556.965269253</v>
      </c>
      <c r="D122" s="32">
        <f>+[6]Result!$K$9</f>
        <v>-42124801.114448957</v>
      </c>
      <c r="E122" s="13">
        <f>+[7]Result!$K$9</f>
        <v>-42419166.456523091</v>
      </c>
      <c r="F122" s="13">
        <f>+[8]Result!$K$9</f>
        <v>-42350045.049325161</v>
      </c>
      <c r="G122" s="32">
        <f>+[9]Result!$K$9</f>
        <v>-42465210.439925097</v>
      </c>
      <c r="H122" s="13">
        <f>+[10]Result!$K$9</f>
        <v>-42367822.190022685</v>
      </c>
      <c r="I122" s="13">
        <f>+[11]Result!$K$9</f>
        <v>-42417655.119090937</v>
      </c>
      <c r="J122" s="32">
        <f>+[12]Result!$K$9</f>
        <v>-43401894.426711813</v>
      </c>
      <c r="K122" s="13">
        <f>+[13]Result!$K$9</f>
        <v>-43450533.162885509</v>
      </c>
      <c r="L122" s="13">
        <f>+[14]Result!$K$9</f>
        <v>-43376245.132629208</v>
      </c>
      <c r="M122" s="13">
        <f>+[15]Result!$K$9</f>
        <v>-36590997.968973726</v>
      </c>
      <c r="N122" s="32">
        <f>+[16]Result!$K$9</f>
        <v>-36640988.103976004</v>
      </c>
      <c r="O122" s="13">
        <f>+[17]Result!$K$9</f>
        <v>-36778563.675608218</v>
      </c>
      <c r="P122" s="13">
        <f>+[18]Result!$K$9</f>
        <v>-38978092.470859669</v>
      </c>
      <c r="Q122" s="32">
        <f>+[19]Result!$K$9</f>
        <v>-38980422.294687063</v>
      </c>
      <c r="R122" s="32">
        <f>+[20]Result!$K$9</f>
        <v>-39085353.586523354</v>
      </c>
      <c r="S122" s="70">
        <f>+[22]Result!$K$9</f>
        <v>-39116485.142737858</v>
      </c>
    </row>
    <row r="123" spans="1:37" hidden="1" outlineLevel="1" x14ac:dyDescent="0.25">
      <c r="A123" s="15" t="s">
        <v>8</v>
      </c>
      <c r="B123" s="13" cm="1">
        <f t="array" ref="B123">+[1]!PV_DOWN_6_10</f>
        <v>-107317350.04528131</v>
      </c>
      <c r="C123" s="13" cm="1">
        <f t="array" ref="C123">+[5]!PV_DOWN_6_10</f>
        <v>-107835913.99983661</v>
      </c>
      <c r="D123" s="32" cm="1">
        <f t="array" ref="D123">+[6]!PV_DOWN_6_10</f>
        <v>-104058765.6619495</v>
      </c>
      <c r="E123" s="13" cm="1">
        <f t="array" ref="E123">+[7]!PV_DOWN_6_10</f>
        <v>-105238011.51752402</v>
      </c>
      <c r="F123" s="13" cm="1">
        <f t="array" ref="F123">+[8]!PV_DOWN_6_10</f>
        <v>-104908419.6925336</v>
      </c>
      <c r="G123" s="32" cm="1">
        <f t="array" ref="G123">+[9]!PV_DOWN_6_10</f>
        <v>-105180265.26413938</v>
      </c>
      <c r="H123" s="13" cm="1">
        <f t="array" ref="H123">+[10]!PV_DOWN_6_10</f>
        <v>-104803292.44605707</v>
      </c>
      <c r="I123" s="13" cm="1">
        <f t="array" ref="I123">+[11]!PV_DOWN_6_10</f>
        <v>-104942418.86835527</v>
      </c>
      <c r="J123" s="32" cm="1">
        <f t="array" ref="J123">+[12]!PV_DOWN_6_10</f>
        <v>-105271269.62048636</v>
      </c>
      <c r="K123" s="13" cm="1">
        <f t="array" ref="K123">+[13]!PV_DOWN_6_10</f>
        <v>-105475268.37712587</v>
      </c>
      <c r="L123" s="13" cm="1">
        <f t="array" ref="L123">+[14]!PV_DOWN_6_10</f>
        <v>-105024529.14411536</v>
      </c>
      <c r="M123" s="13" cm="1">
        <f t="array" ref="M123">+[15]!PV_DOWN_6_10</f>
        <v>-83089237.971478164</v>
      </c>
      <c r="N123" s="32" cm="1">
        <f t="array" ref="N123">+[16]!PV_DOWN_6_10</f>
        <v>-83307236.422457501</v>
      </c>
      <c r="O123" s="13" cm="1">
        <f t="array" ref="O123">+[17]!PV_DOWN_6_10</f>
        <v>-83966115.930456907</v>
      </c>
      <c r="P123" s="13" cm="1">
        <f t="array" ref="P123">+[18]!PV_DOWN_6_10</f>
        <v>-88096449.33851704</v>
      </c>
      <c r="Q123" s="32" cm="1">
        <f t="array" ref="Q123">+[19]!PV_DOWN_6_10</f>
        <v>-88083740.771796584</v>
      </c>
      <c r="R123" s="32" cm="1">
        <f t="array" ref="R123">+[20]!PV_DOWN_6_10</f>
        <v>-88473712.427570537</v>
      </c>
      <c r="S123" s="70" cm="1">
        <f t="array" ref="S123">+[22]!PV_DOWN_6_10</f>
        <v>-88665297.130731389</v>
      </c>
      <c r="T123" s="13">
        <f>+B123-SUM(B124:B128)</f>
        <v>0</v>
      </c>
      <c r="U123" s="13">
        <f t="shared" ref="U123:W123" si="98">+C123-SUM(C124:C128)</f>
        <v>0</v>
      </c>
      <c r="V123" s="13">
        <f t="shared" si="98"/>
        <v>0</v>
      </c>
      <c r="W123" s="13">
        <f t="shared" si="98"/>
        <v>0</v>
      </c>
      <c r="X123" s="13">
        <f t="shared" ref="X123" si="99">+F123-SUM(F124:F128)</f>
        <v>0</v>
      </c>
      <c r="Y123" s="13">
        <f t="shared" ref="Y123:AE123" si="100">+G123-SUM(G124:G128)</f>
        <v>0</v>
      </c>
      <c r="Z123" s="13">
        <f t="shared" si="100"/>
        <v>0</v>
      </c>
      <c r="AA123" s="13">
        <f t="shared" si="100"/>
        <v>0</v>
      </c>
      <c r="AB123" s="13">
        <f t="shared" si="100"/>
        <v>0</v>
      </c>
      <c r="AC123" s="13">
        <f t="shared" si="100"/>
        <v>0</v>
      </c>
      <c r="AD123" s="13">
        <f t="shared" si="100"/>
        <v>0</v>
      </c>
      <c r="AE123" s="13">
        <f t="shared" si="100"/>
        <v>0</v>
      </c>
      <c r="AF123" s="13">
        <f t="shared" ref="AF123" si="101">+N123-SUM(N124:N128)</f>
        <v>0</v>
      </c>
      <c r="AG123" s="13">
        <f t="shared" ref="AG123:AH123" si="102">+O123-SUM(O124:O128)</f>
        <v>0</v>
      </c>
      <c r="AH123" s="13">
        <f t="shared" si="102"/>
        <v>0</v>
      </c>
      <c r="AI123" s="13">
        <f t="shared" ref="AI123" si="103">+Q123-SUM(Q124:Q128)</f>
        <v>0</v>
      </c>
      <c r="AJ123" s="13">
        <f t="shared" ref="AJ123:AK123" si="104">+R123-SUM(R124:R128)</f>
        <v>0</v>
      </c>
      <c r="AK123" s="13">
        <f t="shared" si="104"/>
        <v>0</v>
      </c>
    </row>
    <row r="124" spans="1:37" hidden="1" outlineLevel="2" x14ac:dyDescent="0.25">
      <c r="A124" s="16" t="s">
        <v>9</v>
      </c>
      <c r="B124" s="13">
        <f>+[1]Result!$K$10</f>
        <v>-33022617.83627509</v>
      </c>
      <c r="C124" s="13">
        <f>+[5]Result!$K$10</f>
        <v>-33152122.649020441</v>
      </c>
      <c r="D124" s="32">
        <f>+[6]Result!$K$10</f>
        <v>-32463929.08966646</v>
      </c>
      <c r="E124" s="13">
        <f>+[7]Result!$K$10</f>
        <v>-32754497.179564428</v>
      </c>
      <c r="F124" s="13">
        <f>+[8]Result!$K$10</f>
        <v>-32683124.695696812</v>
      </c>
      <c r="G124" s="32">
        <f>+[9]Result!$K$10</f>
        <v>-32629677.85170345</v>
      </c>
      <c r="H124" s="13">
        <f>+[10]Result!$K$10</f>
        <v>-32535976.282515075</v>
      </c>
      <c r="I124" s="13">
        <f>+[11]Result!$K$10</f>
        <v>-32580948.066117778</v>
      </c>
      <c r="J124" s="32">
        <f>+[12]Result!$K$10</f>
        <v>-32853128.942626461</v>
      </c>
      <c r="K124" s="13">
        <f>+[13]Result!$K$10</f>
        <v>-32903212.938845661</v>
      </c>
      <c r="L124" s="13">
        <f>+[14]Result!$K$10</f>
        <v>-32815981.474493019</v>
      </c>
      <c r="M124" s="13">
        <f>+[15]Result!$K$10</f>
        <v>-27192191.279727995</v>
      </c>
      <c r="N124" s="32">
        <f>+[16]Result!$K$10</f>
        <v>-27243247.658376105</v>
      </c>
      <c r="O124" s="13">
        <f>+[17]Result!$K$10</f>
        <v>-27389113.597551163</v>
      </c>
      <c r="P124" s="13">
        <f>+[18]Result!$K$10</f>
        <v>-28733134.160865925</v>
      </c>
      <c r="Q124" s="32">
        <f>+[19]Result!$K$10</f>
        <v>-28733134.160865925</v>
      </c>
      <c r="R124" s="32">
        <f>+[20]Result!$K$10</f>
        <v>-28832216.03690033</v>
      </c>
      <c r="S124" s="70">
        <f>+[22]Result!$K$10</f>
        <v>-28870792.782998737</v>
      </c>
    </row>
    <row r="125" spans="1:37" hidden="1" outlineLevel="2" x14ac:dyDescent="0.25">
      <c r="A125" s="16" t="s">
        <v>10</v>
      </c>
      <c r="B125" s="13">
        <f>+[1]Result!$K$11</f>
        <v>-25553607.733288974</v>
      </c>
      <c r="C125" s="13">
        <f>+[5]Result!$K$11</f>
        <v>-25669109.448420282</v>
      </c>
      <c r="D125" s="32">
        <f>+[6]Result!$K$11</f>
        <v>-25043909.174875207</v>
      </c>
      <c r="E125" s="13">
        <f>+[7]Result!$K$11</f>
        <v>-25310871.19519116</v>
      </c>
      <c r="F125" s="13">
        <f>+[8]Result!$K$11</f>
        <v>-25241072.076671153</v>
      </c>
      <c r="G125" s="32">
        <f>+[9]Result!$K$11</f>
        <v>-25317064.067437947</v>
      </c>
      <c r="H125" s="13">
        <f>+[10]Result!$K$11</f>
        <v>-25232984.34162667</v>
      </c>
      <c r="I125" s="13">
        <f>+[11]Result!$K$11</f>
        <v>-25270830.176370457</v>
      </c>
      <c r="J125" s="32">
        <f>+[12]Result!$K$11</f>
        <v>-25404212.240333915</v>
      </c>
      <c r="K125" s="13">
        <f>+[13]Result!$K$11</f>
        <v>-25450568.805704717</v>
      </c>
      <c r="L125" s="13">
        <f>+[14]Result!$K$11</f>
        <v>-25357527.703061771</v>
      </c>
      <c r="M125" s="13">
        <f>+[15]Result!$K$11</f>
        <v>-20597062.949011117</v>
      </c>
      <c r="N125" s="32">
        <f>+[16]Result!$K$11</f>
        <v>-20647354.01727812</v>
      </c>
      <c r="O125" s="13">
        <f>+[17]Result!$K$11</f>
        <v>-20793054.748804342</v>
      </c>
      <c r="P125" s="13">
        <f>+[18]Result!$K$11</f>
        <v>-21860740.165263284</v>
      </c>
      <c r="Q125" s="32">
        <f>+[19]Result!$K$11</f>
        <v>-21859997.058307562</v>
      </c>
      <c r="R125" s="32">
        <f>+[20]Result!$K$11</f>
        <v>-21950954.824389037</v>
      </c>
      <c r="S125" s="70">
        <f>+[22]Result!$K$11</f>
        <v>-21991111.957278691</v>
      </c>
    </row>
    <row r="126" spans="1:37" hidden="1" outlineLevel="2" x14ac:dyDescent="0.25">
      <c r="A126" s="16" t="s">
        <v>11</v>
      </c>
      <c r="B126" s="13">
        <f>+[1]Result!$K$12</f>
        <v>-19954769.816460222</v>
      </c>
      <c r="C126" s="13">
        <f>+[5]Result!$K$12</f>
        <v>-20053774.027692568</v>
      </c>
      <c r="D126" s="32">
        <f>+[6]Result!$K$12</f>
        <v>-19452316.810035195</v>
      </c>
      <c r="E126" s="13">
        <f>+[7]Result!$K$12</f>
        <v>-19689310.521064464</v>
      </c>
      <c r="F126" s="13">
        <f>+[8]Result!$K$12</f>
        <v>-19623089.9276205</v>
      </c>
      <c r="G126" s="32">
        <f>+[9]Result!$K$12</f>
        <v>-19754146.350089859</v>
      </c>
      <c r="H126" s="13">
        <f>+[10]Result!$K$12</f>
        <v>-19680673.629669435</v>
      </c>
      <c r="I126" s="13">
        <f>+[11]Result!$K$12</f>
        <v>-19708825.196826626</v>
      </c>
      <c r="J126" s="32">
        <f>+[12]Result!$K$12</f>
        <v>-19775198.43722181</v>
      </c>
      <c r="K126" s="13">
        <f>+[13]Result!$K$12</f>
        <v>-19816113.035228971</v>
      </c>
      <c r="L126" s="13">
        <f>+[14]Result!$K$12</f>
        <v>-19723187.436824698</v>
      </c>
      <c r="M126" s="13">
        <f>+[15]Result!$K$12</f>
        <v>-15673675.454597803</v>
      </c>
      <c r="N126" s="32">
        <f>+[16]Result!$K$12</f>
        <v>-15719955.633668793</v>
      </c>
      <c r="O126" s="13">
        <f>+[17]Result!$K$12</f>
        <v>-15858814.305710817</v>
      </c>
      <c r="P126" s="13">
        <f>+[18]Result!$K$12</f>
        <v>-16628694.321087535</v>
      </c>
      <c r="Q126" s="32">
        <f>+[19]Result!$K$12</f>
        <v>-16625537.297101665</v>
      </c>
      <c r="R126" s="32">
        <f>+[20]Result!$K$12</f>
        <v>-16707241.617125809</v>
      </c>
      <c r="S126" s="70">
        <f>+[22]Result!$K$12</f>
        <v>-16746805.881770095</v>
      </c>
    </row>
    <row r="127" spans="1:37" hidden="1" outlineLevel="2" x14ac:dyDescent="0.25">
      <c r="A127" s="16" t="s">
        <v>12</v>
      </c>
      <c r="B127" s="13">
        <f>+[1]Result!$K$13</f>
        <v>-15590374.304888655</v>
      </c>
      <c r="C127" s="13">
        <f>+[5]Result!$K$13</f>
        <v>-15676071.194383131</v>
      </c>
      <c r="D127" s="32">
        <f>+[6]Result!$K$13</f>
        <v>-14592751.473241407</v>
      </c>
      <c r="E127" s="13">
        <f>+[7]Result!$K$13</f>
        <v>-14792382.62062004</v>
      </c>
      <c r="F127" s="13">
        <f>+[8]Result!$K$13</f>
        <v>-14731743.441062931</v>
      </c>
      <c r="G127" s="32">
        <f>+[9]Result!$K$13</f>
        <v>-14713881.369652154</v>
      </c>
      <c r="H127" s="13">
        <f>+[10]Result!$K$13</f>
        <v>-14652521.432114251</v>
      </c>
      <c r="I127" s="13">
        <f>+[11]Result!$K$13</f>
        <v>-14670147.599363357</v>
      </c>
      <c r="J127" s="32">
        <f>+[12]Result!$K$13</f>
        <v>-14637436.880737089</v>
      </c>
      <c r="K127" s="13">
        <f>+[13]Result!$K$13</f>
        <v>-14671726.296233401</v>
      </c>
      <c r="L127" s="13">
        <f>+[14]Result!$K$13</f>
        <v>-14586006.947572242</v>
      </c>
      <c r="M127" s="13">
        <f>+[15]Result!$K$13</f>
        <v>-11479714.861727638</v>
      </c>
      <c r="N127" s="32">
        <f>+[16]Result!$K$13</f>
        <v>-11518091.567827927</v>
      </c>
      <c r="O127" s="13">
        <f>+[17]Result!$K$13</f>
        <v>-11642085.745826315</v>
      </c>
      <c r="P127" s="13">
        <f>+[18]Result!$K$13</f>
        <v>-12193509.781696605</v>
      </c>
      <c r="Q127" s="32">
        <f>+[19]Result!$K$13</f>
        <v>-12190506.611176522</v>
      </c>
      <c r="R127" s="32">
        <f>+[20]Result!$K$13</f>
        <v>-12258202.540381456</v>
      </c>
      <c r="S127" s="70">
        <f>+[22]Result!$K$13</f>
        <v>-12297297.084978346</v>
      </c>
    </row>
    <row r="128" spans="1:37" hidden="1" outlineLevel="2" x14ac:dyDescent="0.25">
      <c r="A128" s="16" t="s">
        <v>13</v>
      </c>
      <c r="B128" s="13">
        <f>+[1]Result!$K$14</f>
        <v>-13195980.354368376</v>
      </c>
      <c r="C128" s="13">
        <f>+[5]Result!$K$14</f>
        <v>-13284836.680320194</v>
      </c>
      <c r="D128" s="32">
        <f>+[6]Result!$K$14</f>
        <v>-12505859.114131227</v>
      </c>
      <c r="E128" s="13">
        <f>+[7]Result!$K$14</f>
        <v>-12690950.001083922</v>
      </c>
      <c r="F128" s="13">
        <f>+[8]Result!$K$14</f>
        <v>-12629389.551482195</v>
      </c>
      <c r="G128" s="32">
        <f>+[9]Result!$K$14</f>
        <v>-12765495.62525597</v>
      </c>
      <c r="H128" s="13">
        <f>+[10]Result!$K$14</f>
        <v>-12701136.760131648</v>
      </c>
      <c r="I128" s="13">
        <f>+[11]Result!$K$14</f>
        <v>-12711667.829677053</v>
      </c>
      <c r="J128" s="32">
        <f>+[12]Result!$K$14</f>
        <v>-12601293.119567085</v>
      </c>
      <c r="K128" s="13">
        <f>+[13]Result!$K$14</f>
        <v>-12633647.301113134</v>
      </c>
      <c r="L128" s="13">
        <f>+[14]Result!$K$14</f>
        <v>-12541825.582163638</v>
      </c>
      <c r="M128" s="13">
        <f>+[15]Result!$K$14</f>
        <v>-8146593.4264136041</v>
      </c>
      <c r="N128" s="32">
        <f>+[16]Result!$K$14</f>
        <v>-8178587.5453065531</v>
      </c>
      <c r="O128" s="13">
        <f>+[17]Result!$K$14</f>
        <v>-8283047.532564274</v>
      </c>
      <c r="P128" s="13">
        <f>+[18]Result!$K$14</f>
        <v>-8680370.9096036814</v>
      </c>
      <c r="Q128" s="32">
        <f>+[19]Result!$K$14</f>
        <v>-8674565.6443449166</v>
      </c>
      <c r="R128" s="32">
        <f>+[20]Result!$K$14</f>
        <v>-8725097.4087739009</v>
      </c>
      <c r="S128" s="70">
        <f>+[22]Result!$K$14</f>
        <v>-8759289.4237055387</v>
      </c>
    </row>
    <row r="129" spans="1:37" hidden="1" outlineLevel="1" x14ac:dyDescent="0.25">
      <c r="A129" s="15" t="s">
        <v>14</v>
      </c>
      <c r="B129" s="13" cm="1">
        <f t="array" ref="B129">+[1]!PV_DOWN_11_20</f>
        <v>-50691409.367879264</v>
      </c>
      <c r="C129" s="13" cm="1">
        <f t="array" ref="C129">+[5]!PV_DOWN_11_20</f>
        <v>-51067286.903747573</v>
      </c>
      <c r="D129" s="32" cm="1">
        <f t="array" ref="D129">+[6]!PV_DOWN_11_20</f>
        <v>-45451104.74807509</v>
      </c>
      <c r="E129" s="13" cm="1">
        <f t="array" ref="E129">+[7]!PV_DOWN_11_20</f>
        <v>-46389640.515242636</v>
      </c>
      <c r="F129" s="13" cm="1">
        <f t="array" ref="F129">+[8]!PV_DOWN_11_20</f>
        <v>-45945295.448779486</v>
      </c>
      <c r="G129" s="32" cm="1">
        <f t="array" ref="G129">+[9]!PV_DOWN_11_20</f>
        <v>-45459156.252508886</v>
      </c>
      <c r="H129" s="13" cm="1">
        <f t="array" ref="H129">+[10]!PV_DOWN_11_20</f>
        <v>-45128061.575251095</v>
      </c>
      <c r="I129" s="13" cm="1">
        <f t="array" ref="I129">+[11]!PV_DOWN_11_20</f>
        <v>-45014909.299826607</v>
      </c>
      <c r="J129" s="32" cm="1">
        <f t="array" ref="J129">+[12]!PV_DOWN_11_20</f>
        <v>-45386471.233052768</v>
      </c>
      <c r="K129" s="13" cm="1">
        <f t="array" ref="K129">+[13]!PV_DOWN_11_20</f>
        <v>-45502523.220274962</v>
      </c>
      <c r="L129" s="13" cm="1">
        <f t="array" ref="L129">+[14]!PV_DOWN_11_20</f>
        <v>-44893195.745162956</v>
      </c>
      <c r="M129" s="13" cm="1">
        <f t="array" ref="M129">+[15]!PV_DOWN_11_20</f>
        <v>-33272152.275475495</v>
      </c>
      <c r="N129" s="32" cm="1">
        <f t="array" ref="N129">+[16]!PV_DOWN_11_20</f>
        <v>-33469552.911408961</v>
      </c>
      <c r="O129" s="13" cm="1">
        <f t="array" ref="O129">+[17]!PV_DOWN_11_20</f>
        <v>-34141878.769328944</v>
      </c>
      <c r="P129" s="13" cm="1">
        <f t="array" ref="P129">+[18]!PV_DOWN_11_20</f>
        <v>-34706495.574395798</v>
      </c>
      <c r="Q129" s="32" cm="1">
        <f t="array" ref="Q129">+[19]!PV_DOWN_11_20</f>
        <v>-34633666.221141227</v>
      </c>
      <c r="R129" s="32" cm="1">
        <f t="array" ref="R129">+[20]!PV_DOWN_11_20</f>
        <v>-34838613.155502386</v>
      </c>
      <c r="S129" s="70" cm="1">
        <f t="array" ref="S129">+[22]!PV_DOWN_11_20</f>
        <v>-35086425.955739312</v>
      </c>
      <c r="T129" s="13">
        <f>+B129-SUM(B130:B139)</f>
        <v>0</v>
      </c>
      <c r="U129" s="13">
        <f t="shared" ref="U129:W129" si="105">+C129-SUM(C130:C139)</f>
        <v>0</v>
      </c>
      <c r="V129" s="13">
        <f t="shared" si="105"/>
        <v>0</v>
      </c>
      <c r="W129" s="13">
        <f t="shared" si="105"/>
        <v>0</v>
      </c>
      <c r="X129" s="13">
        <f t="shared" ref="X129" si="106">+F129-SUM(F130:F139)</f>
        <v>0</v>
      </c>
      <c r="Y129" s="13">
        <f t="shared" ref="Y129:AE129" si="107">+G129-SUM(G130:G139)</f>
        <v>0</v>
      </c>
      <c r="Z129" s="13">
        <f t="shared" si="107"/>
        <v>0</v>
      </c>
      <c r="AA129" s="13">
        <f t="shared" si="107"/>
        <v>0</v>
      </c>
      <c r="AB129" s="13">
        <f t="shared" si="107"/>
        <v>0</v>
      </c>
      <c r="AC129" s="13">
        <f t="shared" si="107"/>
        <v>0</v>
      </c>
      <c r="AD129" s="13">
        <f t="shared" si="107"/>
        <v>0</v>
      </c>
      <c r="AE129" s="13">
        <f t="shared" si="107"/>
        <v>0</v>
      </c>
      <c r="AF129" s="13">
        <f t="shared" ref="AF129" si="108">+N129-SUM(N130:N139)</f>
        <v>0</v>
      </c>
      <c r="AG129" s="13">
        <f t="shared" ref="AG129:AH129" si="109">+O129-SUM(O130:O139)</f>
        <v>0</v>
      </c>
      <c r="AH129" s="13">
        <f t="shared" si="109"/>
        <v>0</v>
      </c>
      <c r="AI129" s="13">
        <f t="shared" ref="AI129" si="110">+Q129-SUM(Q130:Q139)</f>
        <v>0</v>
      </c>
      <c r="AJ129" s="13">
        <f t="shared" ref="AJ129:AK129" si="111">+R129-SUM(R130:R139)</f>
        <v>0</v>
      </c>
      <c r="AK129" s="13">
        <f t="shared" si="111"/>
        <v>0</v>
      </c>
    </row>
    <row r="130" spans="1:37" hidden="1" outlineLevel="2" x14ac:dyDescent="0.25">
      <c r="A130" s="16" t="s">
        <v>15</v>
      </c>
      <c r="B130" s="13">
        <f>+[1]Result!$K$15</f>
        <v>-10463832.466175595</v>
      </c>
      <c r="C130" s="13">
        <f>+[5]Result!$K$15</f>
        <v>-10538318.934051093</v>
      </c>
      <c r="D130" s="32">
        <f>+[6]Result!$K$15</f>
        <v>-9659581.4156151898</v>
      </c>
      <c r="E130" s="13">
        <f>+[7]Result!$K$15</f>
        <v>-9815351.4060959555</v>
      </c>
      <c r="F130" s="13">
        <f>+[8]Result!$K$15</f>
        <v>-9759717.6821691003</v>
      </c>
      <c r="G130" s="32">
        <f>+[9]Result!$K$15</f>
        <v>-9832022.1734768935</v>
      </c>
      <c r="H130" s="13">
        <f>+[10]Result!$K$15</f>
        <v>-9775498.4674829859</v>
      </c>
      <c r="I130" s="13">
        <f>+[11]Result!$K$15</f>
        <v>-9776850.4718770199</v>
      </c>
      <c r="J130" s="32">
        <f>+[12]Result!$K$15</f>
        <v>-9763280.03507437</v>
      </c>
      <c r="K130" s="13">
        <f>+[13]Result!$K$15</f>
        <v>-9789964.7245861273</v>
      </c>
      <c r="L130" s="13">
        <f>+[14]Result!$K$15</f>
        <v>-9706080.5715054143</v>
      </c>
      <c r="M130" s="13">
        <f>+[15]Result!$K$15</f>
        <v>-5993914.525244005</v>
      </c>
      <c r="N130" s="32">
        <f>+[16]Result!$K$15</f>
        <v>-6020790.1240071123</v>
      </c>
      <c r="O130" s="13">
        <f>+[17]Result!$K$15</f>
        <v>-6108895.4156416478</v>
      </c>
      <c r="P130" s="13">
        <f>+[18]Result!$K$15</f>
        <v>-6391936.111607085</v>
      </c>
      <c r="Q130" s="32">
        <f>+[19]Result!$K$15</f>
        <v>-6387111.8092086054</v>
      </c>
      <c r="R130" s="32">
        <f>+[20]Result!$K$15</f>
        <v>-6426292.6644128328</v>
      </c>
      <c r="S130" s="70">
        <f>+[22]Result!$K$15</f>
        <v>-6456866.9713118402</v>
      </c>
    </row>
    <row r="131" spans="1:37" hidden="1" outlineLevel="2" x14ac:dyDescent="0.25">
      <c r="A131" s="16" t="s">
        <v>16</v>
      </c>
      <c r="B131" s="13">
        <f>+[1]Result!$K$16</f>
        <v>-7725236.0389682846</v>
      </c>
      <c r="C131" s="13">
        <f>+[5]Result!$K$16</f>
        <v>-7777389.1879304564</v>
      </c>
      <c r="D131" s="32">
        <f>+[6]Result!$K$16</f>
        <v>-6825500.2941064071</v>
      </c>
      <c r="E131" s="13">
        <f>+[7]Result!$K$16</f>
        <v>-6947597.0797675224</v>
      </c>
      <c r="F131" s="13">
        <f>+[8]Result!$K$16</f>
        <v>-6900985.6399222612</v>
      </c>
      <c r="G131" s="32">
        <f>+[9]Result!$K$16</f>
        <v>-6858908.8884085789</v>
      </c>
      <c r="H131" s="13">
        <f>+[10]Result!$K$16</f>
        <v>-6819621.4001841955</v>
      </c>
      <c r="I131" s="13">
        <f>+[11]Result!$K$16</f>
        <v>-6815729.4522130303</v>
      </c>
      <c r="J131" s="32">
        <f>+[12]Result!$K$16</f>
        <v>-6865521.6073225727</v>
      </c>
      <c r="K131" s="13">
        <f>+[13]Result!$K$16</f>
        <v>-6884888.8985440535</v>
      </c>
      <c r="L131" s="13">
        <f>+[14]Result!$K$16</f>
        <v>-6816408.9677507672</v>
      </c>
      <c r="M131" s="13">
        <f>+[15]Result!$K$16</f>
        <v>-4947918.6224088408</v>
      </c>
      <c r="N131" s="32">
        <f>+[16]Result!$K$16</f>
        <v>-4971648.0545087932</v>
      </c>
      <c r="O131" s="13">
        <f>+[17]Result!$K$16</f>
        <v>-5053313.4857135313</v>
      </c>
      <c r="P131" s="13">
        <f>+[18]Result!$K$16</f>
        <v>-5118672.8363282243</v>
      </c>
      <c r="Q131" s="32">
        <f>+[19]Result!$K$16</f>
        <v>-5115464.2766525447</v>
      </c>
      <c r="R131" s="32">
        <f>+[20]Result!$K$16</f>
        <v>-5148947.5110013597</v>
      </c>
      <c r="S131" s="70">
        <f>+[22]Result!$K$16</f>
        <v>-5180120.6897827378</v>
      </c>
    </row>
    <row r="132" spans="1:37" hidden="1" outlineLevel="2" x14ac:dyDescent="0.25">
      <c r="A132" s="16" t="s">
        <v>17</v>
      </c>
      <c r="B132" s="13">
        <f>+[1]Result!$K$17</f>
        <v>-6535081.8952837754</v>
      </c>
      <c r="C132" s="13">
        <f>+[5]Result!$K$17</f>
        <v>-6580977.8532077502</v>
      </c>
      <c r="D132" s="32">
        <f>+[6]Result!$K$17</f>
        <v>-5771090.2267179117</v>
      </c>
      <c r="E132" s="13">
        <f>+[7]Result!$K$17</f>
        <v>-5882598.2304029856</v>
      </c>
      <c r="F132" s="13">
        <f>+[8]Result!$K$17</f>
        <v>-5836523.9467426566</v>
      </c>
      <c r="G132" s="32">
        <f>+[9]Result!$K$17</f>
        <v>-5769884.996428486</v>
      </c>
      <c r="H132" s="13">
        <f>+[10]Result!$K$17</f>
        <v>-5736756.2513767257</v>
      </c>
      <c r="I132" s="13">
        <f>+[11]Result!$K$17</f>
        <v>-5728592.7138403645</v>
      </c>
      <c r="J132" s="32">
        <f>+[12]Result!$K$17</f>
        <v>-5762896.7321954388</v>
      </c>
      <c r="K132" s="13">
        <f>+[13]Result!$K$17</f>
        <v>-5778782.0787405567</v>
      </c>
      <c r="L132" s="13">
        <f>+[14]Result!$K$17</f>
        <v>-5713312.8109327136</v>
      </c>
      <c r="M132" s="13">
        <f>+[15]Result!$K$17</f>
        <v>-4270436.2893105829</v>
      </c>
      <c r="N132" s="32">
        <f>+[16]Result!$K$17</f>
        <v>-4294316.9503401807</v>
      </c>
      <c r="O132" s="13">
        <f>+[17]Result!$K$17</f>
        <v>-4372600.5258269589</v>
      </c>
      <c r="P132" s="13">
        <f>+[18]Result!$K$17</f>
        <v>-4438242.3660677616</v>
      </c>
      <c r="Q132" s="32">
        <f>+[19]Result!$K$17</f>
        <v>-4433626.5752792023</v>
      </c>
      <c r="R132" s="32">
        <f>+[20]Result!$K$17</f>
        <v>-4463232.7214912297</v>
      </c>
      <c r="S132" s="70">
        <f>+[22]Result!$K$17</f>
        <v>-4495026.4004305899</v>
      </c>
    </row>
    <row r="133" spans="1:37" hidden="1" outlineLevel="2" x14ac:dyDescent="0.25">
      <c r="A133" s="16" t="s">
        <v>18</v>
      </c>
      <c r="B133" s="13">
        <f>+[1]Result!$K$18</f>
        <v>-5629741.4494565362</v>
      </c>
      <c r="C133" s="13">
        <f>+[5]Result!$K$18</f>
        <v>-5672920.2522131437</v>
      </c>
      <c r="D133" s="32">
        <f>+[6]Result!$K$18</f>
        <v>-4995983.3258505156</v>
      </c>
      <c r="E133" s="13">
        <f>+[7]Result!$K$18</f>
        <v>-5097907.6954934914</v>
      </c>
      <c r="F133" s="13">
        <f>+[8]Result!$K$18</f>
        <v>-5051786.7232829304</v>
      </c>
      <c r="G133" s="32">
        <f>+[9]Result!$K$18</f>
        <v>-5016014.6608093018</v>
      </c>
      <c r="H133" s="13">
        <f>+[10]Result!$K$18</f>
        <v>-4984214.3709649602</v>
      </c>
      <c r="I133" s="13">
        <f>+[11]Result!$K$18</f>
        <v>-4971987.610737321</v>
      </c>
      <c r="J133" s="32">
        <f>+[12]Result!$K$18</f>
        <v>-5010801.4393820316</v>
      </c>
      <c r="K133" s="13">
        <f>+[13]Result!$K$18</f>
        <v>-5024403.7001960529</v>
      </c>
      <c r="L133" s="13">
        <f>+[14]Result!$K$18</f>
        <v>-4961294.5634304108</v>
      </c>
      <c r="M133" s="13">
        <f>+[15]Result!$K$18</f>
        <v>-3821338.5169937215</v>
      </c>
      <c r="N133" s="32">
        <f>+[16]Result!$K$18</f>
        <v>-3846407.1318961098</v>
      </c>
      <c r="O133" s="13">
        <f>+[17]Result!$K$18</f>
        <v>-3922388.9708698583</v>
      </c>
      <c r="P133" s="13">
        <f>+[18]Result!$K$18</f>
        <v>-3978115.2732147388</v>
      </c>
      <c r="Q133" s="32">
        <f>+[19]Result!$K$18</f>
        <v>-3974467.4204632207</v>
      </c>
      <c r="R133" s="32">
        <f>+[20]Result!$K$18</f>
        <v>-4001572.8595174369</v>
      </c>
      <c r="S133" s="70">
        <f>+[22]Result!$K$18</f>
        <v>-4032058.7094399207</v>
      </c>
    </row>
    <row r="134" spans="1:37" hidden="1" outlineLevel="2" x14ac:dyDescent="0.25">
      <c r="A134" s="16" t="s">
        <v>19</v>
      </c>
      <c r="B134" s="13">
        <f>+[1]Result!$K$19</f>
        <v>-5002594.1524562472</v>
      </c>
      <c r="C134" s="13">
        <f>+[5]Result!$K$19</f>
        <v>-5047026.8135027634</v>
      </c>
      <c r="D134" s="32">
        <f>+[6]Result!$K$19</f>
        <v>-4460969.4073235551</v>
      </c>
      <c r="E134" s="13">
        <f>+[7]Result!$K$19</f>
        <v>-4556195.46980571</v>
      </c>
      <c r="F134" s="13">
        <f>+[8]Result!$K$19</f>
        <v>-4508748.0709397402</v>
      </c>
      <c r="G134" s="32">
        <f>+[9]Result!$K$19</f>
        <v>-4439054.9251965238</v>
      </c>
      <c r="H134" s="13">
        <f>+[10]Result!$K$19</f>
        <v>-4405387.3738962607</v>
      </c>
      <c r="I134" s="13">
        <f>+[11]Result!$K$19</f>
        <v>-4391310.1740288651</v>
      </c>
      <c r="J134" s="32">
        <f>+[12]Result!$K$19</f>
        <v>-4394505.3456105795</v>
      </c>
      <c r="K134" s="13">
        <f>+[13]Result!$K$19</f>
        <v>-4406370.1089452533</v>
      </c>
      <c r="L134" s="13">
        <f>+[14]Result!$K$19</f>
        <v>-4342328.2970209494</v>
      </c>
      <c r="M134" s="13">
        <f>+[15]Result!$K$19</f>
        <v>-3411321.8078129115</v>
      </c>
      <c r="N134" s="32">
        <f>+[16]Result!$K$19</f>
        <v>-3434101.4207407227</v>
      </c>
      <c r="O134" s="13">
        <f>+[17]Result!$K$19</f>
        <v>-3507256.8434080076</v>
      </c>
      <c r="P134" s="13">
        <f>+[18]Result!$K$19</f>
        <v>-3519292.4391446123</v>
      </c>
      <c r="Q134" s="32">
        <f>+[19]Result!$K$19</f>
        <v>-3513752.966840968</v>
      </c>
      <c r="R134" s="32">
        <f>+[20]Result!$K$19</f>
        <v>-3537197.767848589</v>
      </c>
      <c r="S134" s="70">
        <f>+[22]Result!$K$19</f>
        <v>-3564880.7479753918</v>
      </c>
    </row>
    <row r="135" spans="1:37" hidden="1" outlineLevel="2" x14ac:dyDescent="0.25">
      <c r="A135" s="16" t="s">
        <v>20</v>
      </c>
      <c r="B135" s="13">
        <f>+[1]Result!$K$20</f>
        <v>-4207438.6789795216</v>
      </c>
      <c r="C135" s="13">
        <f>+[5]Result!$K$20</f>
        <v>-4245680.2411745302</v>
      </c>
      <c r="D135" s="32">
        <f>+[6]Result!$K$20</f>
        <v>-3749871.9419608228</v>
      </c>
      <c r="E135" s="13">
        <f>+[7]Result!$K$20</f>
        <v>-3834953.1751663727</v>
      </c>
      <c r="F135" s="13">
        <f>+[8]Result!$K$20</f>
        <v>-3789683.2412266405</v>
      </c>
      <c r="G135" s="32">
        <f>+[9]Result!$K$20</f>
        <v>-3706033.0738172047</v>
      </c>
      <c r="H135" s="13">
        <f>+[10]Result!$K$20</f>
        <v>-3673509.5855277581</v>
      </c>
      <c r="I135" s="13">
        <f>+[11]Result!$K$20</f>
        <v>-3659009.1676451475</v>
      </c>
      <c r="J135" s="32">
        <f>+[12]Result!$K$20</f>
        <v>-3681186.7577624666</v>
      </c>
      <c r="K135" s="13">
        <f>+[13]Result!$K$20</f>
        <v>-3690402.8308282741</v>
      </c>
      <c r="L135" s="13">
        <f>+[14]Result!$K$20</f>
        <v>-3628989.9251566636</v>
      </c>
      <c r="M135" s="13">
        <f>+[15]Result!$K$20</f>
        <v>-2887799.4541955451</v>
      </c>
      <c r="N135" s="32">
        <f>+[16]Result!$K$20</f>
        <v>-2905995.0352131589</v>
      </c>
      <c r="O135" s="13">
        <f>+[17]Result!$K$20</f>
        <v>-2972876.8605738343</v>
      </c>
      <c r="P135" s="13">
        <f>+[18]Result!$K$20</f>
        <v>-2980720.3507879213</v>
      </c>
      <c r="Q135" s="32">
        <f>+[19]Result!$K$20</f>
        <v>-2971212.7833300163</v>
      </c>
      <c r="R135" s="32">
        <f>+[20]Result!$K$20</f>
        <v>-2988547.7781515829</v>
      </c>
      <c r="S135" s="70">
        <f>+[22]Result!$K$20</f>
        <v>-3012406.6706557623</v>
      </c>
    </row>
    <row r="136" spans="1:37" hidden="1" outlineLevel="2" x14ac:dyDescent="0.25">
      <c r="A136" s="16" t="s">
        <v>21</v>
      </c>
      <c r="B136" s="13">
        <f>+[1]Result!$K$21</f>
        <v>-3544935.549320844</v>
      </c>
      <c r="C136" s="13">
        <f>+[5]Result!$K$21</f>
        <v>-3572850.1333792554</v>
      </c>
      <c r="D136" s="32">
        <f>+[6]Result!$K$21</f>
        <v>-3156965.7755602277</v>
      </c>
      <c r="E136" s="13">
        <f>+[7]Result!$K$21</f>
        <v>-3235133.5665141679</v>
      </c>
      <c r="F136" s="13">
        <f>+[8]Result!$K$21</f>
        <v>-3192165.0373523417</v>
      </c>
      <c r="G136" s="32">
        <f>+[9]Result!$K$21</f>
        <v>-3113694.2080651554</v>
      </c>
      <c r="H136" s="13">
        <f>+[10]Result!$K$21</f>
        <v>-3083364.1716700019</v>
      </c>
      <c r="I136" s="13">
        <f>+[11]Result!$K$21</f>
        <v>-3068429.2184248441</v>
      </c>
      <c r="J136" s="32">
        <f>+[12]Result!$K$21</f>
        <v>-3103361.919550885</v>
      </c>
      <c r="K136" s="13">
        <f>+[13]Result!$K$21</f>
        <v>-3110383.5546998298</v>
      </c>
      <c r="L136" s="13">
        <f>+[14]Result!$K$21</f>
        <v>-3052854.5114213126</v>
      </c>
      <c r="M136" s="13">
        <f>+[15]Result!$K$21</f>
        <v>-2448407.5030006296</v>
      </c>
      <c r="N136" s="32">
        <f>+[16]Result!$K$21</f>
        <v>-2463859.8870292157</v>
      </c>
      <c r="O136" s="13">
        <f>+[17]Result!$K$21</f>
        <v>-2524056.0925573134</v>
      </c>
      <c r="P136" s="13">
        <f>+[18]Result!$K$21</f>
        <v>-2534278.7145700115</v>
      </c>
      <c r="Q136" s="32">
        <f>+[19]Result!$K$21</f>
        <v>-2523253.2329001613</v>
      </c>
      <c r="R136" s="32">
        <f>+[20]Result!$K$21</f>
        <v>-2535876.3593873712</v>
      </c>
      <c r="S136" s="70">
        <f>+[22]Result!$K$21</f>
        <v>-2556406.4794741627</v>
      </c>
    </row>
    <row r="137" spans="1:37" hidden="1" outlineLevel="2" x14ac:dyDescent="0.25">
      <c r="A137" s="16" t="s">
        <v>22</v>
      </c>
      <c r="B137" s="13">
        <f>+[1]Result!$K$22</f>
        <v>-2944980.2766460376</v>
      </c>
      <c r="C137" s="13">
        <f>+[5]Result!$K$22</f>
        <v>-2963995.5613024058</v>
      </c>
      <c r="D137" s="32">
        <f>+[6]Result!$K$22</f>
        <v>-2634151.5145020373</v>
      </c>
      <c r="E137" s="13">
        <f>+[7]Result!$K$22</f>
        <v>-2704981.5218755412</v>
      </c>
      <c r="F137" s="13">
        <f>+[8]Result!$K$22</f>
        <v>-2664837.0181965292</v>
      </c>
      <c r="G137" s="32">
        <f>+[9]Result!$K$22</f>
        <v>-2593292.036627912</v>
      </c>
      <c r="H137" s="13">
        <f>+[10]Result!$K$22</f>
        <v>-2565861.6041851765</v>
      </c>
      <c r="I137" s="13">
        <f>+[11]Result!$K$22</f>
        <v>-2550489.0543941278</v>
      </c>
      <c r="J137" s="32">
        <f>+[12]Result!$K$22</f>
        <v>-2611258.5492063048</v>
      </c>
      <c r="K137" s="13">
        <f>+[13]Result!$K$22</f>
        <v>-2616628.187724662</v>
      </c>
      <c r="L137" s="13">
        <f>+[14]Result!$K$22</f>
        <v>-2563807.4580689752</v>
      </c>
      <c r="M137" s="13">
        <f>+[15]Result!$K$22</f>
        <v>-2082966.4303159751</v>
      </c>
      <c r="N137" s="32">
        <f>+[16]Result!$K$22</f>
        <v>-2097274.6377811725</v>
      </c>
      <c r="O137" s="13">
        <f>+[17]Result!$K$22</f>
        <v>-2151285.066621332</v>
      </c>
      <c r="P137" s="13">
        <f>+[18]Result!$K$22</f>
        <v>-2174676.881791539</v>
      </c>
      <c r="Q137" s="32">
        <f>+[19]Result!$K$22</f>
        <v>-2163540.8393314714</v>
      </c>
      <c r="R137" s="32">
        <f>+[20]Result!$K$22</f>
        <v>-2172981.4409990469</v>
      </c>
      <c r="S137" s="70">
        <f>+[22]Result!$K$22</f>
        <v>-2191656.4293278446</v>
      </c>
    </row>
    <row r="138" spans="1:37" hidden="1" outlineLevel="2" x14ac:dyDescent="0.25">
      <c r="A138" s="16" t="s">
        <v>23</v>
      </c>
      <c r="B138" s="13">
        <f>+[1]Result!$K$23</f>
        <v>-2461601.6677279645</v>
      </c>
      <c r="C138" s="13">
        <f>+[5]Result!$K$23</f>
        <v>-2476196.1552298288</v>
      </c>
      <c r="D138" s="32">
        <f>+[6]Result!$K$23</f>
        <v>-2229292.6823960459</v>
      </c>
      <c r="E138" s="13">
        <f>+[7]Result!$K$23</f>
        <v>-2291869.8571867114</v>
      </c>
      <c r="F138" s="13">
        <f>+[8]Result!$K$23</f>
        <v>-2254279.3927715612</v>
      </c>
      <c r="G138" s="32">
        <f>+[9]Result!$K$23</f>
        <v>-2203130.5793786836</v>
      </c>
      <c r="H138" s="13">
        <f>+[10]Result!$K$23</f>
        <v>-2178699.4291339004</v>
      </c>
      <c r="I138" s="13">
        <f>+[11]Result!$K$23</f>
        <v>-2163144.9665714442</v>
      </c>
      <c r="J138" s="32">
        <f>+[12]Result!$K$23</f>
        <v>-2244112.7548571611</v>
      </c>
      <c r="K138" s="13">
        <f>+[13]Result!$K$23</f>
        <v>-2248176.4318340383</v>
      </c>
      <c r="L138" s="13">
        <f>+[14]Result!$K$23</f>
        <v>-2199829.332257113</v>
      </c>
      <c r="M138" s="13">
        <f>+[15]Result!$K$23</f>
        <v>-1820968.1435482681</v>
      </c>
      <c r="N138" s="32">
        <f>+[16]Result!$K$23</f>
        <v>-1834859.947069128</v>
      </c>
      <c r="O138" s="13">
        <f>+[17]Result!$K$23</f>
        <v>-1884166.8634965257</v>
      </c>
      <c r="P138" s="13">
        <f>+[18]Result!$K$23</f>
        <v>-1910606.0315359896</v>
      </c>
      <c r="Q138" s="32">
        <f>+[19]Result!$K$23</f>
        <v>-1900274.3946444367</v>
      </c>
      <c r="R138" s="32">
        <f>+[20]Result!$K$23</f>
        <v>-1907491.8957584945</v>
      </c>
      <c r="S138" s="70">
        <f>+[22]Result!$K$23</f>
        <v>-1924817.6473636152</v>
      </c>
    </row>
    <row r="139" spans="1:37" hidden="1" outlineLevel="2" x14ac:dyDescent="0.25">
      <c r="A139" s="16" t="s">
        <v>24</v>
      </c>
      <c r="B139" s="13">
        <f>+[1]Result!$K$24</f>
        <v>-2175967.1928644544</v>
      </c>
      <c r="C139" s="13">
        <f>+[5]Result!$K$24</f>
        <v>-2191931.7717563366</v>
      </c>
      <c r="D139" s="32">
        <f>+[6]Result!$K$24</f>
        <v>-1967698.1640423869</v>
      </c>
      <c r="E139" s="13">
        <f>+[7]Result!$K$24</f>
        <v>-2023052.5129341797</v>
      </c>
      <c r="F139" s="13">
        <f>+[8]Result!$K$24</f>
        <v>-1986568.6961757252</v>
      </c>
      <c r="G139" s="32">
        <f>+[9]Result!$K$24</f>
        <v>-1927120.7103001459</v>
      </c>
      <c r="H139" s="13">
        <f>+[10]Result!$K$24</f>
        <v>-1905148.9208291247</v>
      </c>
      <c r="I139" s="13">
        <f>+[11]Result!$K$24</f>
        <v>-1889366.4700944473</v>
      </c>
      <c r="J139" s="32">
        <f>+[12]Result!$K$24</f>
        <v>-1949546.0920909555</v>
      </c>
      <c r="K139" s="13">
        <f>+[13]Result!$K$24</f>
        <v>-1952522.7041761021</v>
      </c>
      <c r="L139" s="13">
        <f>+[14]Result!$K$24</f>
        <v>-1908289.3076186324</v>
      </c>
      <c r="M139" s="13">
        <f>+[15]Result!$K$24</f>
        <v>-1587080.982645019</v>
      </c>
      <c r="N139" s="32">
        <f>+[16]Result!$K$24</f>
        <v>-1600299.7228233686</v>
      </c>
      <c r="O139" s="13">
        <f>+[17]Result!$K$24</f>
        <v>-1645038.6446199329</v>
      </c>
      <c r="P139" s="13">
        <f>+[18]Result!$K$24</f>
        <v>-1659954.5693479157</v>
      </c>
      <c r="Q139" s="32">
        <f>+[19]Result!$K$24</f>
        <v>-1650961.9224906012</v>
      </c>
      <c r="R139" s="32">
        <f>+[20]Result!$K$24</f>
        <v>-1656472.156934445</v>
      </c>
      <c r="S139" s="70">
        <f>+[22]Result!$K$24</f>
        <v>-1672185.2099774489</v>
      </c>
    </row>
    <row r="140" spans="1:37" hidden="1" outlineLevel="1" x14ac:dyDescent="0.25">
      <c r="A140" s="15" t="s">
        <v>25</v>
      </c>
      <c r="B140" s="13" cm="1">
        <f t="array" ref="B140">+[1]!PV_DOWN_21_30</f>
        <v>-8990856.2600816898</v>
      </c>
      <c r="C140" s="13" cm="1">
        <f t="array" ref="C140">+[5]!PV_DOWN_21_30</f>
        <v>-9131950.9826059993</v>
      </c>
      <c r="D140" s="32" cm="1">
        <f t="array" ref="D140">+[6]!PV_DOWN_21_30</f>
        <v>-8255004.1339985142</v>
      </c>
      <c r="E140" s="13" cm="1">
        <f t="array" ref="E140">+[7]!PV_DOWN_21_30</f>
        <v>-8473281.8081699628</v>
      </c>
      <c r="F140" s="13" cm="1">
        <f t="array" ref="F140">+[8]!PV_DOWN_21_30</f>
        <v>-8279579.1061920933</v>
      </c>
      <c r="G140" s="32" cm="1">
        <f t="array" ref="G140">+[9]!PV_DOWN_21_30</f>
        <v>-8057339.7738901759</v>
      </c>
      <c r="H140" s="13" cm="1">
        <f t="array" ref="H140">+[10]!PV_DOWN_21_30</f>
        <v>-7956138.896050713</v>
      </c>
      <c r="I140" s="13" cm="1">
        <f t="array" ref="I140">+[11]!PV_DOWN_21_30</f>
        <v>-7861932.3463222329</v>
      </c>
      <c r="J140" s="32" cm="1">
        <f t="array" ref="J140">+[12]!PV_DOWN_21_30</f>
        <v>-8364272.0807373896</v>
      </c>
      <c r="K140" s="13" cm="1">
        <f t="array" ref="K140">+[13]!PV_DOWN_21_30</f>
        <v>-8370364.1696143877</v>
      </c>
      <c r="L140" s="13" cm="1">
        <f t="array" ref="L140">+[14]!PV_DOWN_21_30</f>
        <v>-8143818.8778592683</v>
      </c>
      <c r="M140" s="13" cm="1">
        <f t="array" ref="M140">+[15]!PV_DOWN_21_30</f>
        <v>-5958749.1837178962</v>
      </c>
      <c r="N140" s="32" cm="1">
        <f t="array" ref="N140">+[16]!PV_DOWN_21_30</f>
        <v>-6025650.0765284542</v>
      </c>
      <c r="O140" s="13" cm="1">
        <f t="array" ref="O140">+[17]!PV_DOWN_21_30</f>
        <v>-6216587.007016574</v>
      </c>
      <c r="P140" s="13" cm="1">
        <f t="array" ref="P140">+[18]!PV_DOWN_21_30</f>
        <v>-6346096.4399431329</v>
      </c>
      <c r="Q140" s="32" cm="1">
        <f t="array" ref="Q140">+[19]!PV_DOWN_21_30</f>
        <v>-6310034.2290187264</v>
      </c>
      <c r="R140" s="32" cm="1">
        <f t="array" ref="R140">+[20]!PV_DOWN_21_30</f>
        <v>-6323790.1848935299</v>
      </c>
      <c r="S140" s="70" cm="1">
        <f t="array" ref="S140">+[22]!PV_DOWN_21_30</f>
        <v>-6396266.898462004</v>
      </c>
      <c r="T140" s="13">
        <f>+B140-SUM(B141:B150)</f>
        <v>0</v>
      </c>
      <c r="U140" s="13">
        <f t="shared" ref="U140:W140" si="112">+C140-SUM(C141:C150)</f>
        <v>0</v>
      </c>
      <c r="V140" s="13">
        <f t="shared" si="112"/>
        <v>0</v>
      </c>
      <c r="W140" s="13">
        <f t="shared" si="112"/>
        <v>0</v>
      </c>
      <c r="X140" s="13">
        <f t="shared" ref="X140" si="113">+F140-SUM(F141:F150)</f>
        <v>0</v>
      </c>
      <c r="Y140" s="13">
        <f t="shared" ref="Y140:AE140" si="114">+G140-SUM(G141:G150)</f>
        <v>0</v>
      </c>
      <c r="Z140" s="13">
        <f t="shared" si="114"/>
        <v>0</v>
      </c>
      <c r="AA140" s="13">
        <f t="shared" si="114"/>
        <v>0</v>
      </c>
      <c r="AB140" s="13">
        <f t="shared" si="114"/>
        <v>0</v>
      </c>
      <c r="AC140" s="13">
        <f t="shared" si="114"/>
        <v>0</v>
      </c>
      <c r="AD140" s="13">
        <f t="shared" si="114"/>
        <v>0</v>
      </c>
      <c r="AE140" s="13">
        <f t="shared" si="114"/>
        <v>0</v>
      </c>
      <c r="AF140" s="13">
        <f t="shared" ref="AF140" si="115">+N140-SUM(N141:N150)</f>
        <v>0</v>
      </c>
      <c r="AG140" s="13">
        <f t="shared" ref="AG140:AH140" si="116">+O140-SUM(O141:O150)</f>
        <v>0</v>
      </c>
      <c r="AH140" s="13">
        <f t="shared" si="116"/>
        <v>0</v>
      </c>
      <c r="AI140" s="13">
        <f t="shared" ref="AI140" si="117">+Q140-SUM(Q141:Q150)</f>
        <v>0</v>
      </c>
      <c r="AJ140" s="13">
        <f t="shared" ref="AJ140:AK140" si="118">+R140-SUM(R141:R150)</f>
        <v>0</v>
      </c>
      <c r="AK140" s="13">
        <f t="shared" si="118"/>
        <v>0</v>
      </c>
    </row>
    <row r="141" spans="1:37" hidden="1" outlineLevel="2" x14ac:dyDescent="0.25">
      <c r="A141" s="16" t="s">
        <v>26</v>
      </c>
      <c r="B141" s="13">
        <f>+[1]Result!$K$25</f>
        <v>-1849098.1766750126</v>
      </c>
      <c r="C141" s="13">
        <f>+[5]Result!$K$25</f>
        <v>-1867682.1609113482</v>
      </c>
      <c r="D141" s="32">
        <f>+[6]Result!$K$25</f>
        <v>-1670652.5691941474</v>
      </c>
      <c r="E141" s="13">
        <f>+[7]Result!$K$25</f>
        <v>-1716820.7862810614</v>
      </c>
      <c r="F141" s="13">
        <f>+[8]Result!$K$25</f>
        <v>-1683275.3651094141</v>
      </c>
      <c r="G141" s="32">
        <f>+[9]Result!$K$25</f>
        <v>-1625153.9814948142</v>
      </c>
      <c r="H141" s="13">
        <f>+[10]Result!$K$25</f>
        <v>-1606162.7362024677</v>
      </c>
      <c r="I141" s="13">
        <f>+[11]Result!$K$25</f>
        <v>-1591067.5223841474</v>
      </c>
      <c r="J141" s="32">
        <f>+[12]Result!$K$25</f>
        <v>-1651828.1783901053</v>
      </c>
      <c r="K141" s="13">
        <f>+[13]Result!$K$25</f>
        <v>-1653815.5565822874</v>
      </c>
      <c r="L141" s="13">
        <f>+[14]Result!$K$25</f>
        <v>-1614289.9990214186</v>
      </c>
      <c r="M141" s="13">
        <f>+[15]Result!$K$25</f>
        <v>-1314319.0331160338</v>
      </c>
      <c r="N141" s="32">
        <f>+[16]Result!$K$25</f>
        <v>-1326363.0464963191</v>
      </c>
      <c r="O141" s="13">
        <f>+[17]Result!$K$25</f>
        <v>-1364956.7318799281</v>
      </c>
      <c r="P141" s="13">
        <f>+[18]Result!$K$25</f>
        <v>-1376373.4519840747</v>
      </c>
      <c r="Q141" s="32">
        <f>+[19]Result!$K$25</f>
        <v>-1368809.8901536867</v>
      </c>
      <c r="R141" s="32">
        <f>+[20]Result!$K$25</f>
        <v>-1372788.1265736884</v>
      </c>
      <c r="S141" s="70">
        <f>+[22]Result!$K$25</f>
        <v>-1386758.7748532072</v>
      </c>
    </row>
    <row r="142" spans="1:37" hidden="1" outlineLevel="2" x14ac:dyDescent="0.25">
      <c r="A142" s="16" t="s">
        <v>27</v>
      </c>
      <c r="B142" s="13">
        <f>+[1]Result!$K$26</f>
        <v>-1559254.1160882623</v>
      </c>
      <c r="C142" s="13">
        <f>+[5]Result!$K$26</f>
        <v>-1579021.0940761236</v>
      </c>
      <c r="D142" s="32">
        <f>+[6]Result!$K$26</f>
        <v>-1408353.2504790484</v>
      </c>
      <c r="E142" s="13">
        <f>+[7]Result!$K$26</f>
        <v>-1446606.6688839907</v>
      </c>
      <c r="F142" s="13">
        <f>+[8]Result!$K$26</f>
        <v>-1416227.2164688297</v>
      </c>
      <c r="G142" s="32">
        <f>+[9]Result!$K$26</f>
        <v>-1362749.6406794924</v>
      </c>
      <c r="H142" s="13">
        <f>+[10]Result!$K$26</f>
        <v>-1346193.6391666019</v>
      </c>
      <c r="I142" s="13">
        <f>+[11]Result!$K$26</f>
        <v>-1332225.4500778678</v>
      </c>
      <c r="J142" s="32">
        <f>+[12]Result!$K$26</f>
        <v>-1394104.2336366868</v>
      </c>
      <c r="K142" s="13">
        <f>+[13]Result!$K$26</f>
        <v>-1395573.202143302</v>
      </c>
      <c r="L142" s="13">
        <f>+[14]Result!$K$26</f>
        <v>-1360330.0469104864</v>
      </c>
      <c r="M142" s="13">
        <f>+[15]Result!$K$26</f>
        <v>-1077163.0670072858</v>
      </c>
      <c r="N142" s="32">
        <f>+[16]Result!$K$26</f>
        <v>-1088086.5473443095</v>
      </c>
      <c r="O142" s="13">
        <f>+[17]Result!$K$26</f>
        <v>-1120720.7389105328</v>
      </c>
      <c r="P142" s="13">
        <f>+[18]Result!$K$26</f>
        <v>-1132653.9713799609</v>
      </c>
      <c r="Q142" s="32">
        <f>+[19]Result!$K$26</f>
        <v>-1126363.6843981461</v>
      </c>
      <c r="R142" s="32">
        <f>+[20]Result!$K$26</f>
        <v>-1129205.4388068873</v>
      </c>
      <c r="S142" s="70">
        <f>+[22]Result!$K$26</f>
        <v>-1141378.7386322878</v>
      </c>
    </row>
    <row r="143" spans="1:37" hidden="1" outlineLevel="2" x14ac:dyDescent="0.25">
      <c r="A143" s="16" t="s">
        <v>28</v>
      </c>
      <c r="B143" s="13">
        <f>+[1]Result!$K$27</f>
        <v>-1299787.6758530624</v>
      </c>
      <c r="C143" s="13">
        <f>+[5]Result!$K$27</f>
        <v>-1319068.1231175258</v>
      </c>
      <c r="D143" s="32">
        <f>+[6]Result!$K$27</f>
        <v>-1179127.285407111</v>
      </c>
      <c r="E143" s="13">
        <f>+[7]Result!$K$27</f>
        <v>-1210525.4238513422</v>
      </c>
      <c r="F143" s="13">
        <f>+[8]Result!$K$27</f>
        <v>-1183548.7508984983</v>
      </c>
      <c r="G143" s="32">
        <f>+[9]Result!$K$27</f>
        <v>-1139091.2022237508</v>
      </c>
      <c r="H143" s="13">
        <f>+[10]Result!$K$27</f>
        <v>-1124864.7708555926</v>
      </c>
      <c r="I143" s="13">
        <f>+[11]Result!$K$27</f>
        <v>-1112166.8300703908</v>
      </c>
      <c r="J143" s="32">
        <f>+[12]Result!$K$27</f>
        <v>-1179226.0067564612</v>
      </c>
      <c r="K143" s="13">
        <f>+[13]Result!$K$27</f>
        <v>-1180263.2689501741</v>
      </c>
      <c r="L143" s="13">
        <f>+[14]Result!$K$27</f>
        <v>-1149095.2777285068</v>
      </c>
      <c r="M143" s="13">
        <f>+[15]Result!$K$27</f>
        <v>-885065.04776103655</v>
      </c>
      <c r="N143" s="32">
        <f>+[16]Result!$K$27</f>
        <v>-894653.81837026821</v>
      </c>
      <c r="O143" s="13">
        <f>+[17]Result!$K$27</f>
        <v>-922449.93145836738</v>
      </c>
      <c r="P143" s="13">
        <f>+[18]Result!$K$27</f>
        <v>-938873.87504651072</v>
      </c>
      <c r="Q143" s="32">
        <f>+[19]Result!$K$27</f>
        <v>-933623.31443089084</v>
      </c>
      <c r="R143" s="32">
        <f>+[20]Result!$K$27</f>
        <v>-935780.94326019927</v>
      </c>
      <c r="S143" s="70">
        <f>+[22]Result!$K$27</f>
        <v>-946235.32509313594</v>
      </c>
    </row>
    <row r="144" spans="1:37" hidden="1" outlineLevel="2" x14ac:dyDescent="0.25">
      <c r="A144" s="16" t="s">
        <v>29</v>
      </c>
      <c r="B144" s="13">
        <f>+[1]Result!$K$28</f>
        <v>-1086319.0222975302</v>
      </c>
      <c r="C144" s="13">
        <f>+[5]Result!$K$28</f>
        <v>-1104298.8250210232</v>
      </c>
      <c r="D144" s="32">
        <f>+[6]Result!$K$28</f>
        <v>-996298.95372076612</v>
      </c>
      <c r="E144" s="13">
        <f>+[7]Result!$K$28</f>
        <v>-1022374.5123212648</v>
      </c>
      <c r="F144" s="13">
        <f>+[8]Result!$K$28</f>
        <v>-998475.00256914762</v>
      </c>
      <c r="G144" s="32">
        <f>+[9]Result!$K$28</f>
        <v>-975864.76681213954</v>
      </c>
      <c r="H144" s="13">
        <f>+[10]Result!$K$28</f>
        <v>-963583.31676996476</v>
      </c>
      <c r="I144" s="13">
        <f>+[11]Result!$K$28</f>
        <v>-951896.58205437334</v>
      </c>
      <c r="J144" s="32">
        <f>+[12]Result!$K$28</f>
        <v>-1020227.7136158746</v>
      </c>
      <c r="K144" s="13">
        <f>+[13]Result!$K$28</f>
        <v>-1020932.4699890675</v>
      </c>
      <c r="L144" s="13">
        <f>+[14]Result!$K$28</f>
        <v>-993021.16731506609</v>
      </c>
      <c r="M144" s="13">
        <f>+[15]Result!$K$28</f>
        <v>-747348.60733781778</v>
      </c>
      <c r="N144" s="32">
        <f>+[16]Result!$K$28</f>
        <v>-755981.59565884492</v>
      </c>
      <c r="O144" s="13">
        <f>+[17]Result!$K$28</f>
        <v>-780346.62703398091</v>
      </c>
      <c r="P144" s="13">
        <f>+[18]Result!$K$28</f>
        <v>-796044.10715606587</v>
      </c>
      <c r="Q144" s="32">
        <f>+[19]Result!$K$28</f>
        <v>-791485.10279249784</v>
      </c>
      <c r="R144" s="32">
        <f>+[20]Result!$K$28</f>
        <v>-793121.47314365453</v>
      </c>
      <c r="S144" s="70">
        <f>+[22]Result!$K$28</f>
        <v>-802379.65767986421</v>
      </c>
    </row>
    <row r="145" spans="1:37" hidden="1" outlineLevel="2" x14ac:dyDescent="0.25">
      <c r="A145" s="16" t="s">
        <v>30</v>
      </c>
      <c r="B145" s="13">
        <f>+[1]Result!$K$29</f>
        <v>-936418.72210763302</v>
      </c>
      <c r="C145" s="13">
        <f>+[5]Result!$K$29</f>
        <v>-953498.87715667265</v>
      </c>
      <c r="D145" s="32">
        <f>+[6]Result!$K$29</f>
        <v>-861797.89076052164</v>
      </c>
      <c r="E145" s="13">
        <f>+[7]Result!$K$29</f>
        <v>-884048.65250644484</v>
      </c>
      <c r="F145" s="13">
        <f>+[8]Result!$K$29</f>
        <v>-862518.07754276658</v>
      </c>
      <c r="G145" s="32">
        <f>+[9]Result!$K$29</f>
        <v>-838966.10241826426</v>
      </c>
      <c r="H145" s="13">
        <f>+[10]Result!$K$29</f>
        <v>-828259.24852046277</v>
      </c>
      <c r="I145" s="13">
        <f>+[11]Result!$K$29</f>
        <v>-817496.66505078622</v>
      </c>
      <c r="J145" s="32">
        <f>+[12]Result!$K$29</f>
        <v>-866225.58022387885</v>
      </c>
      <c r="K145" s="13">
        <f>+[13]Result!$K$29</f>
        <v>-866639.54455674498</v>
      </c>
      <c r="L145" s="13">
        <f>+[14]Result!$K$29</f>
        <v>-842156.81115283445</v>
      </c>
      <c r="M145" s="13">
        <f>+[15]Result!$K$29</f>
        <v>-611482.97326206393</v>
      </c>
      <c r="N145" s="32">
        <f>+[16]Result!$K$29</f>
        <v>-618995.1746998498</v>
      </c>
      <c r="O145" s="13">
        <f>+[17]Result!$K$29</f>
        <v>-639499.92005826614</v>
      </c>
      <c r="P145" s="13">
        <f>+[18]Result!$K$29</f>
        <v>-644988.95129909448</v>
      </c>
      <c r="Q145" s="32">
        <f>+[19]Result!$K$29</f>
        <v>-641215.90991175978</v>
      </c>
      <c r="R145" s="32">
        <f>+[20]Result!$K$29</f>
        <v>-642368.01778586465</v>
      </c>
      <c r="S145" s="70">
        <f>+[22]Result!$K$29</f>
        <v>-650185.693845795</v>
      </c>
    </row>
    <row r="146" spans="1:37" hidden="1" outlineLevel="2" x14ac:dyDescent="0.25">
      <c r="A146" s="16" t="s">
        <v>31</v>
      </c>
      <c r="B146" s="13">
        <f>+[1]Result!$K$30</f>
        <v>-731279.9354130039</v>
      </c>
      <c r="C146" s="13">
        <f>+[5]Result!$K$30</f>
        <v>-745724.69314421504</v>
      </c>
      <c r="D146" s="32">
        <f>+[6]Result!$K$30</f>
        <v>-671923.77626391465</v>
      </c>
      <c r="E146" s="13">
        <f>+[7]Result!$K$30</f>
        <v>-689127.41674012411</v>
      </c>
      <c r="F146" s="13">
        <f>+[8]Result!$K$30</f>
        <v>-671837.3691754652</v>
      </c>
      <c r="G146" s="32">
        <f>+[9]Result!$K$30</f>
        <v>-648179.88695850328</v>
      </c>
      <c r="H146" s="13">
        <f>+[10]Result!$K$30</f>
        <v>-639732.9540596439</v>
      </c>
      <c r="I146" s="13">
        <f>+[11]Result!$K$30</f>
        <v>-631005.73918777902</v>
      </c>
      <c r="J146" s="32">
        <f>+[12]Result!$K$30</f>
        <v>-677796.46397798136</v>
      </c>
      <c r="K146" s="13">
        <f>+[13]Result!$K$30</f>
        <v>-677965.74881716876</v>
      </c>
      <c r="L146" s="13">
        <f>+[14]Result!$K$30</f>
        <v>-658208.86087875674</v>
      </c>
      <c r="M146" s="13">
        <f>+[15]Result!$K$30</f>
        <v>-443876.40867607819</v>
      </c>
      <c r="N146" s="32">
        <f>+[16]Result!$K$30</f>
        <v>-449609.49442821834</v>
      </c>
      <c r="O146" s="13">
        <f>+[17]Result!$K$30</f>
        <v>-464829.86600768182</v>
      </c>
      <c r="P146" s="13">
        <f>+[18]Result!$K$30</f>
        <v>-469266.93226437533</v>
      </c>
      <c r="Q146" s="32">
        <f>+[19]Result!$K$30</f>
        <v>-466526.45358270791</v>
      </c>
      <c r="R146" s="32">
        <f>+[20]Result!$K$30</f>
        <v>-467282.46376726066</v>
      </c>
      <c r="S146" s="70">
        <f>+[22]Result!$K$30</f>
        <v>-473084.7282963061</v>
      </c>
    </row>
    <row r="147" spans="1:37" hidden="1" outlineLevel="2" x14ac:dyDescent="0.25">
      <c r="A147" s="16" t="s">
        <v>32</v>
      </c>
      <c r="B147" s="13">
        <f>+[1]Result!$K$31</f>
        <v>-552069.01802407636</v>
      </c>
      <c r="C147" s="13">
        <f>+[5]Result!$K$31</f>
        <v>-563697.88345953729</v>
      </c>
      <c r="D147" s="32">
        <f>+[6]Result!$K$31</f>
        <v>-510701.44923995523</v>
      </c>
      <c r="E147" s="13">
        <f>+[7]Result!$K$31</f>
        <v>-523681.88930947095</v>
      </c>
      <c r="F147" s="13">
        <f>+[8]Result!$K$31</f>
        <v>-510101.50430518994</v>
      </c>
      <c r="G147" s="32">
        <f>+[9]Result!$K$31</f>
        <v>-491802.86673666973</v>
      </c>
      <c r="H147" s="13">
        <f>+[10]Result!$K$31</f>
        <v>-485270.72131952178</v>
      </c>
      <c r="I147" s="13">
        <f>+[11]Result!$K$31</f>
        <v>-478456.02302891755</v>
      </c>
      <c r="J147" s="32">
        <f>+[12]Result!$K$31</f>
        <v>-523659.31799865857</v>
      </c>
      <c r="K147" s="13">
        <f>+[13]Result!$K$31</f>
        <v>-523863.67958795262</v>
      </c>
      <c r="L147" s="13">
        <f>+[14]Result!$K$31</f>
        <v>-508140.97397977806</v>
      </c>
      <c r="M147" s="13">
        <f>+[15]Result!$K$31</f>
        <v>-303819.22668458824</v>
      </c>
      <c r="N147" s="32">
        <f>+[16]Result!$K$31</f>
        <v>-307977.64644826815</v>
      </c>
      <c r="O147" s="13">
        <f>+[17]Result!$K$31</f>
        <v>-318612.37635646673</v>
      </c>
      <c r="P147" s="13">
        <f>+[18]Result!$K$31</f>
        <v>-320970.21112041362</v>
      </c>
      <c r="Q147" s="32">
        <f>+[19]Result!$K$31</f>
        <v>-319063.56667644321</v>
      </c>
      <c r="R147" s="32">
        <f>+[20]Result!$K$31</f>
        <v>-319559.81586779497</v>
      </c>
      <c r="S147" s="70">
        <f>+[22]Result!$K$31</f>
        <v>-323600.39969627681</v>
      </c>
    </row>
    <row r="148" spans="1:37" hidden="1" outlineLevel="2" x14ac:dyDescent="0.25">
      <c r="A148" s="16" t="s">
        <v>33</v>
      </c>
      <c r="B148" s="13">
        <f>+[1]Result!$K$32</f>
        <v>-396395.418166216</v>
      </c>
      <c r="C148" s="13">
        <f>+[5]Result!$K$32</f>
        <v>-405171.00101688859</v>
      </c>
      <c r="D148" s="32">
        <f>+[6]Result!$K$32</f>
        <v>-369412.54644298513</v>
      </c>
      <c r="E148" s="13">
        <f>+[7]Result!$K$32</f>
        <v>-378700.1666709967</v>
      </c>
      <c r="F148" s="13">
        <f>+[8]Result!$K$32</f>
        <v>-368615.30452908325</v>
      </c>
      <c r="G148" s="32">
        <f>+[9]Result!$K$32</f>
        <v>-356246.08771079389</v>
      </c>
      <c r="H148" s="13">
        <f>+[10]Result!$K$32</f>
        <v>-351432.17195626168</v>
      </c>
      <c r="I148" s="13">
        <f>+[11]Result!$K$32</f>
        <v>-346311.91123678291</v>
      </c>
      <c r="J148" s="32">
        <f>+[12]Result!$K$32</f>
        <v>-396551.88950204733</v>
      </c>
      <c r="K148" s="13">
        <f>+[13]Result!$K$32</f>
        <v>-396658.00235199463</v>
      </c>
      <c r="L148" s="13">
        <f>+[14]Result!$K$32</f>
        <v>-384519.45288792608</v>
      </c>
      <c r="M148" s="13">
        <f>+[15]Result!$K$32</f>
        <v>-201882.44665190615</v>
      </c>
      <c r="N148" s="32">
        <f>+[16]Result!$K$32</f>
        <v>-204722.46144558009</v>
      </c>
      <c r="O148" s="13">
        <f>+[17]Result!$K$32</f>
        <v>-211977.2489393334</v>
      </c>
      <c r="P148" s="13">
        <f>+[18]Result!$K$32</f>
        <v>-228980.17673683228</v>
      </c>
      <c r="Q148" s="32">
        <f>+[19]Result!$K$32</f>
        <v>-227599.6400218652</v>
      </c>
      <c r="R148" s="32">
        <f>+[20]Result!$K$32</f>
        <v>-227905.3432041473</v>
      </c>
      <c r="S148" s="70">
        <f>+[22]Result!$K$32</f>
        <v>-230896.75044177097</v>
      </c>
    </row>
    <row r="149" spans="1:37" hidden="1" outlineLevel="2" x14ac:dyDescent="0.25">
      <c r="A149" s="16" t="s">
        <v>34</v>
      </c>
      <c r="B149" s="13">
        <f>+[1]Result!$K$33</f>
        <v>-286461.70565674466</v>
      </c>
      <c r="C149" s="13">
        <f>+[5]Result!$K$33</f>
        <v>-293035.76197054697</v>
      </c>
      <c r="D149" s="32">
        <f>+[6]Result!$K$33</f>
        <v>-290296.51690831187</v>
      </c>
      <c r="E149" s="13">
        <f>+[7]Result!$K$33</f>
        <v>-297571.97834164294</v>
      </c>
      <c r="F149" s="13">
        <f>+[8]Result!$K$33</f>
        <v>-289526.20476595784</v>
      </c>
      <c r="G149" s="32">
        <f>+[9]Result!$K$33</f>
        <v>-307560.96856166556</v>
      </c>
      <c r="H149" s="13">
        <f>+[10]Result!$K$33</f>
        <v>-303297.30569357245</v>
      </c>
      <c r="I149" s="13">
        <f>+[11]Result!$K$33</f>
        <v>-298719.7896462853</v>
      </c>
      <c r="J149" s="32">
        <f>+[12]Result!$K$33</f>
        <v>-348437.35858078307</v>
      </c>
      <c r="K149" s="13">
        <f>+[13]Result!$K$33</f>
        <v>-348437.35858078307</v>
      </c>
      <c r="L149" s="13">
        <f>+[14]Result!$K$33</f>
        <v>-337581.4210386065</v>
      </c>
      <c r="M149" s="13">
        <f>+[15]Result!$K$33</f>
        <v>-186072.7721570092</v>
      </c>
      <c r="N149" s="32">
        <f>+[16]Result!$K$33</f>
        <v>-188733.81886252903</v>
      </c>
      <c r="O149" s="13">
        <f>+[17]Result!$K$33</f>
        <v>-195587.19940917808</v>
      </c>
      <c r="P149" s="13">
        <f>+[18]Result!$K$33</f>
        <v>-223729.12642475328</v>
      </c>
      <c r="Q149" s="32">
        <f>+[19]Result!$K$33</f>
        <v>-222393.3318652345</v>
      </c>
      <c r="R149" s="32">
        <f>+[20]Result!$K$33</f>
        <v>-222641.25680509856</v>
      </c>
      <c r="S149" s="70">
        <f>+[22]Result!$K$33</f>
        <v>-225670.04184648787</v>
      </c>
    </row>
    <row r="150" spans="1:37" hidden="1" outlineLevel="2" x14ac:dyDescent="0.25">
      <c r="A150" s="16" t="s">
        <v>35</v>
      </c>
      <c r="B150" s="13">
        <f>+[1]Result!$K$34</f>
        <v>-293772.46980014793</v>
      </c>
      <c r="C150" s="13">
        <f>+[5]Result!$K$34</f>
        <v>-300752.56273211929</v>
      </c>
      <c r="D150" s="32">
        <f>+[6]Result!$K$34</f>
        <v>-296439.89558175183</v>
      </c>
      <c r="E150" s="13">
        <f>+[7]Result!$K$34</f>
        <v>-303824.31326362607</v>
      </c>
      <c r="F150" s="13">
        <f>+[8]Result!$K$34</f>
        <v>-295454.31082774146</v>
      </c>
      <c r="G150" s="32">
        <f>+[9]Result!$K$34</f>
        <v>-311724.27029408264</v>
      </c>
      <c r="H150" s="13">
        <f>+[10]Result!$K$34</f>
        <v>-307342.0315066239</v>
      </c>
      <c r="I150" s="13">
        <f>+[11]Result!$K$34</f>
        <v>-302585.83358490322</v>
      </c>
      <c r="J150" s="32">
        <f>+[12]Result!$K$34</f>
        <v>-306215.33805491251</v>
      </c>
      <c r="K150" s="13">
        <f>+[13]Result!$K$34</f>
        <v>-306215.33805491251</v>
      </c>
      <c r="L150" s="13">
        <f>+[14]Result!$K$34</f>
        <v>-296474.86694588838</v>
      </c>
      <c r="M150" s="13">
        <f>+[15]Result!$K$34</f>
        <v>-187719.60106407633</v>
      </c>
      <c r="N150" s="32">
        <f>+[16]Result!$K$34</f>
        <v>-190526.4727742665</v>
      </c>
      <c r="O150" s="13">
        <f>+[17]Result!$K$34</f>
        <v>-197606.36696283802</v>
      </c>
      <c r="P150" s="13">
        <f>+[18]Result!$K$34</f>
        <v>-214215.63653105166</v>
      </c>
      <c r="Q150" s="32">
        <f>+[19]Result!$K$34</f>
        <v>-212953.33518549462</v>
      </c>
      <c r="R150" s="32">
        <f>+[20]Result!$K$34</f>
        <v>-213137.30567893523</v>
      </c>
      <c r="S150" s="70">
        <f>+[22]Result!$K$34</f>
        <v>-216076.78807687166</v>
      </c>
    </row>
    <row r="151" spans="1:37" hidden="1" outlineLevel="1" x14ac:dyDescent="0.25">
      <c r="A151" s="15" t="s">
        <v>36</v>
      </c>
      <c r="B151" s="13" cm="1">
        <f t="array" ref="B151">+[1]!PV_DOWN_31_50</f>
        <v>-532189.64439438516</v>
      </c>
      <c r="C151" s="13" cm="1">
        <f t="array" ref="C151">+[5]!PV_DOWN_31_50</f>
        <v>-545789.29811326554</v>
      </c>
      <c r="D151" s="32" cm="1">
        <f t="array" ref="D151">+[6]!PV_DOWN_31_50</f>
        <v>-528518.80885149038</v>
      </c>
      <c r="E151" s="13" cm="1">
        <f t="array" ref="E151">+[7]!PV_DOWN_31_50</f>
        <v>-541471.60575636895</v>
      </c>
      <c r="F151" s="13" cm="1">
        <f t="array" ref="F151">+[8]!PV_DOWN_31_50</f>
        <v>-525940.51934556186</v>
      </c>
      <c r="G151" s="32" cm="1">
        <f t="array" ref="G151">+[9]!PV_DOWN_31_50</f>
        <v>-539099.24242758728</v>
      </c>
      <c r="H151" s="13" cm="1">
        <f t="array" ref="H151">+[10]!PV_DOWN_31_50</f>
        <v>-531429.50080943294</v>
      </c>
      <c r="I151" s="13" cm="1">
        <f t="array" ref="I151">+[11]!PV_DOWN_31_50</f>
        <v>-522625.89360028284</v>
      </c>
      <c r="J151" s="32" cm="1">
        <f t="array" ref="J151">+[12]!PV_DOWN_31_50</f>
        <v>-544735.81965557509</v>
      </c>
      <c r="K151" s="13" cm="1">
        <f t="array" ref="K151">+[13]!PV_DOWN_31_50</f>
        <v>-544607.63951438444</v>
      </c>
      <c r="L151" s="13" cm="1">
        <f t="array" ref="L151">+[14]!PV_DOWN_31_50</f>
        <v>-526394.89421509381</v>
      </c>
      <c r="M151" s="13" cm="1">
        <f t="array" ref="M151">+[15]!PV_DOWN_31_50</f>
        <v>-242529.55882100895</v>
      </c>
      <c r="N151" s="32" cm="1">
        <f t="array" ref="N151">+[16]!PV_DOWN_31_50</f>
        <v>-246444.23839762376</v>
      </c>
      <c r="O151" s="13" cm="1">
        <f t="array" ref="O151">+[17]!PV_DOWN_31_50</f>
        <v>-256164.46044387179</v>
      </c>
      <c r="P151" s="13" cm="1">
        <f t="array" ref="P151">+[18]!PV_DOWN_31_50</f>
        <v>-345769.22110007022</v>
      </c>
      <c r="Q151" s="32" cm="1">
        <f t="array" ref="Q151">+[19]!PV_DOWN_31_50</f>
        <v>-343746.88132011</v>
      </c>
      <c r="R151" s="32" cm="1">
        <f t="array" ref="R151">+[20]!PV_DOWN_31_50</f>
        <v>-343910.99031963607</v>
      </c>
      <c r="S151" s="70" cm="1">
        <f t="array" ref="S151">+[22]!PV_DOWN_31_50</f>
        <v>-348853.78215015761</v>
      </c>
      <c r="T151" s="13">
        <f>+B151-SUM(B152:B171)</f>
        <v>0</v>
      </c>
      <c r="U151" s="13">
        <f t="shared" ref="U151:W151" si="119">+C151-SUM(C152:C171)</f>
        <v>0</v>
      </c>
      <c r="V151" s="13">
        <f t="shared" si="119"/>
        <v>0</v>
      </c>
      <c r="W151" s="13">
        <f t="shared" si="119"/>
        <v>0</v>
      </c>
      <c r="X151" s="13">
        <f t="shared" ref="X151" si="120">+F151-SUM(F152:F171)</f>
        <v>0</v>
      </c>
      <c r="Y151" s="13">
        <f t="shared" ref="Y151:AE151" si="121">+G151-SUM(G152:G171)</f>
        <v>0</v>
      </c>
      <c r="Z151" s="13">
        <f t="shared" si="121"/>
        <v>0</v>
      </c>
      <c r="AA151" s="13">
        <f t="shared" si="121"/>
        <v>0</v>
      </c>
      <c r="AB151" s="13">
        <f t="shared" si="121"/>
        <v>0</v>
      </c>
      <c r="AC151" s="13">
        <f t="shared" si="121"/>
        <v>0</v>
      </c>
      <c r="AD151" s="13">
        <f t="shared" si="121"/>
        <v>0</v>
      </c>
      <c r="AE151" s="13">
        <f t="shared" si="121"/>
        <v>0</v>
      </c>
      <c r="AF151" s="13">
        <f t="shared" ref="AF151" si="122">+N151-SUM(N152:N171)</f>
        <v>0</v>
      </c>
      <c r="AG151" s="13">
        <f t="shared" ref="AG151:AH151" si="123">+O151-SUM(O152:O171)</f>
        <v>0</v>
      </c>
      <c r="AH151" s="13">
        <f t="shared" si="123"/>
        <v>0</v>
      </c>
      <c r="AI151" s="13">
        <f t="shared" ref="AI151" si="124">+Q151-SUM(Q152:Q171)</f>
        <v>0</v>
      </c>
      <c r="AJ151" s="13">
        <f t="shared" ref="AJ151:AK151" si="125">+R151-SUM(R152:R171)</f>
        <v>0</v>
      </c>
      <c r="AK151" s="13">
        <f t="shared" si="125"/>
        <v>0</v>
      </c>
    </row>
    <row r="152" spans="1:37" hidden="1" outlineLevel="2" x14ac:dyDescent="0.25">
      <c r="A152" s="16" t="s">
        <v>37</v>
      </c>
      <c r="B152" s="13">
        <f>+[1]Result!$K$35</f>
        <v>-163506.35767880586</v>
      </c>
      <c r="C152" s="13">
        <f>+[5]Result!$K$35</f>
        <v>-167498.73035777104</v>
      </c>
      <c r="D152" s="32">
        <f>+[6]Result!$K$35</f>
        <v>-163633.96585479501</v>
      </c>
      <c r="E152" s="13">
        <f>+[7]Result!$K$35</f>
        <v>-167674.05334450991</v>
      </c>
      <c r="F152" s="13">
        <f>+[8]Result!$K$35</f>
        <v>-162974.33367965225</v>
      </c>
      <c r="G152" s="32">
        <f>+[9]Result!$K$35</f>
        <v>-168445.08728168288</v>
      </c>
      <c r="H152" s="13">
        <f>+[10]Result!$K$35</f>
        <v>-166071.87774927841</v>
      </c>
      <c r="I152" s="13">
        <f>+[11]Result!$K$35</f>
        <v>-163440.18805191072</v>
      </c>
      <c r="J152" s="32">
        <f>+[12]Result!$K$35</f>
        <v>-166647.8016960508</v>
      </c>
      <c r="K152" s="13">
        <f>+[13]Result!$K$35</f>
        <v>-166647.8016960508</v>
      </c>
      <c r="L152" s="13">
        <f>+[14]Result!$K$35</f>
        <v>-161242.61039061076</v>
      </c>
      <c r="M152" s="13">
        <f>+[15]Result!$K$35</f>
        <v>-95111.467213271259</v>
      </c>
      <c r="N152" s="32">
        <f>+[16]Result!$K$35</f>
        <v>-96581.993712481519</v>
      </c>
      <c r="O152" s="13">
        <f>+[17]Result!$K$35</f>
        <v>-100249.74553125132</v>
      </c>
      <c r="P152" s="13">
        <f>+[18]Result!$K$35</f>
        <v>-112584.87776622246</v>
      </c>
      <c r="Q152" s="32">
        <f>+[19]Result!$K$35</f>
        <v>-111932.41196295082</v>
      </c>
      <c r="R152" s="32">
        <f>+[20]Result!$K$35</f>
        <v>-112015.92373773688</v>
      </c>
      <c r="S152" s="70">
        <f>+[22]Result!$K$35</f>
        <v>-113562.59119279623</v>
      </c>
    </row>
    <row r="153" spans="1:37" hidden="1" outlineLevel="2" x14ac:dyDescent="0.25">
      <c r="A153" s="16" t="s">
        <v>38</v>
      </c>
      <c r="B153" s="13">
        <f>+[1]Result!$K$36</f>
        <v>-97393.937164757546</v>
      </c>
      <c r="C153" s="13">
        <f>+[5]Result!$K$36</f>
        <v>-99835.217890677261</v>
      </c>
      <c r="D153" s="32">
        <f>+[6]Result!$K$36</f>
        <v>-96109.939378647541</v>
      </c>
      <c r="E153" s="13">
        <f>+[7]Result!$K$36</f>
        <v>-98470.049108259598</v>
      </c>
      <c r="F153" s="13">
        <f>+[8]Result!$K$36</f>
        <v>-95680.320142417884</v>
      </c>
      <c r="G153" s="32">
        <f>+[9]Result!$K$36</f>
        <v>-97287.914305177081</v>
      </c>
      <c r="H153" s="13">
        <f>+[10]Result!$K$36</f>
        <v>-95902.322678244615</v>
      </c>
      <c r="I153" s="13">
        <f>+[11]Result!$K$36</f>
        <v>-94347.783151887692</v>
      </c>
      <c r="J153" s="32">
        <f>+[12]Result!$K$36</f>
        <v>-98840.887742355597</v>
      </c>
      <c r="K153" s="13">
        <f>+[13]Result!$K$36</f>
        <v>-98825.594325646962</v>
      </c>
      <c r="L153" s="13">
        <f>+[14]Result!$K$36</f>
        <v>-95576.127862254012</v>
      </c>
      <c r="M153" s="13">
        <f>+[15]Result!$K$36</f>
        <v>-46424.972374170618</v>
      </c>
      <c r="N153" s="32">
        <f>+[16]Result!$K$36</f>
        <v>-47151.924610103248</v>
      </c>
      <c r="O153" s="13">
        <f>+[17]Result!$K$36</f>
        <v>-48972.090931451385</v>
      </c>
      <c r="P153" s="13">
        <f>+[18]Result!$K$36</f>
        <v>-59950.254779186602</v>
      </c>
      <c r="Q153" s="32">
        <f>+[19]Result!$K$36</f>
        <v>-59600.617483992544</v>
      </c>
      <c r="R153" s="32">
        <f>+[20]Result!$K$36</f>
        <v>-59646.468970884431</v>
      </c>
      <c r="S153" s="70">
        <f>+[22]Result!$K$36</f>
        <v>-60478.649017149299</v>
      </c>
    </row>
    <row r="154" spans="1:37" hidden="1" outlineLevel="2" x14ac:dyDescent="0.25">
      <c r="A154" s="16" t="s">
        <v>39</v>
      </c>
      <c r="B154" s="13">
        <f>+[1]Result!$K$37</f>
        <v>-67753.776444225572</v>
      </c>
      <c r="C154" s="13">
        <f>+[5]Result!$K$37</f>
        <v>-69484.156572641077</v>
      </c>
      <c r="D154" s="32">
        <f>+[6]Result!$K$37</f>
        <v>-67191.244531712</v>
      </c>
      <c r="E154" s="13">
        <f>+[7]Result!$K$37</f>
        <v>-68828.202746136711</v>
      </c>
      <c r="F154" s="13">
        <f>+[8]Result!$K$37</f>
        <v>-66860.109784034546</v>
      </c>
      <c r="G154" s="32">
        <f>+[9]Result!$K$37</f>
        <v>-67955.050690870048</v>
      </c>
      <c r="H154" s="13">
        <f>+[10]Result!$K$37</f>
        <v>-66988.817731676274</v>
      </c>
      <c r="I154" s="13">
        <f>+[11]Result!$K$37</f>
        <v>-65879.374579456198</v>
      </c>
      <c r="J154" s="32">
        <f>+[12]Result!$K$37</f>
        <v>-71337.252207704267</v>
      </c>
      <c r="K154" s="13">
        <f>+[13]Result!$K$37</f>
        <v>-71314.564522829009</v>
      </c>
      <c r="L154" s="13">
        <f>+[14]Result!$K$37</f>
        <v>-68940.440044239818</v>
      </c>
      <c r="M154" s="13">
        <f>+[15]Result!$K$37</f>
        <v>-27818.541194366539</v>
      </c>
      <c r="N154" s="32">
        <f>+[16]Result!$K$37</f>
        <v>-28263.581682877011</v>
      </c>
      <c r="O154" s="13">
        <f>+[17]Result!$K$37</f>
        <v>-29371.187510941803</v>
      </c>
      <c r="P154" s="13">
        <f>+[18]Result!$K$37</f>
        <v>-39677.309640556639</v>
      </c>
      <c r="Q154" s="32">
        <f>+[19]Result!$K$37</f>
        <v>-39444.876805567765</v>
      </c>
      <c r="R154" s="32">
        <f>+[20]Result!$K$37</f>
        <v>-39469.938974174176</v>
      </c>
      <c r="S154" s="70">
        <f>+[22]Result!$K$37</f>
        <v>-40031.81845249005</v>
      </c>
    </row>
    <row r="155" spans="1:37" hidden="1" outlineLevel="2" x14ac:dyDescent="0.25">
      <c r="A155" s="16" t="s">
        <v>40</v>
      </c>
      <c r="B155" s="13">
        <f>+[1]Result!$K$38</f>
        <v>-55364.616442192644</v>
      </c>
      <c r="C155" s="13">
        <f>+[5]Result!$K$38</f>
        <v>-56794.435584132523</v>
      </c>
      <c r="D155" s="32">
        <f>+[6]Result!$K$38</f>
        <v>-55311.398994276664</v>
      </c>
      <c r="E155" s="13">
        <f>+[7]Result!$K$38</f>
        <v>-56663.568226145937</v>
      </c>
      <c r="F155" s="13">
        <f>+[8]Result!$K$38</f>
        <v>-55021.473821771004</v>
      </c>
      <c r="G155" s="32">
        <f>+[9]Result!$K$38</f>
        <v>-56124.025155942829</v>
      </c>
      <c r="H155" s="13">
        <f>+[10]Result!$K$38</f>
        <v>-55337.999758270736</v>
      </c>
      <c r="I155" s="13">
        <f>+[11]Result!$K$38</f>
        <v>-54402.520491052688</v>
      </c>
      <c r="J155" s="32">
        <f>+[12]Result!$K$38</f>
        <v>-57042.653090216554</v>
      </c>
      <c r="K155" s="13">
        <f>+[13]Result!$K$38</f>
        <v>-57023.955034918268</v>
      </c>
      <c r="L155" s="13">
        <f>+[14]Result!$K$38</f>
        <v>-55095.416080783514</v>
      </c>
      <c r="M155" s="13">
        <f>+[15]Result!$K$38</f>
        <v>-19468.43508812576</v>
      </c>
      <c r="N155" s="32">
        <f>+[16]Result!$K$38</f>
        <v>-19786.291165033941</v>
      </c>
      <c r="O155" s="13">
        <f>+[17]Result!$K$38</f>
        <v>-20575.869910862362</v>
      </c>
      <c r="P155" s="13">
        <f>+[18]Result!$K$38</f>
        <v>-28840.396491614098</v>
      </c>
      <c r="Q155" s="32">
        <f>+[19]Result!$K$38</f>
        <v>-28670.95043317242</v>
      </c>
      <c r="R155" s="32">
        <f>+[20]Result!$K$38</f>
        <v>-28685.019802143877</v>
      </c>
      <c r="S155" s="70">
        <f>+[22]Result!$K$38</f>
        <v>-29101.253742498371</v>
      </c>
    </row>
    <row r="156" spans="1:37" hidden="1" outlineLevel="2" x14ac:dyDescent="0.25">
      <c r="A156" s="16" t="s">
        <v>41</v>
      </c>
      <c r="B156" s="13">
        <f>+[1]Result!$K$39</f>
        <v>-44430.860452541041</v>
      </c>
      <c r="C156" s="13">
        <f>+[5]Result!$K$39</f>
        <v>-45605.126453188423</v>
      </c>
      <c r="D156" s="32">
        <f>+[6]Result!$K$39</f>
        <v>-43260.531279917384</v>
      </c>
      <c r="E156" s="13">
        <f>+[7]Result!$K$39</f>
        <v>-44319.886267130387</v>
      </c>
      <c r="F156" s="13">
        <f>+[8]Result!$K$39</f>
        <v>-43027.049018947626</v>
      </c>
      <c r="G156" s="32">
        <f>+[9]Result!$K$39</f>
        <v>-43358.424070816014</v>
      </c>
      <c r="H156" s="13">
        <f>+[10]Result!$K$39</f>
        <v>-42747.642506727498</v>
      </c>
      <c r="I156" s="13">
        <f>+[11]Result!$K$39</f>
        <v>-42017.896151358691</v>
      </c>
      <c r="J156" s="32">
        <f>+[12]Result!$K$39</f>
        <v>-43168.783524728351</v>
      </c>
      <c r="K156" s="13">
        <f>+[13]Result!$K$39</f>
        <v>-43154.212094160619</v>
      </c>
      <c r="L156" s="13">
        <f>+[14]Result!$K$39</f>
        <v>-41680.167019364977</v>
      </c>
      <c r="M156" s="13">
        <f>+[15]Result!$K$39</f>
        <v>-12430.834379201331</v>
      </c>
      <c r="N156" s="32">
        <f>+[16]Result!$K$39</f>
        <v>-12637.762972166707</v>
      </c>
      <c r="O156" s="13">
        <f>+[17]Result!$K$39</f>
        <v>-13148.524485729484</v>
      </c>
      <c r="P156" s="13">
        <f>+[18]Result!$K$39</f>
        <v>-19575.049170295366</v>
      </c>
      <c r="Q156" s="32">
        <f>+[19]Result!$K$39</f>
        <v>-19459.90954511247</v>
      </c>
      <c r="R156" s="32">
        <f>+[20]Result!$K$39</f>
        <v>-19463.183054214078</v>
      </c>
      <c r="S156" s="70">
        <f>+[22]Result!$K$39</f>
        <v>-19750.743234277546</v>
      </c>
    </row>
    <row r="157" spans="1:37" hidden="1" outlineLevel="2" x14ac:dyDescent="0.25">
      <c r="A157" s="16" t="s">
        <v>42</v>
      </c>
      <c r="B157" s="13">
        <f>+[1]Result!$K$40</f>
        <v>-30123.508451261267</v>
      </c>
      <c r="C157" s="13">
        <f>+[5]Result!$K$40</f>
        <v>-30932.101922478159</v>
      </c>
      <c r="D157" s="32">
        <f>+[6]Result!$K$40</f>
        <v>-29567.572116214218</v>
      </c>
      <c r="E157" s="13">
        <f>+[7]Result!$K$40</f>
        <v>-30286.42116325154</v>
      </c>
      <c r="F157" s="13">
        <f>+[8]Result!$K$40</f>
        <v>-29398.271155175662</v>
      </c>
      <c r="G157" s="32">
        <f>+[9]Result!$K$40</f>
        <v>-30003.484502221105</v>
      </c>
      <c r="H157" s="13">
        <f>+[10]Result!$K$40</f>
        <v>-29568.707236171431</v>
      </c>
      <c r="I157" s="13">
        <f>+[11]Result!$K$40</f>
        <v>-29059.551297470978</v>
      </c>
      <c r="J157" s="32">
        <f>+[12]Result!$K$40</f>
        <v>-30747.928528292265</v>
      </c>
      <c r="K157" s="13">
        <f>+[13]Result!$K$40</f>
        <v>-30731.902317011019</v>
      </c>
      <c r="L157" s="13">
        <f>+[14]Result!$K$40</f>
        <v>-29672.958213534032</v>
      </c>
      <c r="M157" s="13">
        <f>+[15]Result!$K$40</f>
        <v>-5451.2145117198916</v>
      </c>
      <c r="N157" s="32">
        <f>+[16]Result!$K$40</f>
        <v>-5543.6426771912775</v>
      </c>
      <c r="O157" s="13">
        <f>+[17]Result!$K$40</f>
        <v>-5771.3050632379191</v>
      </c>
      <c r="P157" s="13">
        <f>+[18]Result!$K$40</f>
        <v>-11539.386533742869</v>
      </c>
      <c r="Q157" s="32">
        <f>+[19]Result!$K$40</f>
        <v>-11471.539433449607</v>
      </c>
      <c r="R157" s="32">
        <f>+[20]Result!$K$40</f>
        <v>-11473.532574841689</v>
      </c>
      <c r="S157" s="70">
        <f>+[22]Result!$K$40</f>
        <v>-11641.928242851483</v>
      </c>
    </row>
    <row r="158" spans="1:37" hidden="1" outlineLevel="2" x14ac:dyDescent="0.25">
      <c r="A158" s="16" t="s">
        <v>43</v>
      </c>
      <c r="B158" s="13">
        <f>+[1]Result!$K$41</f>
        <v>-21651.375108193057</v>
      </c>
      <c r="C158" s="13">
        <f>+[5]Result!$K$41</f>
        <v>-22237.11286100759</v>
      </c>
      <c r="D158" s="32">
        <f>+[6]Result!$K$41</f>
        <v>-21600.768606838188</v>
      </c>
      <c r="E158" s="13">
        <f>+[7]Result!$K$41</f>
        <v>-22125.000366326207</v>
      </c>
      <c r="F158" s="13">
        <f>+[8]Result!$K$41</f>
        <v>-21469.792755970007</v>
      </c>
      <c r="G158" s="32">
        <f>+[9]Result!$K$41</f>
        <v>-22138.382563290768</v>
      </c>
      <c r="H158" s="13">
        <f>+[10]Result!$K$41</f>
        <v>-21816.442380537861</v>
      </c>
      <c r="I158" s="13">
        <f>+[11]Result!$K$41</f>
        <v>-21434.151270262311</v>
      </c>
      <c r="J158" s="32">
        <f>+[12]Result!$K$41</f>
        <v>-23410.409546587387</v>
      </c>
      <c r="K158" s="13">
        <f>+[13]Result!$K$41</f>
        <v>-23397.877999912067</v>
      </c>
      <c r="L158" s="13">
        <f>+[14]Result!$K$41</f>
        <v>-22581.478776234504</v>
      </c>
      <c r="M158" s="13">
        <f>+[15]Result!$K$41</f>
        <v>-1652.5575693102562</v>
      </c>
      <c r="N158" s="32">
        <f>+[16]Result!$K$41</f>
        <v>-1681.073005061651</v>
      </c>
      <c r="O158" s="13">
        <f>+[17]Result!$K$41</f>
        <v>-1751.1526955945819</v>
      </c>
      <c r="P158" s="13">
        <f>+[18]Result!$K$41</f>
        <v>-7013.952848216185</v>
      </c>
      <c r="Q158" s="32">
        <f>+[19]Result!$K$41</f>
        <v>-6972.8021615759726</v>
      </c>
      <c r="R158" s="32">
        <f>+[20]Result!$K$41</f>
        <v>-6974.044120796575</v>
      </c>
      <c r="S158" s="70">
        <f>+[22]Result!$K$41</f>
        <v>-7078.0447937603331</v>
      </c>
    </row>
    <row r="159" spans="1:37" hidden="1" outlineLevel="2" x14ac:dyDescent="0.25">
      <c r="A159" s="16" t="s">
        <v>44</v>
      </c>
      <c r="B159" s="13">
        <f>+[1]Result!$K$42</f>
        <v>-16525.527948962204</v>
      </c>
      <c r="C159" s="13">
        <f>+[5]Result!$K$42</f>
        <v>-16978.695032559182</v>
      </c>
      <c r="D159" s="32">
        <f>+[6]Result!$K$42</f>
        <v>-16936.066707798676</v>
      </c>
      <c r="E159" s="13">
        <f>+[7]Result!$K$42</f>
        <v>-17345.682478117425</v>
      </c>
      <c r="F159" s="13">
        <f>+[8]Result!$K$42</f>
        <v>-16830.581794718015</v>
      </c>
      <c r="G159" s="32">
        <f>+[9]Result!$K$42</f>
        <v>-17634.583378007374</v>
      </c>
      <c r="H159" s="13">
        <f>+[10]Result!$K$42</f>
        <v>-17377.557080019127</v>
      </c>
      <c r="I159" s="13">
        <f>+[11]Result!$K$42</f>
        <v>-17071.06726645241</v>
      </c>
      <c r="J159" s="32">
        <f>+[12]Result!$K$42</f>
        <v>-19176.088380194054</v>
      </c>
      <c r="K159" s="13">
        <f>+[13]Result!$K$42</f>
        <v>-19165.535532362406</v>
      </c>
      <c r="L159" s="13">
        <f>+[14]Result!$K$42</f>
        <v>-18489.039248657064</v>
      </c>
      <c r="M159" s="13">
        <f>+[15]Result!$K$42</f>
        <v>-402.35303826843295</v>
      </c>
      <c r="N159" s="32">
        <f>+[16]Result!$K$42</f>
        <v>-409.48728809614551</v>
      </c>
      <c r="O159" s="13">
        <f>+[17]Result!$K$42</f>
        <v>-426.72161871599724</v>
      </c>
      <c r="P159" s="13">
        <f>+[18]Result!$K$42</f>
        <v>-5652.63513572594</v>
      </c>
      <c r="Q159" s="32">
        <f>+[19]Result!$K$42</f>
        <v>-5618.5650993513391</v>
      </c>
      <c r="R159" s="32">
        <f>+[20]Result!$K$42</f>
        <v>-5618.5650993513391</v>
      </c>
      <c r="S159" s="70">
        <f>+[22]Result!$K$42</f>
        <v>-5704.658241481141</v>
      </c>
    </row>
    <row r="160" spans="1:37" hidden="1" outlineLevel="2" x14ac:dyDescent="0.25">
      <c r="A160" s="16" t="s">
        <v>45</v>
      </c>
      <c r="B160" s="13">
        <f>+[1]Result!$K$43</f>
        <v>-14746.427453755485</v>
      </c>
      <c r="C160" s="13">
        <f>+[5]Result!$K$43</f>
        <v>-15153.090102750364</v>
      </c>
      <c r="D160" s="32">
        <f>+[6]Result!$K$43</f>
        <v>-15208.987509046176</v>
      </c>
      <c r="E160" s="13">
        <f>+[7]Result!$K$43</f>
        <v>-15577.900325591254</v>
      </c>
      <c r="F160" s="13">
        <f>+[8]Result!$K$43</f>
        <v>-15111.752478052091</v>
      </c>
      <c r="G160" s="32">
        <f>+[9]Result!$K$43</f>
        <v>-15570.650053561394</v>
      </c>
      <c r="H160" s="13">
        <f>+[10]Result!$K$43</f>
        <v>-15340.611411138019</v>
      </c>
      <c r="I160" s="13">
        <f>+[11]Result!$K$43</f>
        <v>-15065.755560766815</v>
      </c>
      <c r="J160" s="32">
        <f>+[12]Result!$K$43</f>
        <v>-15633.561186681067</v>
      </c>
      <c r="K160" s="13">
        <f>+[13]Result!$K$43</f>
        <v>-15624.732973132786</v>
      </c>
      <c r="L160" s="13">
        <f>+[14]Result!$K$43</f>
        <v>-15070.158962666766</v>
      </c>
      <c r="M160" s="13">
        <f>+[15]Result!$K$43</f>
        <v>72.794667438277401</v>
      </c>
      <c r="N160" s="32">
        <f>+[16]Result!$K$43</f>
        <v>74.106144918140942</v>
      </c>
      <c r="O160" s="13">
        <f>+[17]Result!$K$43</f>
        <v>77.266221217485821</v>
      </c>
      <c r="P160" s="13">
        <f>+[18]Result!$K$43</f>
        <v>-3645.943573147445</v>
      </c>
      <c r="Q160" s="32">
        <f>+[19]Result!$K$43</f>
        <v>-3624.0679582184262</v>
      </c>
      <c r="R160" s="32">
        <f>+[20]Result!$K$43</f>
        <v>-3624.0679582184262</v>
      </c>
      <c r="S160" s="70">
        <f>+[22]Result!$K$43</f>
        <v>-3679.0122428859099</v>
      </c>
    </row>
    <row r="161" spans="1:37" hidden="1" outlineLevel="2" x14ac:dyDescent="0.25">
      <c r="A161" s="16" t="s">
        <v>46</v>
      </c>
      <c r="B161" s="13">
        <f>+[1]Result!$K$44</f>
        <v>-11795.609776244748</v>
      </c>
      <c r="C161" s="13">
        <f>+[5]Result!$K$44</f>
        <v>-12122.370133162016</v>
      </c>
      <c r="D161" s="32">
        <f>+[6]Result!$K$44</f>
        <v>-11083.884461962331</v>
      </c>
      <c r="E161" s="13">
        <f>+[7]Result!$K$44</f>
        <v>-11355.377161059558</v>
      </c>
      <c r="F161" s="13">
        <f>+[8]Result!$K$44</f>
        <v>-11011.196099200195</v>
      </c>
      <c r="G161" s="32">
        <f>+[9]Result!$K$44</f>
        <v>-11570.210876181978</v>
      </c>
      <c r="H161" s="13">
        <f>+[10]Result!$K$44</f>
        <v>-11399.287741051137</v>
      </c>
      <c r="I161" s="13">
        <f>+[11]Result!$K$44</f>
        <v>-11191.970245867022</v>
      </c>
      <c r="J161" s="32">
        <f>+[12]Result!$K$44</f>
        <v>-10503.329717698356</v>
      </c>
      <c r="K161" s="13">
        <f>+[13]Result!$K$44</f>
        <v>-10499.272253419995</v>
      </c>
      <c r="L161" s="13">
        <f>+[14]Result!$K$44</f>
        <v>-10123.0033806396</v>
      </c>
      <c r="M161" s="13">
        <f>+[15]Result!$K$44</f>
        <v>397.05151163764737</v>
      </c>
      <c r="N161" s="32">
        <f>+[16]Result!$K$44</f>
        <v>404.23607983813588</v>
      </c>
      <c r="O161" s="13">
        <f>+[17]Result!$K$44</f>
        <v>421.68586955590206</v>
      </c>
      <c r="P161" s="13">
        <f>+[18]Result!$K$44</f>
        <v>-2617.9326182616392</v>
      </c>
      <c r="Q161" s="32">
        <f>+[19]Result!$K$44</f>
        <v>-2602.822915148608</v>
      </c>
      <c r="R161" s="32">
        <f>+[20]Result!$K$44</f>
        <v>-2602.822915148608</v>
      </c>
      <c r="S161" s="70">
        <f>+[22]Result!$K$44</f>
        <v>-2642.2954922620852</v>
      </c>
    </row>
    <row r="162" spans="1:37" hidden="1" outlineLevel="2" x14ac:dyDescent="0.25">
      <c r="A162" s="16" t="s">
        <v>47</v>
      </c>
      <c r="B162" s="13">
        <f>+[1]Result!$K$45</f>
        <v>-4734.8923212031232</v>
      </c>
      <c r="C162" s="13">
        <f>+[5]Result!$K$45</f>
        <v>-4867.471886858656</v>
      </c>
      <c r="D162" s="32">
        <f>+[6]Result!$K$45</f>
        <v>-4537.0391788752149</v>
      </c>
      <c r="E162" s="13">
        <f>+[7]Result!$K$45</f>
        <v>-4648.2380507719909</v>
      </c>
      <c r="F162" s="13">
        <f>+[8]Result!$K$45</f>
        <v>-4506.5377222674097</v>
      </c>
      <c r="G162" s="32">
        <f>+[9]Result!$K$45</f>
        <v>-4758.8056491300931</v>
      </c>
      <c r="H162" s="13">
        <f>+[10]Result!$K$45</f>
        <v>-4688.6026189219101</v>
      </c>
      <c r="I162" s="13">
        <f>+[11]Result!$K$45</f>
        <v>-4603.0224066045239</v>
      </c>
      <c r="J162" s="32">
        <f>+[12]Result!$K$45</f>
        <v>-4307.7866596723734</v>
      </c>
      <c r="K162" s="13">
        <f>+[13]Result!$K$45</f>
        <v>-4305.2278960788481</v>
      </c>
      <c r="L162" s="13">
        <f>+[14]Result!$K$45</f>
        <v>-4149.5790042960498</v>
      </c>
      <c r="M162" s="13">
        <f>+[15]Result!$K$45</f>
        <v>-20543.094290554796</v>
      </c>
      <c r="N162" s="32">
        <f>+[16]Result!$K$45</f>
        <v>-20916.025351650071</v>
      </c>
      <c r="O162" s="13">
        <f>+[17]Result!$K$45</f>
        <v>-21829.254738893957</v>
      </c>
      <c r="P162" s="13">
        <f>+[18]Result!$K$45</f>
        <v>-30624.318430238698</v>
      </c>
      <c r="Q162" s="32">
        <f>+[19]Result!$K$45</f>
        <v>-30443.113816355952</v>
      </c>
      <c r="R162" s="32">
        <f>+[20]Result!$K$45</f>
        <v>-30437.095161528312</v>
      </c>
      <c r="S162" s="70">
        <f>+[22]Result!$K$45</f>
        <v>-30910.432438387539</v>
      </c>
    </row>
    <row r="163" spans="1:37" hidden="1" outlineLevel="2" x14ac:dyDescent="0.25">
      <c r="A163" s="16" t="s">
        <v>48</v>
      </c>
      <c r="B163" s="13">
        <f>+[1]Result!$K$46</f>
        <v>-1943.1790861788966</v>
      </c>
      <c r="C163" s="13">
        <f>+[5]Result!$K$46</f>
        <v>-1998.1306794905502</v>
      </c>
      <c r="D163" s="32">
        <f>+[6]Result!$K$46</f>
        <v>-1889.3306288251406</v>
      </c>
      <c r="E163" s="13">
        <f>+[7]Result!$K$46</f>
        <v>-1935.6076276175963</v>
      </c>
      <c r="F163" s="13">
        <f>+[8]Result!$K$46</f>
        <v>-1876.3179307294258</v>
      </c>
      <c r="G163" s="32">
        <f>+[9]Result!$K$46</f>
        <v>-1982.6022642810985</v>
      </c>
      <c r="H163" s="13">
        <f>+[10]Result!$K$46</f>
        <v>-1953.4332341160987</v>
      </c>
      <c r="I163" s="13">
        <f>+[11]Result!$K$46</f>
        <v>-1917.6862956131106</v>
      </c>
      <c r="J163" s="32">
        <f>+[12]Result!$K$46</f>
        <v>-1819.0464271714236</v>
      </c>
      <c r="K163" s="13">
        <f>+[13]Result!$K$46</f>
        <v>-1817.9390150048318</v>
      </c>
      <c r="L163" s="13">
        <f>+[14]Result!$K$46</f>
        <v>-1752.0469021922356</v>
      </c>
      <c r="M163" s="13">
        <f>+[15]Result!$K$46</f>
        <v>-7725.7616879797442</v>
      </c>
      <c r="N163" s="32">
        <f>+[16]Result!$K$46</f>
        <v>-7867.9051930334672</v>
      </c>
      <c r="O163" s="13">
        <f>+[17]Result!$K$46</f>
        <v>-8213.4173992381329</v>
      </c>
      <c r="P163" s="13">
        <f>+[18]Result!$K$46</f>
        <v>-14299.477445910157</v>
      </c>
      <c r="Q163" s="32">
        <f>+[19]Result!$K$46</f>
        <v>-14215.667693242198</v>
      </c>
      <c r="R163" s="32">
        <f>+[20]Result!$K$46</f>
        <v>-14212.785139494817</v>
      </c>
      <c r="S163" s="70">
        <f>+[22]Result!$K$46</f>
        <v>-14433.452940733681</v>
      </c>
    </row>
    <row r="164" spans="1:37" hidden="1" outlineLevel="2" x14ac:dyDescent="0.25">
      <c r="A164" s="16" t="s">
        <v>49</v>
      </c>
      <c r="B164" s="13">
        <f>+[1]Result!$K$47</f>
        <v>-980.43635597584523</v>
      </c>
      <c r="C164" s="13">
        <f>+[5]Result!$K$47</f>
        <v>-1008.2058165910148</v>
      </c>
      <c r="D164" s="32">
        <f>+[6]Result!$K$47</f>
        <v>-971.02706755381894</v>
      </c>
      <c r="E164" s="13">
        <f>+[7]Result!$K$47</f>
        <v>-994.76737919614447</v>
      </c>
      <c r="F164" s="13">
        <f>+[8]Result!$K$47</f>
        <v>-964.17928772613243</v>
      </c>
      <c r="G164" s="32">
        <f>+[9]Result!$K$47</f>
        <v>-1008.7990553054171</v>
      </c>
      <c r="H164" s="13">
        <f>+[10]Result!$K$47</f>
        <v>-993.81015265542976</v>
      </c>
      <c r="I164" s="13">
        <f>+[11]Result!$K$47</f>
        <v>-975.59654174719321</v>
      </c>
      <c r="J164" s="32">
        <f>+[12]Result!$K$47</f>
        <v>-935.8957718685482</v>
      </c>
      <c r="K164" s="13">
        <f>+[13]Result!$K$47</f>
        <v>-935.31264987964732</v>
      </c>
      <c r="L164" s="13">
        <f>+[14]Result!$K$47</f>
        <v>-901.17403201742911</v>
      </c>
      <c r="M164" s="13">
        <f>+[15]Result!$K$47</f>
        <v>-3070.4855687013242</v>
      </c>
      <c r="N164" s="32">
        <f>+[16]Result!$K$47</f>
        <v>-3128.3496759460586</v>
      </c>
      <c r="O164" s="13">
        <f>+[17]Result!$K$47</f>
        <v>-3266.3911407898959</v>
      </c>
      <c r="P164" s="13">
        <f>+[18]Result!$K$47</f>
        <v>-5438.7079925432308</v>
      </c>
      <c r="Q164" s="32">
        <f>+[19]Result!$K$47</f>
        <v>-5407.1903314380343</v>
      </c>
      <c r="R164" s="32">
        <f>+[20]Result!$K$47</f>
        <v>-5406.0694051868377</v>
      </c>
      <c r="S164" s="70">
        <f>+[22]Result!$K$47</f>
        <v>-5489.7569624654707</v>
      </c>
    </row>
    <row r="165" spans="1:37" hidden="1" outlineLevel="2" x14ac:dyDescent="0.25">
      <c r="A165" s="16" t="s">
        <v>50</v>
      </c>
      <c r="B165" s="13">
        <f>+[1]Result!$K$48</f>
        <v>-583.10588489486179</v>
      </c>
      <c r="C165" s="13">
        <f>+[5]Result!$K$48</f>
        <v>-599.62954873080309</v>
      </c>
      <c r="D165" s="32">
        <f>+[6]Result!$K$48</f>
        <v>-570.80526287158148</v>
      </c>
      <c r="E165" s="13">
        <f>+[7]Result!$K$48</f>
        <v>-584.71750167116681</v>
      </c>
      <c r="F165" s="13">
        <f>+[8]Result!$K$48</f>
        <v>-566.80653003519092</v>
      </c>
      <c r="G165" s="32">
        <f>+[9]Result!$K$48</f>
        <v>-587.73102108174169</v>
      </c>
      <c r="H165" s="13">
        <f>+[10]Result!$K$48</f>
        <v>-578.91826077090639</v>
      </c>
      <c r="I165" s="13">
        <f>+[11]Result!$K$48</f>
        <v>-568.18290654142663</v>
      </c>
      <c r="J165" s="32">
        <f>+[12]Result!$K$48</f>
        <v>-544.8697319847638</v>
      </c>
      <c r="K165" s="13">
        <f>+[13]Result!$K$48</f>
        <v>-544.52203403901842</v>
      </c>
      <c r="L165" s="13">
        <f>+[14]Result!$K$48</f>
        <v>-524.41252574915802</v>
      </c>
      <c r="M165" s="13">
        <f>+[15]Result!$K$48</f>
        <v>-1489.6096439480896</v>
      </c>
      <c r="N165" s="32">
        <f>+[16]Result!$K$48</f>
        <v>-1517.7036716565947</v>
      </c>
      <c r="O165" s="13">
        <f>+[17]Result!$K$48</f>
        <v>-1585.6060866682662</v>
      </c>
      <c r="P165" s="13">
        <f>+[18]Result!$K$48</f>
        <v>-2264.7864664046924</v>
      </c>
      <c r="Q165" s="32">
        <f>+[19]Result!$K$48</f>
        <v>-2250.8770863479567</v>
      </c>
      <c r="R165" s="32">
        <f>+[20]Result!$K$48</f>
        <v>-2250.3983087338061</v>
      </c>
      <c r="S165" s="70">
        <f>+[22]Result!$K$48</f>
        <v>-2285.5744167766661</v>
      </c>
    </row>
    <row r="166" spans="1:37" hidden="1" outlineLevel="2" x14ac:dyDescent="0.25">
      <c r="A166" s="16" t="s">
        <v>51</v>
      </c>
      <c r="B166" s="13">
        <f>+[1]Result!$K$49</f>
        <v>-324.75944909262262</v>
      </c>
      <c r="C166" s="13">
        <f>+[5]Result!$K$49</f>
        <v>-334.02985352503492</v>
      </c>
      <c r="D166" s="32">
        <f>+[6]Result!$K$49</f>
        <v>-321.54742481031695</v>
      </c>
      <c r="E166" s="13">
        <f>+[7]Result!$K$49</f>
        <v>-329.4223767821764</v>
      </c>
      <c r="F166" s="13">
        <f>+[8]Result!$K$49</f>
        <v>-319.38261459865174</v>
      </c>
      <c r="G166" s="32">
        <f>+[9]Result!$K$49</f>
        <v>-333.49864386998144</v>
      </c>
      <c r="H166" s="13">
        <f>+[10]Result!$K$49</f>
        <v>-328.52728054990649</v>
      </c>
      <c r="I166" s="13">
        <f>+[11]Result!$K$49</f>
        <v>-322.43691927907889</v>
      </c>
      <c r="J166" s="32">
        <f>+[12]Result!$K$49</f>
        <v>-309.95354068397859</v>
      </c>
      <c r="K166" s="13">
        <f>+[13]Result!$K$49</f>
        <v>-309.81870127571017</v>
      </c>
      <c r="L166" s="13">
        <f>+[14]Result!$K$49</f>
        <v>-298.37883663967756</v>
      </c>
      <c r="M166" s="13">
        <f>+[15]Result!$K$49</f>
        <v>-786.96790285351869</v>
      </c>
      <c r="N166" s="32">
        <f>+[16]Result!$K$49</f>
        <v>-801.80497155195633</v>
      </c>
      <c r="O166" s="13">
        <f>+[17]Result!$K$49</f>
        <v>-838.1553134453851</v>
      </c>
      <c r="P166" s="13">
        <f>+[18]Result!$K$49</f>
        <v>-1102.6569104964819</v>
      </c>
      <c r="Q166" s="32">
        <f>+[19]Result!$K$49</f>
        <v>-1095.7292741877666</v>
      </c>
      <c r="R166" s="32">
        <f>+[20]Result!$K$49</f>
        <v>-1095.4916138295864</v>
      </c>
      <c r="S166" s="70">
        <f>+[22]Result!$K$49</f>
        <v>-1113.0104620956179</v>
      </c>
    </row>
    <row r="167" spans="1:37" hidden="1" outlineLevel="2" x14ac:dyDescent="0.25">
      <c r="A167" s="16" t="s">
        <v>52</v>
      </c>
      <c r="B167" s="13">
        <f>+[1]Result!$K$50</f>
        <v>-177.71599327278076</v>
      </c>
      <c r="C167" s="13">
        <f>+[5]Result!$K$50</f>
        <v>-182.82240367615668</v>
      </c>
      <c r="D167" s="32">
        <f>+[6]Result!$K$50</f>
        <v>-175.42786449407686</v>
      </c>
      <c r="E167" s="13">
        <f>+[7]Result!$K$50</f>
        <v>-179.74139524840189</v>
      </c>
      <c r="F167" s="13">
        <f>+[8]Result!$K$50</f>
        <v>-174.2206009281357</v>
      </c>
      <c r="G167" s="32">
        <f>+[9]Result!$K$50</f>
        <v>-182.14503210237442</v>
      </c>
      <c r="H167" s="13">
        <f>+[10]Result!$K$50</f>
        <v>-179.44936219080464</v>
      </c>
      <c r="I167" s="13">
        <f>+[11]Result!$K$50</f>
        <v>-176.12732027195148</v>
      </c>
      <c r="J167" s="32">
        <f>+[12]Result!$K$50</f>
        <v>-167.55668807225578</v>
      </c>
      <c r="K167" s="13">
        <f>+[13]Result!$K$50</f>
        <v>-167.44498433926998</v>
      </c>
      <c r="L167" s="13">
        <f>+[14]Result!$K$50</f>
        <v>-161.26977850739416</v>
      </c>
      <c r="M167" s="13">
        <f>+[15]Result!$K$50</f>
        <v>-401.09838857324849</v>
      </c>
      <c r="N167" s="32">
        <f>+[16]Result!$K$50</f>
        <v>-408.7411268965862</v>
      </c>
      <c r="O167" s="13">
        <f>+[17]Result!$K$50</f>
        <v>-427.31658077606306</v>
      </c>
      <c r="P167" s="13">
        <f>+[18]Result!$K$50</f>
        <v>-560.94324684493711</v>
      </c>
      <c r="Q167" s="32">
        <f>+[19]Result!$K$50</f>
        <v>-557.46431017921452</v>
      </c>
      <c r="R167" s="32">
        <f>+[20]Result!$K$50</f>
        <v>-557.34024666393645</v>
      </c>
      <c r="S167" s="70">
        <f>+[22]Result!$K$50</f>
        <v>-566.3293971041445</v>
      </c>
    </row>
    <row r="168" spans="1:37" hidden="1" outlineLevel="2" x14ac:dyDescent="0.25">
      <c r="A168" s="16" t="s">
        <v>53</v>
      </c>
      <c r="B168" s="13">
        <f>+[1]Result!$K$51</f>
        <v>-92.336460148256975</v>
      </c>
      <c r="C168" s="13">
        <f>+[5]Result!$K$51</f>
        <v>-94.983516032547954</v>
      </c>
      <c r="D168" s="32">
        <f>+[6]Result!$K$51</f>
        <v>-91.361004134959643</v>
      </c>
      <c r="E168" s="13">
        <f>+[7]Result!$K$51</f>
        <v>-93.614559523645838</v>
      </c>
      <c r="F168" s="13">
        <f>+[8]Result!$K$51</f>
        <v>-90.697879223168101</v>
      </c>
      <c r="G168" s="32">
        <f>+[9]Result!$K$51</f>
        <v>-95.879040097177992</v>
      </c>
      <c r="H168" s="13">
        <f>+[10]Result!$K$51</f>
        <v>-94.450750023038253</v>
      </c>
      <c r="I168" s="13">
        <f>+[11]Result!$K$51</f>
        <v>-92.685324352601043</v>
      </c>
      <c r="J168" s="32">
        <f>+[12]Result!$K$51</f>
        <v>-86.843692551285244</v>
      </c>
      <c r="K168" s="13">
        <f>+[13]Result!$K$51</f>
        <v>-86.784448237945355</v>
      </c>
      <c r="L168" s="13">
        <f>+[14]Result!$K$51</f>
        <v>-83.553086970428268</v>
      </c>
      <c r="M168" s="13">
        <f>+[15]Result!$K$51</f>
        <v>-172.83594160583729</v>
      </c>
      <c r="N168" s="32">
        <f>+[16]Result!$K$51</f>
        <v>-176.1621126952532</v>
      </c>
      <c r="O168" s="13">
        <f>+[17]Result!$K$51</f>
        <v>-184.22180776488091</v>
      </c>
      <c r="P168" s="13">
        <f>+[18]Result!$K$51</f>
        <v>-263.16912565415043</v>
      </c>
      <c r="Q168" s="32">
        <f>+[19]Result!$K$51</f>
        <v>-261.56053874135495</v>
      </c>
      <c r="R168" s="32">
        <f>+[20]Result!$K$51</f>
        <v>-261.56053874135495</v>
      </c>
      <c r="S168" s="70">
        <f>+[22]Result!$K$51</f>
        <v>-265.69126881663215</v>
      </c>
    </row>
    <row r="169" spans="1:37" hidden="1" outlineLevel="2" x14ac:dyDescent="0.25">
      <c r="A169" s="16" t="s">
        <v>54</v>
      </c>
      <c r="B169" s="13">
        <f>+[1]Result!$K$52</f>
        <v>-41.774772349199452</v>
      </c>
      <c r="C169" s="13">
        <f>+[5]Result!$K$52</f>
        <v>-42.97827333419837</v>
      </c>
      <c r="D169" s="32">
        <f>+[6]Result!$K$52</f>
        <v>-40.018401959583464</v>
      </c>
      <c r="E169" s="13">
        <f>+[7]Result!$K$52</f>
        <v>-41.01734139743585</v>
      </c>
      <c r="F169" s="13">
        <f>+[8]Result!$K$52</f>
        <v>-39.73095701639032</v>
      </c>
      <c r="G169" s="32">
        <f>+[9]Result!$K$52</f>
        <v>-43.308031144815267</v>
      </c>
      <c r="H169" s="13">
        <f>+[10]Result!$K$52</f>
        <v>-42.659047033582844</v>
      </c>
      <c r="I169" s="13">
        <f>+[11]Result!$K$52</f>
        <v>-41.864194240012992</v>
      </c>
      <c r="J169" s="32">
        <f>+[12]Result!$K$52</f>
        <v>-38.822898327829122</v>
      </c>
      <c r="K169" s="13">
        <f>+[13]Result!$K$52</f>
        <v>-38.804874762408012</v>
      </c>
      <c r="L169" s="13">
        <f>+[14]Result!$K$52</f>
        <v>-37.355594636553342</v>
      </c>
      <c r="M169" s="13">
        <f>+[15]Result!$K$52</f>
        <v>-47.757335838913015</v>
      </c>
      <c r="N169" s="32">
        <f>+[16]Result!$K$52</f>
        <v>-48.685071027052935</v>
      </c>
      <c r="O169" s="13">
        <f>+[17]Result!$K$52</f>
        <v>-50.937742240474236</v>
      </c>
      <c r="P169" s="13">
        <f>+[18]Result!$K$52</f>
        <v>-97.57121939694585</v>
      </c>
      <c r="Q169" s="32">
        <f>+[19]Result!$K$52</f>
        <v>-96.984614217704177</v>
      </c>
      <c r="R169" s="32">
        <f>+[20]Result!$K$52</f>
        <v>-96.962183110966762</v>
      </c>
      <c r="S169" s="70">
        <f>+[22]Result!$K$52</f>
        <v>-98.503677761086664</v>
      </c>
    </row>
    <row r="170" spans="1:37" hidden="1" outlineLevel="2" x14ac:dyDescent="0.25">
      <c r="A170" s="16" t="s">
        <v>55</v>
      </c>
      <c r="B170" s="13">
        <f>+[1]Result!$K$53</f>
        <v>-15.426001829346049</v>
      </c>
      <c r="C170" s="13">
        <f>+[5]Result!$K$53</f>
        <v>-15.872325395534803</v>
      </c>
      <c r="D170" s="32">
        <f>+[6]Result!$K$53</f>
        <v>-14.391635515658445</v>
      </c>
      <c r="E170" s="13">
        <f>+[7]Result!$K$53</f>
        <v>-14.751511381835584</v>
      </c>
      <c r="F170" s="13">
        <f>+[8]Result!$K$53</f>
        <v>-14.289504506600366</v>
      </c>
      <c r="G170" s="32">
        <f>+[9]Result!$K$53</f>
        <v>-14.852266273648276</v>
      </c>
      <c r="H170" s="13">
        <f>+[10]Result!$K$53</f>
        <v>-14.632005752816795</v>
      </c>
      <c r="I170" s="13">
        <f>+[11]Result!$K$53</f>
        <v>-14.353724886648809</v>
      </c>
      <c r="J170" s="32">
        <f>+[12]Result!$K$53</f>
        <v>-13.036306460889575</v>
      </c>
      <c r="K170" s="13">
        <f>+[13]Result!$K$53</f>
        <v>-13.027046813897439</v>
      </c>
      <c r="L170" s="13">
        <f>+[14]Result!$K$53</f>
        <v>-12.539417481698031</v>
      </c>
      <c r="M170" s="13">
        <f>+[15]Result!$K$53</f>
        <v>-1.421751068480626</v>
      </c>
      <c r="N170" s="32">
        <f>+[16]Result!$K$53</f>
        <v>-1.449269858256274</v>
      </c>
      <c r="O170" s="13">
        <f>+[17]Result!$K$53</f>
        <v>-1.5170499148472283</v>
      </c>
      <c r="P170" s="13">
        <f>+[18]Result!$K$53</f>
        <v>-19.854719145496315</v>
      </c>
      <c r="Q170" s="32">
        <f>+[19]Result!$K$53</f>
        <v>-19.732851517518359</v>
      </c>
      <c r="R170" s="32">
        <f>+[20]Result!$K$53</f>
        <v>-19.723508768196542</v>
      </c>
      <c r="S170" s="70">
        <f>+[22]Result!$K$53</f>
        <v>-20.038975638107161</v>
      </c>
    </row>
    <row r="171" spans="1:37" hidden="1" outlineLevel="2" x14ac:dyDescent="0.25">
      <c r="A171" s="16" t="s">
        <v>56</v>
      </c>
      <c r="B171" s="13">
        <f>+[1]Result!$K$54</f>
        <v>-4.0211485008046095</v>
      </c>
      <c r="C171" s="13">
        <f>+[5]Result!$K$54</f>
        <v>-4.1368992634428796</v>
      </c>
      <c r="D171" s="32">
        <f>+[6]Result!$K$54</f>
        <v>-3.5009412417624013</v>
      </c>
      <c r="E171" s="13">
        <f>+[7]Result!$K$54</f>
        <v>-3.586826250020672</v>
      </c>
      <c r="F171" s="13">
        <f>+[8]Result!$K$54</f>
        <v>-3.4755885913918227</v>
      </c>
      <c r="G171" s="32">
        <f>+[9]Result!$K$54</f>
        <v>-3.808546549413196</v>
      </c>
      <c r="H171" s="13">
        <f>+[10]Result!$K$54</f>
        <v>-3.7518243033562082</v>
      </c>
      <c r="I171" s="13">
        <f>+[11]Result!$K$54</f>
        <v>-3.6799002607601237</v>
      </c>
      <c r="J171" s="32">
        <f>+[12]Result!$K$54</f>
        <v>-3.3123182729635485</v>
      </c>
      <c r="K171" s="13">
        <f>+[13]Result!$K$54</f>
        <v>-3.3091145090052221</v>
      </c>
      <c r="L171" s="13">
        <f>+[14]Result!$K$54</f>
        <v>-3.1850576182024133</v>
      </c>
      <c r="M171" s="13">
        <f>+[15]Result!$K$54</f>
        <v>2.8794731756514439E-3</v>
      </c>
      <c r="N171" s="32">
        <f>+[16]Result!$K$54</f>
        <v>2.9349467777136915E-3</v>
      </c>
      <c r="O171" s="13">
        <f>+[17]Result!$K$54</f>
        <v>3.0728716091274469E-3</v>
      </c>
      <c r="P171" s="13">
        <f>+[18]Result!$K$54</f>
        <v>3.0135338266817908E-3</v>
      </c>
      <c r="Q171" s="32">
        <f>+[19]Result!$K$54</f>
        <v>2.9946576839246994E-3</v>
      </c>
      <c r="R171" s="32">
        <f>+[20]Result!$K$54</f>
        <v>2.9939318241572598E-3</v>
      </c>
      <c r="S171" s="70">
        <f>+[22]Result!$K$54</f>
        <v>3.0420737518003257E-3</v>
      </c>
    </row>
    <row r="172" spans="1:37" collapsed="1" x14ac:dyDescent="0.25">
      <c r="A172" s="12" t="s">
        <v>59</v>
      </c>
      <c r="B172" s="13">
        <f>+SUM([1]Result!$L$5:$L$54)</f>
        <v>-27823639.285867769</v>
      </c>
      <c r="C172" s="13">
        <f>+SUM([5]Result!$L$5:$L$54)</f>
        <v>-26467839.074952826</v>
      </c>
      <c r="D172" s="32">
        <f>+SUM([6]Result!$L$5:$L$54)</f>
        <v>-28664126.559251688</v>
      </c>
      <c r="E172" s="13">
        <f>+SUM([7]Result!$L$5:$L$54)</f>
        <v>-25603578.95829761</v>
      </c>
      <c r="F172" s="13">
        <f>+SUM([8]Result!$L$5:$L$54)</f>
        <v>-26261534.219619103</v>
      </c>
      <c r="G172" s="32">
        <f>+SUM([9]Result!$L$5:$L$54)</f>
        <v>-26934066.114564087</v>
      </c>
      <c r="H172" s="13">
        <f>+SUM([10]Result!$L$5:$L$54)</f>
        <v>-27884341.190012556</v>
      </c>
      <c r="I172" s="13">
        <f>+SUM([11]Result!$L$5:$L$54)</f>
        <v>-27588440.31238737</v>
      </c>
      <c r="J172" s="32">
        <f>+SUM([12]Result!$L$5:$L$54)</f>
        <v>-28896113.813767809</v>
      </c>
      <c r="K172" s="13">
        <f>+SUM([13]Result!$L$5:$L$54)</f>
        <v>-28573621.057020888</v>
      </c>
      <c r="L172" s="13">
        <f>+SUM([14]Result!$L$5:$L$54)</f>
        <v>-29271629.041810144</v>
      </c>
      <c r="M172" s="32">
        <f>+SUM([15]Result!$L$5:$L$54)</f>
        <v>-25948339.817291081</v>
      </c>
      <c r="N172" s="13">
        <f>+SUM([16]Result!$L$5:$L$54)</f>
        <v>-25565913.544512518</v>
      </c>
      <c r="O172" s="13">
        <f>+SUM([17]Result!$L$5:$L$54)</f>
        <v>-24492912.751761451</v>
      </c>
      <c r="P172" s="32">
        <f>+SUM([18]Result!$L$5:$L$54)</f>
        <v>-32234772.872479547</v>
      </c>
      <c r="Q172" s="13">
        <f>+SUM([19]Result!$L$5:$L$54)</f>
        <v>-32561279.05941866</v>
      </c>
      <c r="R172" s="13">
        <f>+SUM([20]Result!$L$5:$L$54)</f>
        <v>-31512640.242592156</v>
      </c>
      <c r="S172" s="70">
        <f>+SUM([22]Result!$L$5:$L$54)</f>
        <v>-31247804.508912712</v>
      </c>
      <c r="T172" s="13">
        <f>+B172-(B173+B179+B185+B196+B207)</f>
        <v>0</v>
      </c>
      <c r="U172" s="13">
        <f t="shared" ref="U172:W172" si="126">+C172-(C173+C179+C185+C196+C207)</f>
        <v>0</v>
      </c>
      <c r="V172" s="13">
        <f t="shared" si="126"/>
        <v>0</v>
      </c>
      <c r="W172" s="13">
        <f t="shared" si="126"/>
        <v>0</v>
      </c>
      <c r="X172" s="13">
        <f t="shared" ref="X172" si="127">+F172-(F173+F179+F185+F196+F207)</f>
        <v>0</v>
      </c>
      <c r="Y172" s="13">
        <f t="shared" ref="Y172:AE172" si="128">+G172-(G173+G179+G185+G196+G207)</f>
        <v>0</v>
      </c>
      <c r="Z172" s="13">
        <f t="shared" si="128"/>
        <v>0</v>
      </c>
      <c r="AA172" s="13">
        <f t="shared" si="128"/>
        <v>0</v>
      </c>
      <c r="AB172" s="13">
        <f t="shared" si="128"/>
        <v>0</v>
      </c>
      <c r="AC172" s="13">
        <f t="shared" si="128"/>
        <v>0</v>
      </c>
      <c r="AD172" s="13">
        <f t="shared" si="128"/>
        <v>0</v>
      </c>
      <c r="AE172" s="13">
        <f t="shared" si="128"/>
        <v>0</v>
      </c>
      <c r="AF172" s="13">
        <f t="shared" ref="AF172" si="129">+N172-(N173+N179+N185+N196+N207)</f>
        <v>0</v>
      </c>
      <c r="AG172" s="13">
        <f t="shared" ref="AG172:AH172" si="130">+O172-(O173+O179+O185+O196+O207)</f>
        <v>0</v>
      </c>
      <c r="AH172" s="13">
        <f t="shared" si="130"/>
        <v>0</v>
      </c>
      <c r="AI172" s="13">
        <f t="shared" ref="AI172" si="131">+Q172-(Q173+Q179+Q185+Q196+Q207)</f>
        <v>0</v>
      </c>
      <c r="AJ172" s="13">
        <f t="shared" ref="AJ172:AK172" si="132">+R172-(R173+R179+R185+R196+R207)</f>
        <v>0</v>
      </c>
      <c r="AK172" s="13">
        <f t="shared" si="132"/>
        <v>0</v>
      </c>
    </row>
    <row r="173" spans="1:37" hidden="1" outlineLevel="1" x14ac:dyDescent="0.25">
      <c r="A173" s="15" t="s">
        <v>2</v>
      </c>
      <c r="B173" s="13" cm="1">
        <f t="array" ref="B173">+[1]!DELTA_DOWN_1_5</f>
        <v>-15858517.583357528</v>
      </c>
      <c r="C173" s="13" cm="1">
        <f t="array" ref="C173">+[5]!DELTA_DOWN_1_5</f>
        <v>-14902278.631737009</v>
      </c>
      <c r="D173" s="32" cm="1">
        <f t="array" ref="D173">+[6]!DELTA_DOWN_1_5</f>
        <v>-16386295.103140369</v>
      </c>
      <c r="E173" s="13" cm="1">
        <f t="array" ref="E173">+[7]!DELTA_DOWN_1_5</f>
        <v>-14219485.850820296</v>
      </c>
      <c r="F173" s="13" cm="1">
        <f t="array" ref="F173">+[8]!DELTA_DOWN_1_5</f>
        <v>-14561651.292428292</v>
      </c>
      <c r="G173" s="32" cm="1">
        <f t="array" ref="G173">+[9]!DELTA_DOWN_1_5</f>
        <v>-14827974.48847536</v>
      </c>
      <c r="H173" s="13" cm="1">
        <f t="array" ref="H173">+[10]!DELTA_DOWN_1_5</f>
        <v>-15482699.152650446</v>
      </c>
      <c r="I173" s="13" cm="1">
        <f t="array" ref="I173">+[11]!DELTA_DOWN_1_5</f>
        <v>-15224766.489166856</v>
      </c>
      <c r="J173" s="32" cm="1">
        <f t="array" ref="J173">+[12]!DELTA_DOWN_1_5</f>
        <v>-16291570.904679701</v>
      </c>
      <c r="K173" s="13" cm="1">
        <f t="array" ref="K173">+[13]!DELTA_DOWN_1_5</f>
        <v>-16106904.149108313</v>
      </c>
      <c r="L173" s="13" cm="1">
        <f t="array" ref="L173">+[14]!DELTA_DOWN_1_5</f>
        <v>-16404524.903807066</v>
      </c>
      <c r="M173" s="13" cm="1">
        <f t="array" ref="M173">+[15]!DELTA_DOWN_1_5</f>
        <v>-15526922.282384433</v>
      </c>
      <c r="N173" s="32" cm="1">
        <f t="array" ref="N173">+[16]!DELTA_DOWN_1_5</f>
        <v>-15306296.759937577</v>
      </c>
      <c r="O173" s="13" cm="1">
        <f t="array" ref="O173">+[17]!DELTA_DOWN_1_5</f>
        <v>-14749149.615734987</v>
      </c>
      <c r="P173" s="13" cm="1">
        <f t="array" ref="P173">+[18]!DELTA_DOWN_1_5</f>
        <v>-20751903.875479467</v>
      </c>
      <c r="Q173" s="32" cm="1">
        <f t="array" ref="Q173">+[19]!DELTA_DOWN_1_5</f>
        <v>-21050376.013946265</v>
      </c>
      <c r="R173" s="32" cm="1">
        <f t="array" ref="R173">+[20]!DELTA_DOWN_1_5</f>
        <v>-20249901.342629962</v>
      </c>
      <c r="S173" s="70" cm="1">
        <f t="array" ref="S173">+[22]!DELTA_DOWN_1_5</f>
        <v>-20145334.744958073</v>
      </c>
      <c r="T173" s="13">
        <f>+B173-SUM(B174:B178)</f>
        <v>0</v>
      </c>
      <c r="U173" s="13">
        <f t="shared" ref="U173:W173" si="133">+C173-SUM(C174:C178)</f>
        <v>0</v>
      </c>
      <c r="V173" s="13">
        <f t="shared" si="133"/>
        <v>0</v>
      </c>
      <c r="W173" s="13">
        <f t="shared" si="133"/>
        <v>0</v>
      </c>
      <c r="X173" s="13">
        <f t="shared" ref="X173" si="134">+F173-SUM(F174:F178)</f>
        <v>0</v>
      </c>
      <c r="Y173" s="13">
        <f t="shared" ref="Y173:AE173" si="135">+G173-SUM(G174:G178)</f>
        <v>0</v>
      </c>
      <c r="Z173" s="13">
        <f t="shared" si="135"/>
        <v>0</v>
      </c>
      <c r="AA173" s="13">
        <f t="shared" si="135"/>
        <v>0</v>
      </c>
      <c r="AB173" s="13">
        <f t="shared" si="135"/>
        <v>0</v>
      </c>
      <c r="AC173" s="13">
        <f t="shared" si="135"/>
        <v>0</v>
      </c>
      <c r="AD173" s="13">
        <f t="shared" si="135"/>
        <v>0</v>
      </c>
      <c r="AE173" s="13">
        <f t="shared" si="135"/>
        <v>0</v>
      </c>
      <c r="AF173" s="13">
        <f t="shared" ref="AF173" si="136">+N173-SUM(N174:N178)</f>
        <v>0</v>
      </c>
      <c r="AG173" s="13">
        <f t="shared" ref="AG173:AH173" si="137">+O173-SUM(O174:O178)</f>
        <v>0</v>
      </c>
      <c r="AH173" s="13">
        <f t="shared" si="137"/>
        <v>0</v>
      </c>
      <c r="AI173" s="13">
        <f t="shared" ref="AI173" si="138">+Q173-SUM(Q174:Q178)</f>
        <v>0</v>
      </c>
      <c r="AJ173" s="13">
        <f t="shared" ref="AJ173:AK173" si="139">+R173-SUM(R174:R178)</f>
        <v>0</v>
      </c>
      <c r="AK173" s="13">
        <f t="shared" si="139"/>
        <v>0</v>
      </c>
    </row>
    <row r="174" spans="1:37" hidden="1" outlineLevel="2" x14ac:dyDescent="0.25">
      <c r="A174" s="16" t="s">
        <v>3</v>
      </c>
      <c r="B174" s="13">
        <f>+[1]Result!$L$5</f>
        <v>-3433687.7605449557</v>
      </c>
      <c r="C174" s="13">
        <f>+[5]Result!$L$5</f>
        <v>-3208153.6066150665</v>
      </c>
      <c r="D174" s="32">
        <f>+[6]Result!$L$5</f>
        <v>-3223922.7716908455</v>
      </c>
      <c r="E174" s="13">
        <f>+[7]Result!$L$5</f>
        <v>-2804669.072511971</v>
      </c>
      <c r="F174" s="13">
        <f>+[8]Result!$L$5</f>
        <v>-2828255.678873837</v>
      </c>
      <c r="G174" s="32">
        <f>+[9]Result!$L$5</f>
        <v>-2605933.1603066325</v>
      </c>
      <c r="H174" s="13">
        <f>+[10]Result!$L$5</f>
        <v>-2696876.4851128459</v>
      </c>
      <c r="I174" s="13">
        <f>+[11]Result!$L$5</f>
        <v>-2686238.2704716921</v>
      </c>
      <c r="J174" s="32">
        <f>+[12]Result!$L$5</f>
        <v>-2620458.2470477223</v>
      </c>
      <c r="K174" s="13">
        <f>+[13]Result!$L$5</f>
        <v>-2627212.9300752282</v>
      </c>
      <c r="L174" s="13">
        <f>+[14]Result!$L$5</f>
        <v>-2642368.9066303968</v>
      </c>
      <c r="M174" s="13">
        <f>+[15]Result!$L$5</f>
        <v>-2521469.8118651509</v>
      </c>
      <c r="N174" s="32">
        <f>+[16]Result!$L$5</f>
        <v>-2518329.995559752</v>
      </c>
      <c r="O174" s="13">
        <f>+[17]Result!$L$5</f>
        <v>-2483579.4057458043</v>
      </c>
      <c r="P174" s="13">
        <f>+[18]Result!$L$5</f>
        <v>-3683502.9184923768</v>
      </c>
      <c r="Q174" s="32">
        <f>+[19]Result!$L$5</f>
        <v>-3783761.7646398544</v>
      </c>
      <c r="R174" s="32">
        <f>+[20]Result!$L$5</f>
        <v>-3668932.4325184226</v>
      </c>
      <c r="S174" s="70">
        <f>+[22]Result!$L$5</f>
        <v>-3663458.451239109</v>
      </c>
    </row>
    <row r="175" spans="1:37" hidden="1" outlineLevel="2" x14ac:dyDescent="0.25">
      <c r="A175" s="16" t="s">
        <v>4</v>
      </c>
      <c r="B175" s="13">
        <f>+[1]Result!$L$6</f>
        <v>-4832858.7340381742</v>
      </c>
      <c r="C175" s="13">
        <f>+[5]Result!$L$6</f>
        <v>-4542324.9149913788</v>
      </c>
      <c r="D175" s="32">
        <f>+[6]Result!$L$6</f>
        <v>-5463627.1464482546</v>
      </c>
      <c r="E175" s="13">
        <f>+[7]Result!$L$6</f>
        <v>-4714981.9976521134</v>
      </c>
      <c r="F175" s="13">
        <f>+[8]Result!$L$6</f>
        <v>-4817649.2765429914</v>
      </c>
      <c r="G175" s="32">
        <f>+[9]Result!$L$6</f>
        <v>-5058133.6228739619</v>
      </c>
      <c r="H175" s="13">
        <f>+[10]Result!$L$6</f>
        <v>-5281871.1201460063</v>
      </c>
      <c r="I175" s="13">
        <f>+[11]Result!$L$6</f>
        <v>-5209818.3118720055</v>
      </c>
      <c r="J175" s="32">
        <f>+[12]Result!$L$6</f>
        <v>-5624327.183190763</v>
      </c>
      <c r="K175" s="13">
        <f>+[13]Result!$L$6</f>
        <v>-5578488.2953406572</v>
      </c>
      <c r="L175" s="13">
        <f>+[14]Result!$L$6</f>
        <v>-5661989.1626092792</v>
      </c>
      <c r="M175" s="13">
        <f>+[15]Result!$L$6</f>
        <v>-5353980.5183896422</v>
      </c>
      <c r="N175" s="32">
        <f>+[16]Result!$L$6</f>
        <v>-5297893.7881892323</v>
      </c>
      <c r="O175" s="13">
        <f>+[17]Result!$L$6</f>
        <v>-5156815.4534389079</v>
      </c>
      <c r="P175" s="13">
        <f>+[18]Result!$L$6</f>
        <v>-7482339.2331393361</v>
      </c>
      <c r="Q175" s="32">
        <f>+[19]Result!$L$6</f>
        <v>-7646170.8467829227</v>
      </c>
      <c r="R175" s="32">
        <f>+[20]Result!$L$6</f>
        <v>-7350458.5697563291</v>
      </c>
      <c r="S175" s="70">
        <f>+[22]Result!$L$6</f>
        <v>-7315521.9746394157</v>
      </c>
    </row>
    <row r="176" spans="1:37" hidden="1" outlineLevel="2" x14ac:dyDescent="0.25">
      <c r="A176" s="16" t="s">
        <v>5</v>
      </c>
      <c r="B176" s="13">
        <f>+[1]Result!$L$7</f>
        <v>-3377075.601060465</v>
      </c>
      <c r="C176" s="13">
        <f>+[5]Result!$L$7</f>
        <v>-3172736.8936640471</v>
      </c>
      <c r="D176" s="32">
        <f>+[6]Result!$L$7</f>
        <v>-3347537.1781870872</v>
      </c>
      <c r="E176" s="13">
        <f>+[7]Result!$L$7</f>
        <v>-2891469.3963588625</v>
      </c>
      <c r="F176" s="13">
        <f>+[8]Result!$L$7</f>
        <v>-2982685.9761784971</v>
      </c>
      <c r="G176" s="32">
        <f>+[9]Result!$L$7</f>
        <v>-3071890.8173443824</v>
      </c>
      <c r="H176" s="13">
        <f>+[10]Result!$L$7</f>
        <v>-3226015.5337226689</v>
      </c>
      <c r="I176" s="13">
        <f>+[11]Result!$L$7</f>
        <v>-3150744.211242035</v>
      </c>
      <c r="J176" s="32">
        <f>+[12]Result!$L$7</f>
        <v>-3562195.9889165312</v>
      </c>
      <c r="K176" s="13">
        <f>+[13]Result!$L$7</f>
        <v>-3503630.2985126674</v>
      </c>
      <c r="L176" s="13">
        <f>+[14]Result!$L$7</f>
        <v>-3580510.57846421</v>
      </c>
      <c r="M176" s="13">
        <f>+[15]Result!$L$7</f>
        <v>-3479996.9655531198</v>
      </c>
      <c r="N176" s="32">
        <f>+[16]Result!$L$7</f>
        <v>-3411535.1041751653</v>
      </c>
      <c r="O176" s="13">
        <f>+[17]Result!$L$7</f>
        <v>-3264876.4479482472</v>
      </c>
      <c r="P176" s="13">
        <f>+[18]Result!$L$7</f>
        <v>-4498939.9864159226</v>
      </c>
      <c r="Q176" s="32">
        <f>+[19]Result!$L$7</f>
        <v>-4537595.5385444164</v>
      </c>
      <c r="R176" s="32">
        <f>+[20]Result!$L$7</f>
        <v>-4343688.3096334785</v>
      </c>
      <c r="S176" s="70">
        <f>+[22]Result!$L$7</f>
        <v>-4321869.0493943244</v>
      </c>
    </row>
    <row r="177" spans="1:37" hidden="1" outlineLevel="2" x14ac:dyDescent="0.25">
      <c r="A177" s="16" t="s">
        <v>6</v>
      </c>
      <c r="B177" s="13">
        <f>+[1]Result!$L$8</f>
        <v>-2295252.5437206328</v>
      </c>
      <c r="C177" s="13">
        <f>+[5]Result!$L$8</f>
        <v>-2162086.1673977673</v>
      </c>
      <c r="D177" s="32">
        <f>+[6]Result!$L$8</f>
        <v>-2371980.1185781509</v>
      </c>
      <c r="E177" s="13">
        <f>+[7]Result!$L$8</f>
        <v>-2068224.7929533496</v>
      </c>
      <c r="F177" s="13">
        <f>+[8]Result!$L$8</f>
        <v>-2136789.8048847318</v>
      </c>
      <c r="G177" s="32">
        <f>+[9]Result!$L$8</f>
        <v>-2220325.05672694</v>
      </c>
      <c r="H177" s="13">
        <f>+[10]Result!$L$8</f>
        <v>-2325681.5556898788</v>
      </c>
      <c r="I177" s="13">
        <f>+[11]Result!$L$8</f>
        <v>-2267858.1504822075</v>
      </c>
      <c r="J177" s="32">
        <f>+[12]Result!$L$8</f>
        <v>-2465279.7153320238</v>
      </c>
      <c r="K177" s="13">
        <f>+[13]Result!$L$8</f>
        <v>-2418208.1978164911</v>
      </c>
      <c r="L177" s="13">
        <f>+[14]Result!$L$8</f>
        <v>-2480493.4813642725</v>
      </c>
      <c r="M177" s="13">
        <f>+[15]Result!$L$8</f>
        <v>-2339820.7524686828</v>
      </c>
      <c r="N177" s="32">
        <f>+[16]Result!$L$8</f>
        <v>-2287284.2241041139</v>
      </c>
      <c r="O177" s="13">
        <f>+[17]Result!$L$8</f>
        <v>-2161498.8036857769</v>
      </c>
      <c r="P177" s="13">
        <f>+[18]Result!$L$8</f>
        <v>-2879730.2431659773</v>
      </c>
      <c r="Q177" s="32">
        <f>+[19]Result!$L$8</f>
        <v>-2877482.1302963719</v>
      </c>
      <c r="R177" s="32">
        <f>+[20]Result!$L$8</f>
        <v>-2762561.0539753661</v>
      </c>
      <c r="S177" s="70">
        <f>+[22]Result!$L$8</f>
        <v>-2744523.7803065628</v>
      </c>
    </row>
    <row r="178" spans="1:37" hidden="1" outlineLevel="2" x14ac:dyDescent="0.25">
      <c r="A178" s="16" t="s">
        <v>7</v>
      </c>
      <c r="B178" s="13">
        <f>+[1]Result!$L$9</f>
        <v>-1919642.9439933002</v>
      </c>
      <c r="C178" s="13">
        <f>+[5]Result!$L$9</f>
        <v>-1816977.049068749</v>
      </c>
      <c r="D178" s="32">
        <f>+[6]Result!$L$9</f>
        <v>-1979227.8882360309</v>
      </c>
      <c r="E178" s="13">
        <f>+[7]Result!$L$9</f>
        <v>-1740140.5913439989</v>
      </c>
      <c r="F178" s="13">
        <f>+[8]Result!$L$9</f>
        <v>-1796270.5559482351</v>
      </c>
      <c r="G178" s="32">
        <f>+[9]Result!$L$9</f>
        <v>-1871691.8312234432</v>
      </c>
      <c r="H178" s="13">
        <f>+[10]Result!$L$9</f>
        <v>-1952254.4579790458</v>
      </c>
      <c r="I178" s="13">
        <f>+[11]Result!$L$9</f>
        <v>-1910107.5450989157</v>
      </c>
      <c r="J178" s="32">
        <f>+[12]Result!$L$9</f>
        <v>-2019309.7701926604</v>
      </c>
      <c r="K178" s="13">
        <f>+[13]Result!$L$9</f>
        <v>-1979364.427363269</v>
      </c>
      <c r="L178" s="13">
        <f>+[14]Result!$L$9</f>
        <v>-2039162.7747389078</v>
      </c>
      <c r="M178" s="13">
        <f>+[15]Result!$L$9</f>
        <v>-1831654.2341078371</v>
      </c>
      <c r="N178" s="32">
        <f>+[16]Result!$L$9</f>
        <v>-1791253.6479093134</v>
      </c>
      <c r="O178" s="13">
        <f>+[17]Result!$L$9</f>
        <v>-1682379.5049162507</v>
      </c>
      <c r="P178" s="13">
        <f>+[18]Result!$L$9</f>
        <v>-2207391.4942658544</v>
      </c>
      <c r="Q178" s="32">
        <f>+[19]Result!$L$9</f>
        <v>-2205365.7336826995</v>
      </c>
      <c r="R178" s="32">
        <f>+[20]Result!$L$9</f>
        <v>-2124260.9767463654</v>
      </c>
      <c r="S178" s="70">
        <f>+[22]Result!$L$9</f>
        <v>-2099961.4893786609</v>
      </c>
    </row>
    <row r="179" spans="1:37" hidden="1" outlineLevel="1" x14ac:dyDescent="0.25">
      <c r="A179" s="15" t="s">
        <v>8</v>
      </c>
      <c r="B179" s="13" cm="1">
        <f t="array" ref="B179">+[1]!DELTA_6_10</f>
        <v>-6188442.1791779902</v>
      </c>
      <c r="C179" s="13" cm="1">
        <f t="array" ref="C179">+[5]!DELTA_6_10</f>
        <v>-5917334.9138725232</v>
      </c>
      <c r="D179" s="32" cm="1">
        <f t="array" ref="D179">+[6]!DELTA_6_10</f>
        <v>-6461930.2590997685</v>
      </c>
      <c r="E179" s="13" cm="1">
        <f t="array" ref="E179">+[7]!DELTA_6_10</f>
        <v>-5851488.4158910271</v>
      </c>
      <c r="F179" s="13" cm="1">
        <f t="array" ref="F179">+[8]!DELTA_6_10</f>
        <v>-6018256.4779358599</v>
      </c>
      <c r="G179" s="32" cm="1">
        <f t="array" ref="G179">+[9]!DELTA_6_10</f>
        <v>-6267778.5976012871</v>
      </c>
      <c r="H179" s="13" cm="1">
        <f t="array" ref="H179">+[10]!DELTA_6_10</f>
        <v>-6462892.5998109318</v>
      </c>
      <c r="I179" s="13" cm="1">
        <f t="array" ref="I179">+[11]!DELTA_6_10</f>
        <v>-6387674.6480938885</v>
      </c>
      <c r="J179" s="32" cm="1">
        <f t="array" ref="J179">+[12]!DELTA_6_10</f>
        <v>-6516421.7721496839</v>
      </c>
      <c r="K179" s="13" cm="1">
        <f t="array" ref="K179">+[13]!DELTA_6_10</f>
        <v>-6410416.7870126422</v>
      </c>
      <c r="L179" s="13" cm="1">
        <f t="array" ref="L179">+[14]!DELTA_6_10</f>
        <v>-6630908.6977948844</v>
      </c>
      <c r="M179" s="13" cm="1">
        <f t="array" ref="M179">+[15]!DELTA_6_10</f>
        <v>-5549576.4480752302</v>
      </c>
      <c r="N179" s="32" cm="1">
        <f t="array" ref="N179">+[16]!DELTA_6_10</f>
        <v>-5441046.1411567423</v>
      </c>
      <c r="O179" s="13" cm="1">
        <f t="array" ref="O179">+[17]!DELTA_6_10</f>
        <v>-5109735.3713803627</v>
      </c>
      <c r="P179" s="13" cm="1">
        <f t="array" ref="P179">+[18]!DELTA_6_10</f>
        <v>-6333516.9251578245</v>
      </c>
      <c r="Q179" s="32" cm="1">
        <f t="array" ref="Q179">+[19]!DELTA_6_10</f>
        <v>-6340585.885083802</v>
      </c>
      <c r="R179" s="32" cm="1">
        <f t="array" ref="R179">+[20]!DELTA_6_10</f>
        <v>-6144227.5880509606</v>
      </c>
      <c r="S179" s="70" cm="1">
        <f t="array" ref="S179">+[22]!DELTA_6_10</f>
        <v>-6051156.8643444721</v>
      </c>
      <c r="T179" s="13">
        <f>+B179-SUM(B180:B184)</f>
        <v>0</v>
      </c>
      <c r="U179" s="13">
        <f t="shared" ref="U179:W179" si="140">+C179-SUM(C180:C184)</f>
        <v>0</v>
      </c>
      <c r="V179" s="13">
        <f t="shared" si="140"/>
        <v>0</v>
      </c>
      <c r="W179" s="13">
        <f t="shared" si="140"/>
        <v>0</v>
      </c>
      <c r="X179" s="13">
        <f t="shared" ref="X179" si="141">+F179-SUM(F180:F184)</f>
        <v>0</v>
      </c>
      <c r="Y179" s="13">
        <f t="shared" ref="Y179:AE179" si="142">+G179-SUM(G180:G184)</f>
        <v>0</v>
      </c>
      <c r="Z179" s="13">
        <f t="shared" si="142"/>
        <v>0</v>
      </c>
      <c r="AA179" s="13">
        <f t="shared" si="142"/>
        <v>0</v>
      </c>
      <c r="AB179" s="13">
        <f t="shared" si="142"/>
        <v>0</v>
      </c>
      <c r="AC179" s="13">
        <f t="shared" si="142"/>
        <v>0</v>
      </c>
      <c r="AD179" s="13">
        <f t="shared" si="142"/>
        <v>0</v>
      </c>
      <c r="AE179" s="13">
        <f t="shared" si="142"/>
        <v>0</v>
      </c>
      <c r="AF179" s="13">
        <f t="shared" ref="AF179" si="143">+N179-SUM(N180:N184)</f>
        <v>0</v>
      </c>
      <c r="AG179" s="13">
        <f t="shared" ref="AG179:AH179" si="144">+O179-SUM(O180:O184)</f>
        <v>0</v>
      </c>
      <c r="AH179" s="13">
        <f t="shared" si="144"/>
        <v>0</v>
      </c>
      <c r="AI179" s="13">
        <f t="shared" ref="AI179" si="145">+Q179-SUM(Q180:Q184)</f>
        <v>0</v>
      </c>
      <c r="AJ179" s="13">
        <f t="shared" ref="AJ179:AK179" si="146">+R179-SUM(R180:R184)</f>
        <v>0</v>
      </c>
      <c r="AK179" s="13">
        <f t="shared" si="146"/>
        <v>0</v>
      </c>
    </row>
    <row r="180" spans="1:37" hidden="1" outlineLevel="2" x14ac:dyDescent="0.25">
      <c r="A180" s="16" t="s">
        <v>9</v>
      </c>
      <c r="B180" s="13">
        <f>+[1]Result!$L$10</f>
        <v>-1688016.9923435412</v>
      </c>
      <c r="C180" s="13">
        <f>+[5]Result!$L$10</f>
        <v>-1600541.3332118653</v>
      </c>
      <c r="D180" s="32">
        <f>+[6]Result!$L$10</f>
        <v>-1753835.3676911481</v>
      </c>
      <c r="E180" s="13">
        <f>+[7]Result!$L$10</f>
        <v>-1557827.0854626819</v>
      </c>
      <c r="F180" s="13">
        <f>+[8]Result!$L$10</f>
        <v>-1605548.646947246</v>
      </c>
      <c r="G180" s="32">
        <f>+[9]Result!$L$10</f>
        <v>-1665323.6952408552</v>
      </c>
      <c r="H180" s="13">
        <f>+[10]Result!$L$10</f>
        <v>-1729617.4190155603</v>
      </c>
      <c r="I180" s="13">
        <f>+[11]Result!$L$10</f>
        <v>-1698774.7684473656</v>
      </c>
      <c r="J180" s="32">
        <f>+[12]Result!$L$10</f>
        <v>-1758647.1222652979</v>
      </c>
      <c r="K180" s="13">
        <f>+[13]Result!$L$10</f>
        <v>-1725133.8651808724</v>
      </c>
      <c r="L180" s="13">
        <f>+[14]Result!$L$10</f>
        <v>-1783190.0995557681</v>
      </c>
      <c r="M180" s="13">
        <f>+[15]Result!$L$10</f>
        <v>-1572975.6478189416</v>
      </c>
      <c r="N180" s="32">
        <f>+[16]Result!$L$10</f>
        <v>-1540146.0307686888</v>
      </c>
      <c r="O180" s="13">
        <f>+[17]Result!$L$10</f>
        <v>-1443640.3053375594</v>
      </c>
      <c r="P180" s="13">
        <f>+[18]Result!$L$10</f>
        <v>-1835232.0511952825</v>
      </c>
      <c r="Q180" s="32">
        <f>+[19]Result!$L$10</f>
        <v>-1836005.3037461601</v>
      </c>
      <c r="R180" s="32">
        <f>+[20]Result!$L$10</f>
        <v>-1772221.2956424095</v>
      </c>
      <c r="S180" s="70">
        <f>+[22]Result!$L$10</f>
        <v>-1746686.0843618438</v>
      </c>
    </row>
    <row r="181" spans="1:37" hidden="1" outlineLevel="2" x14ac:dyDescent="0.25">
      <c r="A181" s="16" t="s">
        <v>10</v>
      </c>
      <c r="B181" s="13">
        <f>+[1]Result!$L$11</f>
        <v>-1432327.937820483</v>
      </c>
      <c r="C181" s="13">
        <f>+[5]Result!$L$11</f>
        <v>-1365405.9557199962</v>
      </c>
      <c r="D181" s="32">
        <f>+[6]Result!$L$11</f>
        <v>-1505308.5657754131</v>
      </c>
      <c r="E181" s="13">
        <f>+[7]Result!$L$11</f>
        <v>-1354691.8584266603</v>
      </c>
      <c r="F181" s="13">
        <f>+[8]Result!$L$11</f>
        <v>-1393461.0640949793</v>
      </c>
      <c r="G181" s="32">
        <f>+[9]Result!$L$11</f>
        <v>-1452225.9273911417</v>
      </c>
      <c r="H181" s="13">
        <f>+[10]Result!$L$11</f>
        <v>-1499842.6050516553</v>
      </c>
      <c r="I181" s="13">
        <f>+[11]Result!$L$11</f>
        <v>-1479282.1122725792</v>
      </c>
      <c r="J181" s="32">
        <f>+[12]Result!$L$11</f>
        <v>-1518207.4912130684</v>
      </c>
      <c r="K181" s="13">
        <f>+[13]Result!$L$11</f>
        <v>-1491922.8201114535</v>
      </c>
      <c r="L181" s="13">
        <f>+[14]Result!$L$11</f>
        <v>-1543767.6692111194</v>
      </c>
      <c r="M181" s="13">
        <f>+[15]Result!$L$11</f>
        <v>-1335771.7056608684</v>
      </c>
      <c r="N181" s="32">
        <f>+[16]Result!$L$11</f>
        <v>-1308958.6963795498</v>
      </c>
      <c r="O181" s="13">
        <f>+[17]Result!$L$11</f>
        <v>-1226881.6940577403</v>
      </c>
      <c r="P181" s="13">
        <f>+[18]Result!$L$11</f>
        <v>-1534628.2203957476</v>
      </c>
      <c r="Q181" s="32">
        <f>+[19]Result!$L$11</f>
        <v>-1535849.358907219</v>
      </c>
      <c r="R181" s="32">
        <f>+[20]Result!$L$11</f>
        <v>-1485257.5019243024</v>
      </c>
      <c r="S181" s="70">
        <f>+[22]Result!$L$11</f>
        <v>-1463139.0125645027</v>
      </c>
    </row>
    <row r="182" spans="1:37" hidden="1" outlineLevel="2" x14ac:dyDescent="0.25">
      <c r="A182" s="16" t="s">
        <v>11</v>
      </c>
      <c r="B182" s="13">
        <f>+[1]Result!$L$12</f>
        <v>-1202947.7443003245</v>
      </c>
      <c r="C182" s="13">
        <f>+[5]Result!$L$12</f>
        <v>-1153169.420860935</v>
      </c>
      <c r="D182" s="32">
        <f>+[6]Result!$L$12</f>
        <v>-1274053.6332637556</v>
      </c>
      <c r="E182" s="13">
        <f>+[7]Result!$L$12</f>
        <v>-1159447.1491578445</v>
      </c>
      <c r="F182" s="13">
        <f>+[8]Result!$L$12</f>
        <v>-1191531.4513758197</v>
      </c>
      <c r="G182" s="32">
        <f>+[9]Result!$L$12</f>
        <v>-1245505.1556148008</v>
      </c>
      <c r="H182" s="13">
        <f>+[10]Result!$L$12</f>
        <v>-1281257.1404005773</v>
      </c>
      <c r="I182" s="13">
        <f>+[11]Result!$L$12</f>
        <v>-1267919.1897517964</v>
      </c>
      <c r="J182" s="32">
        <f>+[12]Result!$L$12</f>
        <v>-1291978.992894046</v>
      </c>
      <c r="K182" s="13">
        <f>+[13]Result!$L$12</f>
        <v>-1272024.6592766717</v>
      </c>
      <c r="L182" s="13">
        <f>+[14]Result!$L$12</f>
        <v>-1315763.4009241313</v>
      </c>
      <c r="M182" s="13">
        <f>+[15]Result!$L$12</f>
        <v>-1114694.7443162482</v>
      </c>
      <c r="N182" s="32">
        <f>+[16]Result!$L$12</f>
        <v>-1092867.434632495</v>
      </c>
      <c r="O182" s="13">
        <f>+[17]Result!$L$12</f>
        <v>-1026027.1282311026</v>
      </c>
      <c r="P182" s="13">
        <f>+[18]Result!$L$12</f>
        <v>-1260474.8174752295</v>
      </c>
      <c r="Q182" s="32">
        <f>+[19]Result!$L$12</f>
        <v>-1261907.2983231284</v>
      </c>
      <c r="R182" s="32">
        <f>+[20]Result!$L$12</f>
        <v>-1223424.4968181103</v>
      </c>
      <c r="S182" s="70">
        <f>+[22]Result!$L$12</f>
        <v>-1205183.2473831065</v>
      </c>
    </row>
    <row r="183" spans="1:37" hidden="1" outlineLevel="2" x14ac:dyDescent="0.25">
      <c r="A183" s="16" t="s">
        <v>12</v>
      </c>
      <c r="B183" s="13">
        <f>+[1]Result!$L$13</f>
        <v>-987706.79346131533</v>
      </c>
      <c r="C183" s="13">
        <f>+[5]Result!$L$13</f>
        <v>-951799.16875234805</v>
      </c>
      <c r="D183" s="32">
        <f>+[6]Result!$L$13</f>
        <v>-1014635.0481305979</v>
      </c>
      <c r="E183" s="13">
        <f>+[7]Result!$L$13</f>
        <v>-931822.59279126115</v>
      </c>
      <c r="F183" s="13">
        <f>+[8]Result!$L$13</f>
        <v>-957265.27731539682</v>
      </c>
      <c r="G183" s="32">
        <f>+[9]Result!$L$13</f>
        <v>-992532.31261750311</v>
      </c>
      <c r="H183" s="13">
        <f>+[10]Result!$L$13</f>
        <v>-1017765.2783418074</v>
      </c>
      <c r="I183" s="13">
        <f>+[11]Result!$L$13</f>
        <v>-1010762.3301912323</v>
      </c>
      <c r="J183" s="32">
        <f>+[12]Result!$L$13</f>
        <v>-1018935.0358770471</v>
      </c>
      <c r="K183" s="13">
        <f>+[13]Result!$L$13</f>
        <v>-1004667.5566693842</v>
      </c>
      <c r="L183" s="13">
        <f>+[14]Result!$L$13</f>
        <v>-1039099.6742665954</v>
      </c>
      <c r="M183" s="13">
        <f>+[15]Result!$L$13</f>
        <v>-870881.37400312722</v>
      </c>
      <c r="N183" s="32">
        <f>+[16]Result!$L$13</f>
        <v>-855244.15582841821</v>
      </c>
      <c r="O183" s="13">
        <f>+[17]Result!$L$13</f>
        <v>-805199.88903794996</v>
      </c>
      <c r="P183" s="13">
        <f>+[18]Result!$L$13</f>
        <v>-974880.9000807181</v>
      </c>
      <c r="Q183" s="32">
        <f>+[19]Result!$L$13</f>
        <v>-976465.53491698764</v>
      </c>
      <c r="R183" s="32">
        <f>+[20]Result!$L$13</f>
        <v>-949988.33490004763</v>
      </c>
      <c r="S183" s="70">
        <f>+[22]Result!$L$13</f>
        <v>-934566.56385663524</v>
      </c>
    </row>
    <row r="184" spans="1:37" hidden="1" outlineLevel="2" x14ac:dyDescent="0.25">
      <c r="A184" s="16" t="s">
        <v>13</v>
      </c>
      <c r="B184" s="13">
        <f>+[1]Result!$L$14</f>
        <v>-877442.71125232615</v>
      </c>
      <c r="C184" s="13">
        <f>+[5]Result!$L$14</f>
        <v>-846419.03532737866</v>
      </c>
      <c r="D184" s="32">
        <f>+[6]Result!$L$14</f>
        <v>-914097.64423885383</v>
      </c>
      <c r="E184" s="13">
        <f>+[7]Result!$L$14</f>
        <v>-847699.73005257919</v>
      </c>
      <c r="F184" s="13">
        <f>+[8]Result!$L$14</f>
        <v>-870450.03820241801</v>
      </c>
      <c r="G184" s="32">
        <f>+[9]Result!$L$14</f>
        <v>-912191.50673698634</v>
      </c>
      <c r="H184" s="13">
        <f>+[10]Result!$L$14</f>
        <v>-934410.15700133145</v>
      </c>
      <c r="I184" s="13">
        <f>+[11]Result!$L$14</f>
        <v>-930936.24743091501</v>
      </c>
      <c r="J184" s="32">
        <f>+[12]Result!$L$14</f>
        <v>-928653.12990022451</v>
      </c>
      <c r="K184" s="13">
        <f>+[13]Result!$L$14</f>
        <v>-916667.88577426039</v>
      </c>
      <c r="L184" s="13">
        <f>+[14]Result!$L$14</f>
        <v>-949087.85383727029</v>
      </c>
      <c r="M184" s="13">
        <f>+[15]Result!$L$14</f>
        <v>-655252.97627604473</v>
      </c>
      <c r="N184" s="32">
        <f>+[16]Result!$L$14</f>
        <v>-643829.82354759052</v>
      </c>
      <c r="O184" s="13">
        <f>+[17]Result!$L$14</f>
        <v>-607986.35471601039</v>
      </c>
      <c r="P184" s="13">
        <f>+[18]Result!$L$14</f>
        <v>-728300.93601084687</v>
      </c>
      <c r="Q184" s="32">
        <f>+[19]Result!$L$14</f>
        <v>-730358.38919030689</v>
      </c>
      <c r="R184" s="32">
        <f>+[20]Result!$L$14</f>
        <v>-713335.95876609068</v>
      </c>
      <c r="S184" s="70">
        <f>+[22]Result!$L$14</f>
        <v>-701581.9561783839</v>
      </c>
    </row>
    <row r="185" spans="1:37" hidden="1" outlineLevel="1" x14ac:dyDescent="0.25">
      <c r="A185" s="15" t="s">
        <v>14</v>
      </c>
      <c r="B185" s="13" cm="1">
        <f t="array" ref="B185">+[1]!DELTA_DOWN_11_20</f>
        <v>-4380197.0133195501</v>
      </c>
      <c r="C185" s="13" cm="1">
        <f t="array" ref="C185">+[5]!DELTA_DOWN_11_20</f>
        <v>-4279709.6587213427</v>
      </c>
      <c r="D185" s="32" cm="1">
        <f t="array" ref="D185">+[6]!DELTA_DOWN_11_20</f>
        <v>-4397797.9141550893</v>
      </c>
      <c r="E185" s="13" cm="1">
        <f t="array" ref="E185">+[7]!DELTA_DOWN_11_20</f>
        <v>-4153861.9588710601</v>
      </c>
      <c r="F185" s="13" cm="1">
        <f t="array" ref="F185">+[8]!DELTA_DOWN_11_20</f>
        <v>-4267899.2714472748</v>
      </c>
      <c r="G185" s="32" cm="1">
        <f t="array" ref="G185">+[9]!DELTA_DOWN_11_20</f>
        <v>-4382958.7803807538</v>
      </c>
      <c r="H185" s="13" cm="1">
        <f t="array" ref="H185">+[10]!DELTA_DOWN_11_20</f>
        <v>-4466926.9674744457</v>
      </c>
      <c r="I185" s="13" cm="1">
        <f t="array" ref="I185">+[11]!DELTA_DOWN_11_20</f>
        <v>-4489886.314213058</v>
      </c>
      <c r="J185" s="32" cm="1">
        <f t="array" ref="J185">+[12]!DELTA_DOWN_11_20</f>
        <v>-4520681.5955025293</v>
      </c>
      <c r="K185" s="13" cm="1">
        <f t="array" ref="K185">+[13]!DELTA_DOWN_11_20</f>
        <v>-4489810.5381436944</v>
      </c>
      <c r="L185" s="13" cm="1">
        <f t="array" ref="L185">+[14]!DELTA_DOWN_11_20</f>
        <v>-4637060.4581400231</v>
      </c>
      <c r="M185" s="13" cm="1">
        <f t="array" ref="M185">+[15]!DELTA_DOWN_11_20</f>
        <v>-3688018.0648657214</v>
      </c>
      <c r="N185" s="32" cm="1">
        <f t="array" ref="N185">+[16]!DELTA_DOWN_11_20</f>
        <v>-3643129.5998034067</v>
      </c>
      <c r="O185" s="13" cm="1">
        <f t="array" ref="O185">+[17]!DELTA_DOWN_11_20</f>
        <v>-3484759.3842598656</v>
      </c>
      <c r="P185" s="13" cm="1">
        <f t="array" ref="P185">+[18]!DELTA_DOWN_11_20</f>
        <v>-3895329.2924293624</v>
      </c>
      <c r="Q185" s="32" cm="1">
        <f t="array" ref="Q185">+[19]!DELTA_DOWN_11_20</f>
        <v>-3911625.307802984</v>
      </c>
      <c r="R185" s="32" cm="1">
        <f t="array" ref="R185">+[20]!DELTA_DOWN_11_20</f>
        <v>-3862015.4105492122</v>
      </c>
      <c r="S185" s="70" cm="1">
        <f t="array" ref="S185">+[22]!DELTA_DOWN_11_20</f>
        <v>-3804620.2977227876</v>
      </c>
      <c r="T185" s="13">
        <f>+B185-SUM(B186:B195)</f>
        <v>0</v>
      </c>
      <c r="U185" s="13">
        <f t="shared" ref="U185:W185" si="147">+C185-SUM(C186:C195)</f>
        <v>0</v>
      </c>
      <c r="V185" s="13">
        <f t="shared" si="147"/>
        <v>0</v>
      </c>
      <c r="W185" s="13">
        <f t="shared" si="147"/>
        <v>0</v>
      </c>
      <c r="X185" s="13">
        <f t="shared" ref="X185" si="148">+F185-SUM(F186:F195)</f>
        <v>0</v>
      </c>
      <c r="Y185" s="13">
        <f t="shared" ref="Y185:AE185" si="149">+G185-SUM(G186:G195)</f>
        <v>0</v>
      </c>
      <c r="Z185" s="13">
        <f t="shared" si="149"/>
        <v>0</v>
      </c>
      <c r="AA185" s="13">
        <f t="shared" si="149"/>
        <v>0</v>
      </c>
      <c r="AB185" s="13">
        <f t="shared" si="149"/>
        <v>0</v>
      </c>
      <c r="AC185" s="13">
        <f t="shared" si="149"/>
        <v>0</v>
      </c>
      <c r="AD185" s="13">
        <f t="shared" si="149"/>
        <v>0</v>
      </c>
      <c r="AE185" s="13">
        <f t="shared" si="149"/>
        <v>0</v>
      </c>
      <c r="AF185" s="13">
        <f t="shared" ref="AF185" si="150">+N185-SUM(N186:N195)</f>
        <v>0</v>
      </c>
      <c r="AG185" s="13">
        <f t="shared" ref="AG185:AH185" si="151">+O185-SUM(O186:O195)</f>
        <v>0</v>
      </c>
      <c r="AH185" s="13">
        <f t="shared" si="151"/>
        <v>0</v>
      </c>
      <c r="AI185" s="13">
        <f t="shared" ref="AI185" si="152">+Q185-SUM(Q186:Q195)</f>
        <v>0</v>
      </c>
      <c r="AJ185" s="13">
        <f t="shared" ref="AJ185:AK185" si="153">+R185-SUM(R186:R195)</f>
        <v>0</v>
      </c>
      <c r="AK185" s="13">
        <f t="shared" si="153"/>
        <v>0</v>
      </c>
    </row>
    <row r="186" spans="1:37" hidden="1" outlineLevel="2" x14ac:dyDescent="0.25">
      <c r="A186" s="16" t="s">
        <v>15</v>
      </c>
      <c r="B186" s="13">
        <f>+[1]Result!$L$15</f>
        <v>-738375.52678863145</v>
      </c>
      <c r="C186" s="13">
        <f>+[5]Result!$L$15</f>
        <v>-714564.51848063432</v>
      </c>
      <c r="D186" s="32">
        <f>+[6]Result!$L$15</f>
        <v>-753774.06257969514</v>
      </c>
      <c r="E186" s="13">
        <f>+[7]Result!$L$15</f>
        <v>-703359.89253284223</v>
      </c>
      <c r="F186" s="13">
        <f>+[8]Result!$L$15</f>
        <v>-722168.99111289717</v>
      </c>
      <c r="G186" s="32">
        <f>+[9]Result!$L$15</f>
        <v>-753107.91626075841</v>
      </c>
      <c r="H186" s="13">
        <f>+[10]Result!$L$15</f>
        <v>-771399.15579395369</v>
      </c>
      <c r="I186" s="13">
        <f>+[11]Result!$L$15</f>
        <v>-770639.81759599783</v>
      </c>
      <c r="J186" s="32">
        <f>+[12]Result!$L$15</f>
        <v>-771791.42226696014</v>
      </c>
      <c r="K186" s="13">
        <f>+[13]Result!$L$15</f>
        <v>-763054.22056954354</v>
      </c>
      <c r="L186" s="13">
        <f>+[14]Result!$L$15</f>
        <v>-790119.10418636166</v>
      </c>
      <c r="M186" s="13">
        <f>+[15]Result!$L$15</f>
        <v>-517577.42776119336</v>
      </c>
      <c r="N186" s="32">
        <f>+[16]Result!$L$15</f>
        <v>-509184.21649007499</v>
      </c>
      <c r="O186" s="13">
        <f>+[17]Result!$L$15</f>
        <v>-482088.21503154375</v>
      </c>
      <c r="P186" s="13">
        <f>+[18]Result!$L$15</f>
        <v>-571109.05713060312</v>
      </c>
      <c r="Q186" s="32">
        <f>+[19]Result!$L$15</f>
        <v>-572387.45775127504</v>
      </c>
      <c r="R186" s="32">
        <f>+[20]Result!$L$15</f>
        <v>-560717.58408973832</v>
      </c>
      <c r="S186" s="70">
        <f>+[22]Result!$L$15</f>
        <v>-551586.27788161766</v>
      </c>
    </row>
    <row r="187" spans="1:37" hidden="1" outlineLevel="2" x14ac:dyDescent="0.25">
      <c r="A187" s="16" t="s">
        <v>16</v>
      </c>
      <c r="B187" s="13">
        <f>+[1]Result!$L$16</f>
        <v>-578502.05832417123</v>
      </c>
      <c r="C187" s="13">
        <f>+[5]Result!$L$16</f>
        <v>-563331.79765155911</v>
      </c>
      <c r="D187" s="32">
        <f>+[6]Result!$L$16</f>
        <v>-571022.79022674356</v>
      </c>
      <c r="E187" s="13">
        <f>+[7]Result!$L$16</f>
        <v>-534842.03838473</v>
      </c>
      <c r="F187" s="13">
        <f>+[8]Result!$L$16</f>
        <v>-548779.65632485319</v>
      </c>
      <c r="G187" s="32">
        <f>+[9]Result!$L$16</f>
        <v>-566262.80925703142</v>
      </c>
      <c r="H187" s="13">
        <f>+[10]Result!$L$16</f>
        <v>-578104.08640667889</v>
      </c>
      <c r="I187" s="13">
        <f>+[11]Result!$L$16</f>
        <v>-579157.15498282667</v>
      </c>
      <c r="J187" s="32">
        <f>+[12]Result!$L$16</f>
        <v>-583370.52679814212</v>
      </c>
      <c r="K187" s="13">
        <f>+[13]Result!$L$16</f>
        <v>-578115.7374895392</v>
      </c>
      <c r="L187" s="13">
        <f>+[14]Result!$L$16</f>
        <v>-597659.02229384426</v>
      </c>
      <c r="M187" s="13">
        <f>+[15]Result!$L$16</f>
        <v>-459443.01118956041</v>
      </c>
      <c r="N187" s="32">
        <f>+[16]Result!$L$16</f>
        <v>-453015.15746157803</v>
      </c>
      <c r="O187" s="13">
        <f>+[17]Result!$L$16</f>
        <v>-429907.59078658465</v>
      </c>
      <c r="P187" s="13">
        <f>+[18]Result!$L$16</f>
        <v>-488935.983572823</v>
      </c>
      <c r="Q187" s="32">
        <f>+[19]Result!$L$16</f>
        <v>-489909.3798473021</v>
      </c>
      <c r="R187" s="32">
        <f>+[20]Result!$L$16</f>
        <v>-480912.39266824815</v>
      </c>
      <c r="S187" s="70">
        <f>+[22]Result!$L$16</f>
        <v>-472239.70235227142</v>
      </c>
    </row>
    <row r="188" spans="1:37" hidden="1" outlineLevel="2" x14ac:dyDescent="0.25">
      <c r="A188" s="16" t="s">
        <v>17</v>
      </c>
      <c r="B188" s="13">
        <f>+[1]Result!$L$17</f>
        <v>-516439.27793727629</v>
      </c>
      <c r="C188" s="13">
        <f>+[5]Result!$L$17</f>
        <v>-504058.92935440876</v>
      </c>
      <c r="D188" s="32">
        <f>+[6]Result!$L$17</f>
        <v>-511124.18733038101</v>
      </c>
      <c r="E188" s="13">
        <f>+[7]Result!$L$17</f>
        <v>-480791.60102442838</v>
      </c>
      <c r="F188" s="13">
        <f>+[8]Result!$L$17</f>
        <v>-493368.82344948873</v>
      </c>
      <c r="G188" s="32">
        <f>+[9]Result!$L$17</f>
        <v>-507895.97694915533</v>
      </c>
      <c r="H188" s="13">
        <f>+[10]Result!$L$17</f>
        <v>-516818.71870091278</v>
      </c>
      <c r="I188" s="13">
        <f>+[11]Result!$L$17</f>
        <v>-518893.12429841515</v>
      </c>
      <c r="J188" s="32">
        <f>+[12]Result!$L$17</f>
        <v>-521056.92748805415</v>
      </c>
      <c r="K188" s="13">
        <f>+[13]Result!$L$17</f>
        <v>-516844.25459575932</v>
      </c>
      <c r="L188" s="13">
        <f>+[14]Result!$L$17</f>
        <v>-533877.66454061773</v>
      </c>
      <c r="M188" s="13">
        <f>+[15]Result!$L$17</f>
        <v>-422671.32367317844</v>
      </c>
      <c r="N188" s="32">
        <f>+[16]Result!$L$17</f>
        <v>-416752.58613084396</v>
      </c>
      <c r="O188" s="13">
        <f>+[17]Result!$L$17</f>
        <v>-396786.16038511647</v>
      </c>
      <c r="P188" s="13">
        <f>+[18]Result!$L$17</f>
        <v>-448966.1948152585</v>
      </c>
      <c r="Q188" s="32">
        <f>+[19]Result!$L$17</f>
        <v>-450393.94475917472</v>
      </c>
      <c r="R188" s="32">
        <f>+[20]Result!$L$17</f>
        <v>-442930.42589155398</v>
      </c>
      <c r="S188" s="70">
        <f>+[22]Result!$L$17</f>
        <v>-435025.9425489381</v>
      </c>
    </row>
    <row r="189" spans="1:37" hidden="1" outlineLevel="2" x14ac:dyDescent="0.25">
      <c r="A189" s="16" t="s">
        <v>18</v>
      </c>
      <c r="B189" s="13">
        <f>+[1]Result!$L$18</f>
        <v>-474658.20832519513</v>
      </c>
      <c r="C189" s="13">
        <f>+[5]Result!$L$18</f>
        <v>-463458.08029620629</v>
      </c>
      <c r="D189" s="32">
        <f>+[6]Result!$L$18</f>
        <v>-471471.6199772926</v>
      </c>
      <c r="E189" s="13">
        <f>+[7]Result!$L$18</f>
        <v>-445504.03567367233</v>
      </c>
      <c r="F189" s="13">
        <f>+[8]Result!$L$18</f>
        <v>-457542.08191260975</v>
      </c>
      <c r="G189" s="32">
        <f>+[9]Result!$L$18</f>
        <v>-473089.62870244496</v>
      </c>
      <c r="H189" s="13">
        <f>+[10]Result!$L$18</f>
        <v>-480831.53992060758</v>
      </c>
      <c r="I189" s="13">
        <f>+[11]Result!$L$18</f>
        <v>-483699.8018773254</v>
      </c>
      <c r="J189" s="32">
        <f>+[12]Result!$L$18</f>
        <v>-486019.02443959843</v>
      </c>
      <c r="K189" s="13">
        <f>+[13]Result!$L$18</f>
        <v>-482370.7552421866</v>
      </c>
      <c r="L189" s="13">
        <f>+[14]Result!$L$18</f>
        <v>-498188.16709424555</v>
      </c>
      <c r="M189" s="13">
        <f>+[15]Result!$L$18</f>
        <v>-406339.12661147909</v>
      </c>
      <c r="N189" s="32">
        <f>+[16]Result!$L$18</f>
        <v>-400631.40234464174</v>
      </c>
      <c r="O189" s="13">
        <f>+[17]Result!$L$18</f>
        <v>-382735.81980815763</v>
      </c>
      <c r="P189" s="13">
        <f>+[18]Result!$L$18</f>
        <v>-430051.25664311694</v>
      </c>
      <c r="Q189" s="32">
        <f>+[19]Result!$L$18</f>
        <v>-431251.69051851006</v>
      </c>
      <c r="R189" s="32">
        <f>+[20]Result!$L$18</f>
        <v>-424820.13139180467</v>
      </c>
      <c r="S189" s="70">
        <f>+[22]Result!$L$18</f>
        <v>-417882.60331661627</v>
      </c>
    </row>
    <row r="190" spans="1:37" hidden="1" outlineLevel="2" x14ac:dyDescent="0.25">
      <c r="A190" s="16" t="s">
        <v>19</v>
      </c>
      <c r="B190" s="13">
        <f>+[1]Result!$L$19</f>
        <v>-446770.5803142963</v>
      </c>
      <c r="C190" s="13">
        <f>+[5]Result!$L$19</f>
        <v>-435673.04403827526</v>
      </c>
      <c r="D190" s="32">
        <f>+[6]Result!$L$19</f>
        <v>-444334.12693647575</v>
      </c>
      <c r="E190" s="13">
        <f>+[7]Result!$L$19</f>
        <v>-421572.74832396954</v>
      </c>
      <c r="F190" s="13">
        <f>+[8]Result!$L$19</f>
        <v>-433047.14541137964</v>
      </c>
      <c r="G190" s="32">
        <f>+[9]Result!$L$19</f>
        <v>-444101.41792278923</v>
      </c>
      <c r="H190" s="13">
        <f>+[10]Result!$L$19</f>
        <v>-451685.12000050209</v>
      </c>
      <c r="I190" s="13">
        <f>+[11]Result!$L$19</f>
        <v>-454587.03393219737</v>
      </c>
      <c r="J190" s="32">
        <f>+[12]Result!$L$19</f>
        <v>-453013.58250959218</v>
      </c>
      <c r="K190" s="13">
        <f>+[13]Result!$L$19</f>
        <v>-450139.38738096459</v>
      </c>
      <c r="L190" s="13">
        <f>+[14]Result!$L$19</f>
        <v>-464799.70597798377</v>
      </c>
      <c r="M190" s="13">
        <f>+[15]Result!$L$19</f>
        <v>-385612.17930738721</v>
      </c>
      <c r="N190" s="32">
        <f>+[16]Result!$L$19</f>
        <v>-380858.11874017399</v>
      </c>
      <c r="O190" s="13">
        <f>+[17]Result!$L$19</f>
        <v>-364595.38560892036</v>
      </c>
      <c r="P190" s="13">
        <f>+[18]Result!$L$19</f>
        <v>-402952.41107308306</v>
      </c>
      <c r="Q190" s="32">
        <f>+[19]Result!$L$19</f>
        <v>-404248.41945329681</v>
      </c>
      <c r="R190" s="32">
        <f>+[20]Result!$L$19</f>
        <v>-399202.89158032509</v>
      </c>
      <c r="S190" s="70">
        <f>+[22]Result!$L$19</f>
        <v>-393183.3597868178</v>
      </c>
    </row>
    <row r="191" spans="1:37" hidden="1" outlineLevel="2" x14ac:dyDescent="0.25">
      <c r="A191" s="16" t="s">
        <v>20</v>
      </c>
      <c r="B191" s="13">
        <f>+[1]Result!$L$20</f>
        <v>-401002.40356953582</v>
      </c>
      <c r="C191" s="13">
        <f>+[5]Result!$L$20</f>
        <v>-391774.00802769559</v>
      </c>
      <c r="D191" s="32">
        <f>+[6]Result!$L$20</f>
        <v>-399666.83350579906</v>
      </c>
      <c r="E191" s="13">
        <f>+[7]Result!$L$20</f>
        <v>-379920.29194015823</v>
      </c>
      <c r="F191" s="13">
        <f>+[8]Result!$L$20</f>
        <v>-390342.87366635678</v>
      </c>
      <c r="G191" s="32">
        <f>+[9]Result!$L$20</f>
        <v>-397431.52136733197</v>
      </c>
      <c r="H191" s="13">
        <f>+[10]Result!$L$20</f>
        <v>-404840.35936944187</v>
      </c>
      <c r="I191" s="13">
        <f>+[11]Result!$L$20</f>
        <v>-407556.35973971896</v>
      </c>
      <c r="J191" s="32">
        <f>+[12]Result!$L$20</f>
        <v>-407861.21832266962</v>
      </c>
      <c r="K191" s="13">
        <f>+[13]Result!$L$20</f>
        <v>-405729.2763989591</v>
      </c>
      <c r="L191" s="13">
        <f>+[14]Result!$L$20</f>
        <v>-418678.3764624577</v>
      </c>
      <c r="M191" s="13">
        <f>+[15]Result!$L$20</f>
        <v>-350770.0860312758</v>
      </c>
      <c r="N191" s="32">
        <f>+[16]Result!$L$20</f>
        <v>-347159.0871804771</v>
      </c>
      <c r="O191" s="13">
        <f>+[17]Result!$L$20</f>
        <v>-333084.1127313599</v>
      </c>
      <c r="P191" s="13">
        <f>+[18]Result!$L$20</f>
        <v>-364942.27121846797</v>
      </c>
      <c r="Q191" s="32">
        <f>+[19]Result!$L$20</f>
        <v>-366837.97649621405</v>
      </c>
      <c r="R191" s="32">
        <f>+[20]Result!$L$20</f>
        <v>-363395.02346196864</v>
      </c>
      <c r="S191" s="70">
        <f>+[22]Result!$L$20</f>
        <v>-358505.75424695853</v>
      </c>
    </row>
    <row r="192" spans="1:37" hidden="1" outlineLevel="2" x14ac:dyDescent="0.25">
      <c r="A192" s="16" t="s">
        <v>21</v>
      </c>
      <c r="B192" s="13">
        <f>+[1]Result!$L$21</f>
        <v>-362544.84963627392</v>
      </c>
      <c r="C192" s="13">
        <f>+[5]Result!$L$21</f>
        <v>-356002.46172140352</v>
      </c>
      <c r="D192" s="32">
        <f>+[6]Result!$L$21</f>
        <v>-363750.59114410495</v>
      </c>
      <c r="E192" s="13">
        <f>+[7]Result!$L$21</f>
        <v>-346225.71973573882</v>
      </c>
      <c r="F192" s="13">
        <f>+[8]Result!$L$21</f>
        <v>-355993.53131926339</v>
      </c>
      <c r="G192" s="32">
        <f>+[9]Result!$L$21</f>
        <v>-361148.95833494747</v>
      </c>
      <c r="H192" s="13">
        <f>+[10]Result!$L$21</f>
        <v>-367901.98135269992</v>
      </c>
      <c r="I192" s="13">
        <f>+[11]Result!$L$21</f>
        <v>-371002.56227775104</v>
      </c>
      <c r="J192" s="32">
        <f>+[12]Result!$L$21</f>
        <v>-372873.4469321603</v>
      </c>
      <c r="K192" s="13">
        <f>+[13]Result!$L$21</f>
        <v>-371351.86186495563</v>
      </c>
      <c r="L192" s="13">
        <f>+[14]Result!$L$21</f>
        <v>-382977.02150872536</v>
      </c>
      <c r="M192" s="13">
        <f>+[15]Result!$L$21</f>
        <v>-322847.54666874092</v>
      </c>
      <c r="N192" s="32">
        <f>+[16]Result!$L$21</f>
        <v>-319863.85564385401</v>
      </c>
      <c r="O192" s="13">
        <f>+[17]Result!$L$21</f>
        <v>-307625.38645385718</v>
      </c>
      <c r="P192" s="13">
        <f>+[18]Result!$L$21</f>
        <v>-334852.78065650119</v>
      </c>
      <c r="Q192" s="32">
        <f>+[19]Result!$L$21</f>
        <v>-337161.642469774</v>
      </c>
      <c r="R192" s="32">
        <f>+[20]Result!$L$21</f>
        <v>-334725.85927714081</v>
      </c>
      <c r="S192" s="70">
        <f>+[22]Result!$L$21</f>
        <v>-330478.98439603066</v>
      </c>
    </row>
    <row r="193" spans="1:37" hidden="1" outlineLevel="2" x14ac:dyDescent="0.25">
      <c r="A193" s="16" t="s">
        <v>22</v>
      </c>
      <c r="B193" s="13">
        <f>+[1]Result!$L$22</f>
        <v>-315991.73567600967</v>
      </c>
      <c r="C193" s="13">
        <f>+[5]Result!$L$22</f>
        <v>-311813.26178043662</v>
      </c>
      <c r="D193" s="32">
        <f>+[6]Result!$L$22</f>
        <v>-320938.67027466977</v>
      </c>
      <c r="E193" s="13">
        <f>+[7]Result!$L$22</f>
        <v>-305597.91554661794</v>
      </c>
      <c r="F193" s="13">
        <f>+[8]Result!$L$22</f>
        <v>-314485.89815908577</v>
      </c>
      <c r="G193" s="32">
        <f>+[9]Result!$L$22</f>
        <v>-318427.41705683433</v>
      </c>
      <c r="H193" s="13">
        <f>+[10]Result!$L$22</f>
        <v>-324244.52947559534</v>
      </c>
      <c r="I193" s="13">
        <f>+[11]Result!$L$22</f>
        <v>-327304.88624500809</v>
      </c>
      <c r="J193" s="32">
        <f>+[12]Result!$L$22</f>
        <v>-332638.31269910885</v>
      </c>
      <c r="K193" s="13">
        <f>+[13]Result!$L$22</f>
        <v>-331611.89440499386</v>
      </c>
      <c r="L193" s="13">
        <f>+[14]Result!$L$22</f>
        <v>-341992.33770492859</v>
      </c>
      <c r="M193" s="13">
        <f>+[15]Result!$L$22</f>
        <v>-291874.57157827774</v>
      </c>
      <c r="N193" s="32">
        <f>+[16]Result!$L$22</f>
        <v>-289394.61423130496</v>
      </c>
      <c r="O193" s="13">
        <f>+[17]Result!$L$22</f>
        <v>-278887.49453647714</v>
      </c>
      <c r="P193" s="13">
        <f>+[18]Result!$L$22</f>
        <v>-303640.55414646957</v>
      </c>
      <c r="Q193" s="32">
        <f>+[19]Result!$L$22</f>
        <v>-305784.18050811184</v>
      </c>
      <c r="R193" s="32">
        <f>+[20]Result!$L$22</f>
        <v>-304024.21861971519</v>
      </c>
      <c r="S193" s="70">
        <f>+[22]Result!$L$22</f>
        <v>-300534.78834796534</v>
      </c>
    </row>
    <row r="194" spans="1:37" hidden="1" outlineLevel="2" x14ac:dyDescent="0.25">
      <c r="A194" s="16" t="s">
        <v>23</v>
      </c>
      <c r="B194" s="13">
        <f>+[1]Result!$L$23</f>
        <v>-281264.01022452023</v>
      </c>
      <c r="C194" s="13">
        <f>+[5]Result!$L$23</f>
        <v>-278052.26956997253</v>
      </c>
      <c r="D194" s="32">
        <f>+[6]Result!$L$23</f>
        <v>-290259.17101853061</v>
      </c>
      <c r="E194" s="13">
        <f>+[7]Result!$L$23</f>
        <v>-276588.2935262362</v>
      </c>
      <c r="F194" s="13">
        <f>+[8]Result!$L$23</f>
        <v>-284823.69683544082</v>
      </c>
      <c r="G194" s="32">
        <f>+[9]Result!$L$23</f>
        <v>-290228.67266515968</v>
      </c>
      <c r="H194" s="13">
        <f>+[10]Result!$L$23</f>
        <v>-295334.98079307261</v>
      </c>
      <c r="I194" s="13">
        <f>+[11]Result!$L$23</f>
        <v>-298324.77097806614</v>
      </c>
      <c r="J194" s="32">
        <f>+[12]Result!$L$23</f>
        <v>-306930.52558505163</v>
      </c>
      <c r="K194" s="13">
        <f>+[13]Result!$L$23</f>
        <v>-306116.07865097187</v>
      </c>
      <c r="L194" s="13">
        <f>+[14]Result!$L$23</f>
        <v>-315685.24356546602</v>
      </c>
      <c r="M194" s="13">
        <f>+[15]Result!$L$23</f>
        <v>-274525.61620945903</v>
      </c>
      <c r="N194" s="32">
        <f>+[16]Result!$L$23</f>
        <v>-272249.67765838373</v>
      </c>
      <c r="O194" s="13">
        <f>+[17]Result!$L$23</f>
        <v>-262991.84877159982</v>
      </c>
      <c r="P194" s="13">
        <f>+[18]Result!$L$23</f>
        <v>-285484.40231586038</v>
      </c>
      <c r="Q194" s="32">
        <f>+[19]Result!$L$23</f>
        <v>-287483.23036710126</v>
      </c>
      <c r="R194" s="32">
        <f>+[20]Result!$L$23</f>
        <v>-286159.56671404932</v>
      </c>
      <c r="S194" s="70">
        <f>+[22]Result!$L$23</f>
        <v>-283006.98340837657</v>
      </c>
    </row>
    <row r="195" spans="1:37" hidden="1" outlineLevel="2" x14ac:dyDescent="0.25">
      <c r="A195" s="16" t="s">
        <v>24</v>
      </c>
      <c r="B195" s="13">
        <f>+[1]Result!$L$24</f>
        <v>-264648.36252363981</v>
      </c>
      <c r="C195" s="13">
        <f>+[5]Result!$L$24</f>
        <v>-260981.28780075093</v>
      </c>
      <c r="D195" s="32">
        <f>+[6]Result!$L$24</f>
        <v>-271455.86116139707</v>
      </c>
      <c r="E195" s="13">
        <f>+[7]Result!$L$24</f>
        <v>-259459.4221826659</v>
      </c>
      <c r="F195" s="13">
        <f>+[8]Result!$L$24</f>
        <v>-267346.5732558996</v>
      </c>
      <c r="G195" s="32">
        <f>+[9]Result!$L$24</f>
        <v>-271264.461864301</v>
      </c>
      <c r="H195" s="13">
        <f>+[10]Result!$L$24</f>
        <v>-275766.4956609807</v>
      </c>
      <c r="I195" s="13">
        <f>+[11]Result!$L$24</f>
        <v>-278720.80228575179</v>
      </c>
      <c r="J195" s="32">
        <f>+[12]Result!$L$24</f>
        <v>-285126.60846119211</v>
      </c>
      <c r="K195" s="13">
        <f>+[13]Result!$L$24</f>
        <v>-284477.07154582022</v>
      </c>
      <c r="L195" s="13">
        <f>+[14]Result!$L$24</f>
        <v>-293083.81480539194</v>
      </c>
      <c r="M195" s="13">
        <f>+[15]Result!$L$24</f>
        <v>-256357.17583516915</v>
      </c>
      <c r="N195" s="32">
        <f>+[16]Result!$L$24</f>
        <v>-254020.88392207376</v>
      </c>
      <c r="O195" s="13">
        <f>+[17]Result!$L$24</f>
        <v>-246057.37014624849</v>
      </c>
      <c r="P195" s="13">
        <f>+[18]Result!$L$24</f>
        <v>-264394.38085717871</v>
      </c>
      <c r="Q195" s="32">
        <f>+[19]Result!$L$24</f>
        <v>-266167.38563222438</v>
      </c>
      <c r="R195" s="32">
        <f>+[20]Result!$L$24</f>
        <v>-265127.31685466808</v>
      </c>
      <c r="S195" s="70">
        <f>+[22]Result!$L$24</f>
        <v>-262175.90143719525</v>
      </c>
    </row>
    <row r="196" spans="1:37" hidden="1" outlineLevel="1" x14ac:dyDescent="0.25">
      <c r="A196" s="15" t="s">
        <v>25</v>
      </c>
      <c r="B196" s="13" cm="1">
        <f t="array" ref="B196">+[1]!DELTA_21_30</f>
        <v>-1290532.5813413421</v>
      </c>
      <c r="C196" s="13" cm="1">
        <f t="array" ref="C196">+[5]!DELTA_21_30</f>
        <v>-1263932.0168167606</v>
      </c>
      <c r="D196" s="32" cm="1">
        <f t="array" ref="D196">+[6]!DELTA_21_30</f>
        <v>-1306768.6454333388</v>
      </c>
      <c r="E196" s="13" cm="1">
        <f t="array" ref="E196">+[7]!DELTA_21_30</f>
        <v>-1268491.5202696619</v>
      </c>
      <c r="F196" s="13" cm="1">
        <f t="array" ref="F196">+[8]!DELTA_21_30</f>
        <v>-1302211.2920463972</v>
      </c>
      <c r="G196" s="32" cm="1">
        <f t="array" ref="G196">+[9]!DELTA_21_30</f>
        <v>-1335628.9462379545</v>
      </c>
      <c r="H196" s="13" cm="1">
        <f t="array" ref="H196">+[10]!DELTA_21_30</f>
        <v>-1351679.6608201591</v>
      </c>
      <c r="I196" s="13" cm="1">
        <f t="array" ref="I196">+[11]!DELTA_21_30</f>
        <v>-1365474.3522441699</v>
      </c>
      <c r="J196" s="32" cm="1">
        <f t="array" ref="J196">+[12]!DELTA_21_30</f>
        <v>-1442621.6943064251</v>
      </c>
      <c r="K196" s="13" cm="1">
        <f t="array" ref="K196">+[13]!DELTA_21_30</f>
        <v>-1441665.8246854069</v>
      </c>
      <c r="L196" s="13" cm="1">
        <f t="array" ref="L196">+[14]!DELTA_21_30</f>
        <v>-1473498.2084474454</v>
      </c>
      <c r="M196" s="13" cm="1">
        <f t="array" ref="M196">+[15]!DELTA_21_30</f>
        <v>-1123135.1465318191</v>
      </c>
      <c r="N196" s="32" cm="1">
        <f t="array" ref="N196">+[16]!DELTA_21_30</f>
        <v>-1114839.055949386</v>
      </c>
      <c r="O196" s="13" cm="1">
        <f t="array" ref="O196">+[17]!DELTA_21_30</f>
        <v>-1088995.4434972091</v>
      </c>
      <c r="P196" s="13" cm="1">
        <f t="array" ref="P196">+[18]!DELTA_21_30</f>
        <v>-1169162.4350755571</v>
      </c>
      <c r="Q196" s="32" cm="1">
        <f t="array" ref="Q196">+[19]!DELTA_21_30</f>
        <v>-1173755.701498576</v>
      </c>
      <c r="R196" s="32" cm="1">
        <f t="array" ref="R196">+[20]!DELTA_21_30</f>
        <v>-1171581.1671234337</v>
      </c>
      <c r="S196" s="70" cm="1">
        <f t="array" ref="S196">+[22]!DELTA_21_30</f>
        <v>-1161939.0064784288</v>
      </c>
      <c r="T196" s="13">
        <f>+B196-SUM(B197:B206)</f>
        <v>0</v>
      </c>
      <c r="U196" s="13">
        <f t="shared" ref="U196:W196" si="154">+C196-SUM(C197:C206)</f>
        <v>0</v>
      </c>
      <c r="V196" s="13">
        <f t="shared" si="154"/>
        <v>0</v>
      </c>
      <c r="W196" s="13">
        <f t="shared" si="154"/>
        <v>0</v>
      </c>
      <c r="X196" s="13">
        <f t="shared" ref="X196" si="155">+F196-SUM(F197:F206)</f>
        <v>0</v>
      </c>
      <c r="Y196" s="13">
        <f t="shared" ref="Y196:AE196" si="156">+G196-SUM(G197:G206)</f>
        <v>0</v>
      </c>
      <c r="Z196" s="13">
        <f t="shared" si="156"/>
        <v>0</v>
      </c>
      <c r="AA196" s="13">
        <f t="shared" si="156"/>
        <v>0</v>
      </c>
      <c r="AB196" s="13">
        <f t="shared" si="156"/>
        <v>0</v>
      </c>
      <c r="AC196" s="13">
        <f t="shared" si="156"/>
        <v>0</v>
      </c>
      <c r="AD196" s="13">
        <f t="shared" si="156"/>
        <v>0</v>
      </c>
      <c r="AE196" s="13">
        <f t="shared" si="156"/>
        <v>0</v>
      </c>
      <c r="AF196" s="13">
        <f t="shared" ref="AF196" si="157">+N196-SUM(N197:N206)</f>
        <v>0</v>
      </c>
      <c r="AG196" s="13">
        <f t="shared" ref="AG196:AH196" si="158">+O196-SUM(O197:O206)</f>
        <v>0</v>
      </c>
      <c r="AH196" s="13">
        <f t="shared" si="158"/>
        <v>0</v>
      </c>
      <c r="AI196" s="13">
        <f t="shared" ref="AI196" si="159">+Q196-SUM(Q197:Q206)</f>
        <v>0</v>
      </c>
      <c r="AJ196" s="13">
        <f t="shared" ref="AJ196:AK196" si="160">+R196-SUM(R197:R206)</f>
        <v>0</v>
      </c>
      <c r="AK196" s="13">
        <f t="shared" si="160"/>
        <v>0</v>
      </c>
    </row>
    <row r="197" spans="1:37" hidden="1" outlineLevel="2" x14ac:dyDescent="0.25">
      <c r="A197" s="16" t="s">
        <v>26</v>
      </c>
      <c r="B197" s="13">
        <f>+[1]Result!$L$25</f>
        <v>-235168.14016957814</v>
      </c>
      <c r="C197" s="13">
        <f>+[5]Result!$L$25</f>
        <v>-231091.38590548513</v>
      </c>
      <c r="D197" s="32">
        <f>+[6]Result!$L$25</f>
        <v>-238858.79136569519</v>
      </c>
      <c r="E197" s="13">
        <f>+[7]Result!$L$25</f>
        <v>-229353.94529118808</v>
      </c>
      <c r="F197" s="13">
        <f>+[8]Result!$L$25</f>
        <v>-236424.08922504517</v>
      </c>
      <c r="G197" s="32">
        <f>+[9]Result!$L$25</f>
        <v>-239426.71965375729</v>
      </c>
      <c r="H197" s="13">
        <f>+[10]Result!$L$25</f>
        <v>-243173.47209644807</v>
      </c>
      <c r="I197" s="13">
        <f>+[11]Result!$L$25</f>
        <v>-245886.77164095803</v>
      </c>
      <c r="J197" s="32">
        <f>+[12]Result!$L$25</f>
        <v>-253095.38773303619</v>
      </c>
      <c r="K197" s="13">
        <f>+[13]Result!$L$25</f>
        <v>-252575.37206996628</v>
      </c>
      <c r="L197" s="13">
        <f>+[14]Result!$L$25</f>
        <v>-259808.6632041852</v>
      </c>
      <c r="M197" s="13">
        <f>+[15]Result!$L$25</f>
        <v>-222615.64597398601</v>
      </c>
      <c r="N197" s="32">
        <f>+[16]Result!$L$25</f>
        <v>-220583.25365171069</v>
      </c>
      <c r="O197" s="13">
        <f>+[17]Result!$L$25</f>
        <v>-214201.67595354374</v>
      </c>
      <c r="P197" s="13">
        <f>+[18]Result!$L$25</f>
        <v>-229015.32975432952</v>
      </c>
      <c r="Q197" s="32">
        <f>+[19]Result!$L$25</f>
        <v>-230303.24638615758</v>
      </c>
      <c r="R197" s="32">
        <f>+[20]Result!$L$25</f>
        <v>-229527.17155310744</v>
      </c>
      <c r="S197" s="70">
        <f>+[22]Result!$L$25</f>
        <v>-227138.8337772754</v>
      </c>
    </row>
    <row r="198" spans="1:37" hidden="1" outlineLevel="2" x14ac:dyDescent="0.25">
      <c r="A198" s="16" t="s">
        <v>27</v>
      </c>
      <c r="B198" s="13">
        <f>+[1]Result!$L$26</f>
        <v>-206869.24124588794</v>
      </c>
      <c r="C198" s="13">
        <f>+[5]Result!$L$26</f>
        <v>-202825.62052801251</v>
      </c>
      <c r="D198" s="32">
        <f>+[6]Result!$L$26</f>
        <v>-208296.93773523252</v>
      </c>
      <c r="E198" s="13">
        <f>+[7]Result!$L$26</f>
        <v>-200953.08108421438</v>
      </c>
      <c r="F198" s="13">
        <f>+[8]Result!$L$26</f>
        <v>-206982.79427103442</v>
      </c>
      <c r="G198" s="32">
        <f>+[9]Result!$L$26</f>
        <v>-209394.97534660436</v>
      </c>
      <c r="H198" s="13">
        <f>+[10]Result!$L$26</f>
        <v>-212324.29371191794</v>
      </c>
      <c r="I198" s="13">
        <f>+[11]Result!$L$26</f>
        <v>-214703.86779383663</v>
      </c>
      <c r="J198" s="32">
        <f>+[12]Result!$L$26</f>
        <v>-222761.02223181538</v>
      </c>
      <c r="K198" s="13">
        <f>+[13]Result!$L$26</f>
        <v>-222517.76006934023</v>
      </c>
      <c r="L198" s="13">
        <f>+[14]Result!$L$26</f>
        <v>-228289.68176388764</v>
      </c>
      <c r="M198" s="13">
        <f>+[15]Result!$L$26</f>
        <v>-190306.76029730577</v>
      </c>
      <c r="N198" s="32">
        <f>+[16]Result!$L$26</f>
        <v>-188767.36473033088</v>
      </c>
      <c r="O198" s="13">
        <f>+[17]Result!$L$26</f>
        <v>-183591.36796137388</v>
      </c>
      <c r="P198" s="13">
        <f>+[18]Result!$L$26</f>
        <v>-195925.74339068483</v>
      </c>
      <c r="Q198" s="32">
        <f>+[19]Result!$L$26</f>
        <v>-196923.93214547238</v>
      </c>
      <c r="R198" s="32">
        <f>+[20]Result!$L$26</f>
        <v>-196373.70343690529</v>
      </c>
      <c r="S198" s="70">
        <f>+[22]Result!$L$26</f>
        <v>-194544.63962224883</v>
      </c>
    </row>
    <row r="199" spans="1:37" hidden="1" outlineLevel="2" x14ac:dyDescent="0.25">
      <c r="A199" s="16" t="s">
        <v>28</v>
      </c>
      <c r="B199" s="13">
        <f>+[1]Result!$L$27</f>
        <v>-179747.956894045</v>
      </c>
      <c r="C199" s="13">
        <f>+[5]Result!$L$27</f>
        <v>-175880.39290193934</v>
      </c>
      <c r="D199" s="32">
        <f>+[6]Result!$L$27</f>
        <v>-180433.82109033177</v>
      </c>
      <c r="E199" s="13">
        <f>+[7]Result!$L$27</f>
        <v>-174696.80489128537</v>
      </c>
      <c r="F199" s="13">
        <f>+[8]Result!$L$27</f>
        <v>-179709.33910278848</v>
      </c>
      <c r="G199" s="32">
        <f>+[9]Result!$L$27</f>
        <v>-182152.16413110553</v>
      </c>
      <c r="H199" s="13">
        <f>+[10]Result!$L$27</f>
        <v>-184527.92580631084</v>
      </c>
      <c r="I199" s="13">
        <f>+[11]Result!$L$27</f>
        <v>-186517.50011373789</v>
      </c>
      <c r="J199" s="32">
        <f>+[12]Result!$L$27</f>
        <v>-196081.47192467737</v>
      </c>
      <c r="K199" s="13">
        <f>+[13]Result!$L$27</f>
        <v>-195936.66680029943</v>
      </c>
      <c r="L199" s="13">
        <f>+[14]Result!$L$27</f>
        <v>-200650.69763647381</v>
      </c>
      <c r="M199" s="13">
        <f>+[15]Result!$L$27</f>
        <v>-162755.76354240288</v>
      </c>
      <c r="N199" s="32">
        <f>+[16]Result!$L$27</f>
        <v>-161480.24246351584</v>
      </c>
      <c r="O199" s="13">
        <f>+[17]Result!$L$27</f>
        <v>-157406.07109799166</v>
      </c>
      <c r="P199" s="13">
        <f>+[18]Result!$L$27</f>
        <v>-168560.79007067461</v>
      </c>
      <c r="Q199" s="32">
        <f>+[19]Result!$L$27</f>
        <v>-169331.27359519328</v>
      </c>
      <c r="R199" s="32">
        <f>+[20]Result!$L$27</f>
        <v>-168986.77053260675</v>
      </c>
      <c r="S199" s="70">
        <f>+[22]Result!$L$27</f>
        <v>-167475.78750015236</v>
      </c>
    </row>
    <row r="200" spans="1:37" hidden="1" outlineLevel="2" x14ac:dyDescent="0.25">
      <c r="A200" s="16" t="s">
        <v>29</v>
      </c>
      <c r="B200" s="13">
        <f>+[1]Result!$L$28</f>
        <v>-156491.57581113535</v>
      </c>
      <c r="C200" s="13">
        <f>+[5]Result!$L$28</f>
        <v>-152867.99597029155</v>
      </c>
      <c r="D200" s="32">
        <f>+[6]Result!$L$28</f>
        <v>-157706.95615894685</v>
      </c>
      <c r="E200" s="13">
        <f>+[7]Result!$L$28</f>
        <v>-153178.16951371357</v>
      </c>
      <c r="F200" s="13">
        <f>+[8]Result!$L$28</f>
        <v>-157294.30465725821</v>
      </c>
      <c r="G200" s="32">
        <f>+[9]Result!$L$28</f>
        <v>-162083.82057532528</v>
      </c>
      <c r="H200" s="13">
        <f>+[10]Result!$L$28</f>
        <v>-164084.79756558826</v>
      </c>
      <c r="I200" s="13">
        <f>+[11]Result!$L$28</f>
        <v>-165884.62386025058</v>
      </c>
      <c r="J200" s="32">
        <f>+[12]Result!$L$28</f>
        <v>-176187.43332862784</v>
      </c>
      <c r="K200" s="13">
        <f>+[13]Result!$L$28</f>
        <v>-176122.15901537577</v>
      </c>
      <c r="L200" s="13">
        <f>+[14]Result!$L$28</f>
        <v>-180067.46568807773</v>
      </c>
      <c r="M200" s="13">
        <f>+[15]Result!$L$28</f>
        <v>-142695.80451395456</v>
      </c>
      <c r="N200" s="32">
        <f>+[16]Result!$L$28</f>
        <v>-141617.48723240849</v>
      </c>
      <c r="O200" s="13">
        <f>+[17]Result!$L$28</f>
        <v>-138431.40788135014</v>
      </c>
      <c r="P200" s="13">
        <f>+[18]Result!$L$28</f>
        <v>-148116.75999357132</v>
      </c>
      <c r="Q200" s="32">
        <f>+[19]Result!$L$28</f>
        <v>-148627.46233203076</v>
      </c>
      <c r="R200" s="32">
        <f>+[20]Result!$L$28</f>
        <v>-148432.857513514</v>
      </c>
      <c r="S200" s="70">
        <f>+[22]Result!$L$28</f>
        <v>-147180.35260082665</v>
      </c>
    </row>
    <row r="201" spans="1:37" hidden="1" outlineLevel="2" x14ac:dyDescent="0.25">
      <c r="A201" s="16" t="s">
        <v>30</v>
      </c>
      <c r="B201" s="13">
        <f>+[1]Result!$L$29</f>
        <v>-140359.56369811797</v>
      </c>
      <c r="C201" s="13">
        <f>+[5]Result!$L$29</f>
        <v>-137077.21637648821</v>
      </c>
      <c r="D201" s="32">
        <f>+[6]Result!$L$29</f>
        <v>-141112.50273947918</v>
      </c>
      <c r="E201" s="13">
        <f>+[7]Result!$L$29</f>
        <v>-137438.02807530505</v>
      </c>
      <c r="F201" s="13">
        <f>+[8]Result!$L$29</f>
        <v>-140890.19448964635</v>
      </c>
      <c r="G201" s="32">
        <f>+[9]Result!$L$29</f>
        <v>-144555.54035372788</v>
      </c>
      <c r="H201" s="13">
        <f>+[10]Result!$L$29</f>
        <v>-146225.3441802318</v>
      </c>
      <c r="I201" s="13">
        <f>+[11]Result!$L$29</f>
        <v>-147690.03837109287</v>
      </c>
      <c r="J201" s="32">
        <f>+[12]Result!$L$29</f>
        <v>-155085.60603734455</v>
      </c>
      <c r="K201" s="13">
        <f>+[13]Result!$L$29</f>
        <v>-155076.722007973</v>
      </c>
      <c r="L201" s="13">
        <f>+[14]Result!$L$29</f>
        <v>-158218.91409065865</v>
      </c>
      <c r="M201" s="13">
        <f>+[15]Result!$L$29</f>
        <v>-120953.23433946213</v>
      </c>
      <c r="N201" s="32">
        <f>+[16]Result!$L$29</f>
        <v>-120131.66801899584</v>
      </c>
      <c r="O201" s="13">
        <f>+[17]Result!$L$29</f>
        <v>-117664.55700379529</v>
      </c>
      <c r="P201" s="13">
        <f>+[18]Result!$L$29</f>
        <v>-124091.45729499706</v>
      </c>
      <c r="Q201" s="32">
        <f>+[19]Result!$L$29</f>
        <v>-124444.3456860446</v>
      </c>
      <c r="R201" s="32">
        <f>+[20]Result!$L$29</f>
        <v>-124307.12291352847</v>
      </c>
      <c r="S201" s="70">
        <f>+[22]Result!$L$29</f>
        <v>-123379.00812957413</v>
      </c>
    </row>
    <row r="202" spans="1:37" hidden="1" outlineLevel="2" x14ac:dyDescent="0.25">
      <c r="A202" s="16" t="s">
        <v>31</v>
      </c>
      <c r="B202" s="13">
        <f>+[1]Result!$L$30</f>
        <v>-113857.51162560959</v>
      </c>
      <c r="C202" s="13">
        <f>+[5]Result!$L$30</f>
        <v>-111307.27747935278</v>
      </c>
      <c r="D202" s="32">
        <f>+[6]Result!$L$30</f>
        <v>-113688.02819473762</v>
      </c>
      <c r="E202" s="13">
        <f>+[7]Result!$L$30</f>
        <v>-111054.15045545052</v>
      </c>
      <c r="F202" s="13">
        <f>+[8]Result!$L$30</f>
        <v>-113742.70748757722</v>
      </c>
      <c r="G202" s="32">
        <f>+[9]Result!$L$30</f>
        <v>-115666.45847027423</v>
      </c>
      <c r="H202" s="13">
        <f>+[10]Result!$L$30</f>
        <v>-116899.11964075163</v>
      </c>
      <c r="I202" s="13">
        <f>+[11]Result!$L$30</f>
        <v>-117987.29786732607</v>
      </c>
      <c r="J202" s="32">
        <f>+[12]Result!$L$30</f>
        <v>-125597.44884568965</v>
      </c>
      <c r="K202" s="13">
        <f>+[13]Result!$L$30</f>
        <v>-125561.80334576301</v>
      </c>
      <c r="L202" s="13">
        <f>+[14]Result!$L$30</f>
        <v>-127909.74199078954</v>
      </c>
      <c r="M202" s="13">
        <f>+[15]Result!$L$30</f>
        <v>-90808.562659665884</v>
      </c>
      <c r="N202" s="32">
        <f>+[16]Result!$L$30</f>
        <v>-90252.111187740695</v>
      </c>
      <c r="O202" s="13">
        <f>+[17]Result!$L$30</f>
        <v>-88513.549586967914</v>
      </c>
      <c r="P202" s="13">
        <f>+[18]Result!$L$30</f>
        <v>-93200.104566276772</v>
      </c>
      <c r="Q202" s="32">
        <f>+[19]Result!$L$30</f>
        <v>-93467.35092447378</v>
      </c>
      <c r="R202" s="32">
        <f>+[20]Result!$L$30</f>
        <v>-93393.268905239238</v>
      </c>
      <c r="S202" s="70">
        <f>+[22]Result!$L$30</f>
        <v>-92717.778811805125</v>
      </c>
    </row>
    <row r="203" spans="1:37" hidden="1" outlineLevel="2" x14ac:dyDescent="0.25">
      <c r="A203" s="16" t="s">
        <v>32</v>
      </c>
      <c r="B203" s="13">
        <f>+[1]Result!$L$31</f>
        <v>-89206.808487794304</v>
      </c>
      <c r="C203" s="13">
        <f>+[5]Result!$L$31</f>
        <v>-87343.91443697334</v>
      </c>
      <c r="D203" s="32">
        <f>+[6]Result!$L$31</f>
        <v>-89261.089436754875</v>
      </c>
      <c r="E203" s="13">
        <f>+[7]Result!$L$31</f>
        <v>-87400.696141365624</v>
      </c>
      <c r="F203" s="13">
        <f>+[8]Result!$L$31</f>
        <v>-89368.930211902712</v>
      </c>
      <c r="G203" s="32">
        <f>+[9]Result!$L$31</f>
        <v>-90752.5098630875</v>
      </c>
      <c r="H203" s="13">
        <f>+[10]Result!$L$31</f>
        <v>-91590.241079115134</v>
      </c>
      <c r="I203" s="13">
        <f>+[11]Result!$L$31</f>
        <v>-92452.402106513851</v>
      </c>
      <c r="J203" s="32">
        <f>+[12]Result!$L$31</f>
        <v>-100279.17453125055</v>
      </c>
      <c r="K203" s="13">
        <f>+[13]Result!$L$31</f>
        <v>-100319.8526305565</v>
      </c>
      <c r="L203" s="13">
        <f>+[14]Result!$L$31</f>
        <v>-101986.35141621961</v>
      </c>
      <c r="M203" s="13">
        <f>+[15]Result!$L$31</f>
        <v>-64156.90039007517</v>
      </c>
      <c r="N203" s="32">
        <f>+[16]Result!$L$31</f>
        <v>-63814.589394681563</v>
      </c>
      <c r="O203" s="13">
        <f>+[17]Result!$L$31</f>
        <v>-62694.87620688678</v>
      </c>
      <c r="P203" s="13">
        <f>+[18]Result!$L$31</f>
        <v>-65739.480659433379</v>
      </c>
      <c r="Q203" s="32">
        <f>+[19]Result!$L$31</f>
        <v>-65888.87483339163</v>
      </c>
      <c r="R203" s="32">
        <f>+[20]Result!$L$31</f>
        <v>-65864.563743130217</v>
      </c>
      <c r="S203" s="70">
        <f>+[22]Result!$L$31</f>
        <v>-65435.489318185311</v>
      </c>
    </row>
    <row r="204" spans="1:37" hidden="1" outlineLevel="2" x14ac:dyDescent="0.25">
      <c r="A204" s="16" t="s">
        <v>33</v>
      </c>
      <c r="B204" s="13">
        <f>+[1]Result!$L$32</f>
        <v>-66423.652306209027</v>
      </c>
      <c r="C204" s="13">
        <f>+[5]Result!$L$32</f>
        <v>-65077.50145870389</v>
      </c>
      <c r="D204" s="32">
        <f>+[6]Result!$L$32</f>
        <v>-66642.014139964536</v>
      </c>
      <c r="E204" s="13">
        <f>+[7]Result!$L$32</f>
        <v>-65363.152377062594</v>
      </c>
      <c r="F204" s="13">
        <f>+[8]Result!$L$32</f>
        <v>-66736.135643813119</v>
      </c>
      <c r="G204" s="32">
        <f>+[9]Result!$L$32</f>
        <v>-67921.791567587585</v>
      </c>
      <c r="H204" s="13">
        <f>+[10]Result!$L$32</f>
        <v>-68452.650716454256</v>
      </c>
      <c r="I204" s="13">
        <f>+[11]Result!$L$32</f>
        <v>-69019.383151039423</v>
      </c>
      <c r="J204" s="32">
        <f>+[12]Result!$L$32</f>
        <v>-78366.682774047309</v>
      </c>
      <c r="K204" s="13">
        <f>+[13]Result!$L$32</f>
        <v>-78388.021846196731</v>
      </c>
      <c r="L204" s="13">
        <f>+[14]Result!$L$32</f>
        <v>-79594.720312438149</v>
      </c>
      <c r="M204" s="13">
        <f>+[15]Result!$L$32</f>
        <v>-43942.712463701901</v>
      </c>
      <c r="N204" s="32">
        <f>+[16]Result!$L$32</f>
        <v>-43703.906567521859</v>
      </c>
      <c r="O204" s="13">
        <f>+[17]Result!$L$32</f>
        <v>-43042.764425388392</v>
      </c>
      <c r="P204" s="13">
        <f>+[18]Result!$L$32</f>
        <v>-48296.281733497366</v>
      </c>
      <c r="Q204" s="32">
        <f>+[19]Result!$L$32</f>
        <v>-48378.225866715948</v>
      </c>
      <c r="R204" s="32">
        <f>+[20]Result!$L$32</f>
        <v>-48349.466882844165</v>
      </c>
      <c r="S204" s="70">
        <f>+[22]Result!$L$32</f>
        <v>-48105.563097420818</v>
      </c>
    </row>
    <row r="205" spans="1:37" hidden="1" outlineLevel="2" x14ac:dyDescent="0.25">
      <c r="A205" s="16" t="s">
        <v>34</v>
      </c>
      <c r="B205" s="13">
        <f>+[1]Result!$L$33</f>
        <v>-49712.174198979803</v>
      </c>
      <c r="C205" s="13">
        <f>+[5]Result!$L$33</f>
        <v>-48723.23084322561</v>
      </c>
      <c r="D205" s="32">
        <f>+[6]Result!$L$33</f>
        <v>-53981.928632066847</v>
      </c>
      <c r="E205" s="13">
        <f>+[7]Result!$L$33</f>
        <v>-53079.264202174236</v>
      </c>
      <c r="F205" s="13">
        <f>+[8]Result!$L$33</f>
        <v>-54128.310981425137</v>
      </c>
      <c r="G205" s="32">
        <f>+[9]Result!$L$33</f>
        <v>-60507.685824803339</v>
      </c>
      <c r="H205" s="13">
        <f>+[10]Result!$L$33</f>
        <v>-60887.725806955277</v>
      </c>
      <c r="I205" s="13">
        <f>+[11]Result!$L$33</f>
        <v>-61356.824485118617</v>
      </c>
      <c r="J205" s="32">
        <f>+[12]Result!$L$33</f>
        <v>-70967.588960277149</v>
      </c>
      <c r="K205" s="13">
        <f>+[13]Result!$L$33</f>
        <v>-70967.588960277149</v>
      </c>
      <c r="L205" s="13">
        <f>+[14]Result!$L$33</f>
        <v>-71975.707862194744</v>
      </c>
      <c r="M205" s="13">
        <f>+[15]Result!$L$33</f>
        <v>-41693.404740958038</v>
      </c>
      <c r="N205" s="32">
        <f>+[16]Result!$L$33</f>
        <v>-41456.988583630678</v>
      </c>
      <c r="O205" s="13">
        <f>+[17]Result!$L$33</f>
        <v>-40907.374883900629</v>
      </c>
      <c r="P205" s="13">
        <f>+[18]Result!$L$33</f>
        <v>-48507.477756574255</v>
      </c>
      <c r="Q205" s="32">
        <f>+[19]Result!$L$33</f>
        <v>-48593.333725393866</v>
      </c>
      <c r="R205" s="32">
        <f>+[20]Result!$L$33</f>
        <v>-48577.145999403292</v>
      </c>
      <c r="S205" s="70">
        <f>+[22]Result!$L$33</f>
        <v>-48379.037821902166</v>
      </c>
    </row>
    <row r="206" spans="1:37" hidden="1" outlineLevel="2" x14ac:dyDescent="0.25">
      <c r="A206" s="16" t="s">
        <v>35</v>
      </c>
      <c r="B206" s="13">
        <f>+[1]Result!$L$34</f>
        <v>-52695.956903985003</v>
      </c>
      <c r="C206" s="13">
        <f>+[5]Result!$L$34</f>
        <v>-51737.480916288448</v>
      </c>
      <c r="D206" s="32">
        <f>+[6]Result!$L$34</f>
        <v>-56786.575940129464</v>
      </c>
      <c r="E206" s="13">
        <f>+[7]Result!$L$34</f>
        <v>-55974.228237902513</v>
      </c>
      <c r="F206" s="13">
        <f>+[8]Result!$L$34</f>
        <v>-56934.485975906427</v>
      </c>
      <c r="G206" s="32">
        <f>+[9]Result!$L$34</f>
        <v>-63167.280451681698</v>
      </c>
      <c r="H206" s="13">
        <f>+[10]Result!$L$34</f>
        <v>-63514.090216385986</v>
      </c>
      <c r="I206" s="13">
        <f>+[11]Result!$L$34</f>
        <v>-63975.642854296078</v>
      </c>
      <c r="J206" s="32">
        <f>+[12]Result!$L$34</f>
        <v>-64199.877939658967</v>
      </c>
      <c r="K206" s="13">
        <f>+[13]Result!$L$34</f>
        <v>-64199.877939658967</v>
      </c>
      <c r="L206" s="13">
        <f>+[14]Result!$L$34</f>
        <v>-64996.264482520288</v>
      </c>
      <c r="M206" s="13">
        <f>+[15]Result!$L$34</f>
        <v>-43206.357610306615</v>
      </c>
      <c r="N206" s="32">
        <f>+[16]Result!$L$34</f>
        <v>-43031.44411884938</v>
      </c>
      <c r="O206" s="13">
        <f>+[17]Result!$L$34</f>
        <v>-42541.798496010568</v>
      </c>
      <c r="P206" s="13">
        <f>+[18]Result!$L$34</f>
        <v>-47709.009855517885</v>
      </c>
      <c r="Q206" s="32">
        <f>+[19]Result!$L$34</f>
        <v>-47797.656003701966</v>
      </c>
      <c r="R206" s="32">
        <f>+[20]Result!$L$34</f>
        <v>-47769.095643154986</v>
      </c>
      <c r="S206" s="70">
        <f>+[22]Result!$L$34</f>
        <v>-47582.515799037996</v>
      </c>
    </row>
    <row r="207" spans="1:37" hidden="1" outlineLevel="1" x14ac:dyDescent="0.25">
      <c r="A207" s="15" t="s">
        <v>36</v>
      </c>
      <c r="B207" s="13" cm="1">
        <f t="array" ref="B207">+[1]!DELTA_DOWN_31_50</f>
        <v>-105949.92867134635</v>
      </c>
      <c r="C207" s="13" cm="1">
        <f t="array" ref="C207">+[5]!DELTA_DOWN_31_50</f>
        <v>-104583.85380518541</v>
      </c>
      <c r="D207" s="32" cm="1">
        <f t="array" ref="D207">+[6]!DELTA_DOWN_31_50</f>
        <v>-111334.63742312703</v>
      </c>
      <c r="E207" s="13" cm="1">
        <f t="array" ref="E207">+[7]!DELTA_DOWN_31_50</f>
        <v>-110251.21244557343</v>
      </c>
      <c r="F207" s="13" cm="1">
        <f t="array" ref="F207">+[8]!DELTA_DOWN_31_50</f>
        <v>-111515.88576127417</v>
      </c>
      <c r="G207" s="32" cm="1">
        <f t="array" ref="G207">+[9]!DELTA_DOWN_31_50</f>
        <v>-119725.30186872836</v>
      </c>
      <c r="H207" s="13" cm="1">
        <f t="array" ref="H207">+[10]!DELTA_DOWN_31_50</f>
        <v>-120142.80925656985</v>
      </c>
      <c r="I207" s="13" cm="1">
        <f t="array" ref="I207">+[11]!DELTA_DOWN_31_50</f>
        <v>-120638.50866940297</v>
      </c>
      <c r="J207" s="32" cm="1">
        <f t="array" ref="J207">+[12]!DELTA_DOWN_31_50</f>
        <v>-124817.84712946581</v>
      </c>
      <c r="K207" s="13" cm="1">
        <f t="array" ref="K207">+[13]!DELTA_DOWN_31_50</f>
        <v>-124823.7580708263</v>
      </c>
      <c r="L207" s="13" cm="1">
        <f t="array" ref="L207">+[14]!DELTA_DOWN_31_50</f>
        <v>-125636.77362072137</v>
      </c>
      <c r="M207" s="13" cm="1">
        <f t="array" ref="M207">+[15]!DELTA_DOWN_31_50</f>
        <v>-60687.875433885412</v>
      </c>
      <c r="N207" s="32" cm="1">
        <f t="array" ref="N207">+[16]!DELTA_DOWN_31_50</f>
        <v>-60601.987665392953</v>
      </c>
      <c r="O207" s="13" cm="1">
        <f t="array" ref="O207">+[17]!DELTA_DOWN_31_50</f>
        <v>-60272.936889026983</v>
      </c>
      <c r="P207" s="13" cm="1">
        <f t="array" ref="P207">+[18]!DELTA_DOWN_31_50</f>
        <v>-84860.34433734999</v>
      </c>
      <c r="Q207" s="32" cm="1">
        <f t="array" ref="Q207">+[19]!DELTA_DOWN_31_50</f>
        <v>-84936.151087042206</v>
      </c>
      <c r="R207" s="32" cm="1">
        <f t="array" ref="R207">+[20]!DELTA_DOWN_31_50</f>
        <v>-84914.734238590318</v>
      </c>
      <c r="S207" s="70" cm="1">
        <f t="array" ref="S207">+[22]!DELTA_DOWN_31_50</f>
        <v>-84753.595408953086</v>
      </c>
      <c r="T207" s="13">
        <f>+B207-SUM(B208:B227)</f>
        <v>0</v>
      </c>
      <c r="U207" s="13">
        <f t="shared" ref="U207:W207" si="161">+C207-SUM(C208:C227)</f>
        <v>0</v>
      </c>
      <c r="V207" s="13">
        <f t="shared" si="161"/>
        <v>0</v>
      </c>
      <c r="W207" s="13">
        <f t="shared" si="161"/>
        <v>0</v>
      </c>
      <c r="X207" s="13">
        <f t="shared" ref="X207" si="162">+F207-SUM(F208:F227)</f>
        <v>0</v>
      </c>
      <c r="Y207" s="13">
        <f t="shared" ref="Y207:AE207" si="163">+G207-SUM(G208:G227)</f>
        <v>0</v>
      </c>
      <c r="Z207" s="13">
        <f t="shared" si="163"/>
        <v>0</v>
      </c>
      <c r="AA207" s="13">
        <f t="shared" si="163"/>
        <v>0</v>
      </c>
      <c r="AB207" s="13">
        <f t="shared" si="163"/>
        <v>0</v>
      </c>
      <c r="AC207" s="13">
        <f t="shared" si="163"/>
        <v>0</v>
      </c>
      <c r="AD207" s="13">
        <f t="shared" si="163"/>
        <v>0</v>
      </c>
      <c r="AE207" s="13">
        <f t="shared" si="163"/>
        <v>0</v>
      </c>
      <c r="AF207" s="13">
        <f t="shared" ref="AF207" si="164">+N207-SUM(N208:N227)</f>
        <v>0</v>
      </c>
      <c r="AG207" s="13">
        <f t="shared" ref="AG207:AH207" si="165">+O207-SUM(O208:O227)</f>
        <v>0</v>
      </c>
      <c r="AH207" s="13">
        <f t="shared" si="165"/>
        <v>0</v>
      </c>
      <c r="AI207" s="13">
        <f t="shared" ref="AI207" si="166">+Q207-SUM(Q208:Q227)</f>
        <v>0</v>
      </c>
      <c r="AJ207" s="13">
        <f t="shared" ref="AJ207:AK207" si="167">+R207-SUM(R208:R227)</f>
        <v>0</v>
      </c>
      <c r="AK207" s="13">
        <f t="shared" si="167"/>
        <v>0</v>
      </c>
    </row>
    <row r="208" spans="1:37" hidden="1" outlineLevel="2" x14ac:dyDescent="0.25">
      <c r="A208" s="16" t="s">
        <v>37</v>
      </c>
      <c r="B208" s="13">
        <f>+[1]Result!$L$35</f>
        <v>-30280.757340738957</v>
      </c>
      <c r="C208" s="13">
        <f>+[5]Result!$L$35</f>
        <v>-29776.622822773148</v>
      </c>
      <c r="D208" s="32">
        <f>+[6]Result!$L$35</f>
        <v>-32273.861221571249</v>
      </c>
      <c r="E208" s="13">
        <f>+[7]Result!$L$35</f>
        <v>-31848.238226792339</v>
      </c>
      <c r="F208" s="13">
        <f>+[8]Result!$L$35</f>
        <v>-32333.984892910987</v>
      </c>
      <c r="G208" s="32">
        <f>+[9]Result!$L$35</f>
        <v>-35117.799177328183</v>
      </c>
      <c r="H208" s="13">
        <f>+[10]Result!$L$35</f>
        <v>-35288.723749335579</v>
      </c>
      <c r="I208" s="13">
        <f>+[11]Result!$L$35</f>
        <v>-35511.454245878762</v>
      </c>
      <c r="J208" s="32">
        <f>+[12]Result!$L$35</f>
        <v>-35904.947480480914</v>
      </c>
      <c r="K208" s="13">
        <f>+[13]Result!$L$35</f>
        <v>-35924.321021236159</v>
      </c>
      <c r="L208" s="13">
        <f>+[14]Result!$L$35</f>
        <v>-36287.91052239477</v>
      </c>
      <c r="M208" s="13">
        <f>+[15]Result!$L$35</f>
        <v>-22461.532591951036</v>
      </c>
      <c r="N208" s="32">
        <f>+[16]Result!$L$35</f>
        <v>-22403.646776746595</v>
      </c>
      <c r="O208" s="13">
        <f>+[17]Result!$L$35</f>
        <v>-22190.00011165961</v>
      </c>
      <c r="P208" s="13">
        <f>+[18]Result!$L$35</f>
        <v>-25727.648034484911</v>
      </c>
      <c r="Q208" s="32">
        <f>+[19]Result!$L$35</f>
        <v>-25778.229260299981</v>
      </c>
      <c r="R208" s="32">
        <f>+[20]Result!$L$35</f>
        <v>-25759.844998541594</v>
      </c>
      <c r="S208" s="70">
        <f>+[22]Result!$L$35</f>
        <v>-25659.154965803638</v>
      </c>
    </row>
    <row r="209" spans="1:19" hidden="1" outlineLevel="2" x14ac:dyDescent="0.25">
      <c r="A209" s="16" t="s">
        <v>38</v>
      </c>
      <c r="B209" s="13">
        <f>+[1]Result!$L$36</f>
        <v>-18601.842130646619</v>
      </c>
      <c r="C209" s="13">
        <f>+[5]Result!$L$36</f>
        <v>-18320.637413274249</v>
      </c>
      <c r="D209" s="32">
        <f>+[6]Result!$L$36</f>
        <v>-19496.157874118537</v>
      </c>
      <c r="E209" s="13">
        <f>+[7]Result!$L$36</f>
        <v>-19262.436724332088</v>
      </c>
      <c r="F209" s="13">
        <f>+[8]Result!$L$36</f>
        <v>-19535.046264066477</v>
      </c>
      <c r="G209" s="32">
        <f>+[9]Result!$L$36</f>
        <v>-20845.693949541746</v>
      </c>
      <c r="H209" s="13">
        <f>+[10]Result!$L$36</f>
        <v>-20931.599324266979</v>
      </c>
      <c r="I209" s="13">
        <f>+[11]Result!$L$36</f>
        <v>-21043.856592059281</v>
      </c>
      <c r="J209" s="32">
        <f>+[12]Result!$L$36</f>
        <v>-21873.286074363088</v>
      </c>
      <c r="K209" s="13">
        <f>+[13]Result!$L$36</f>
        <v>-21881.530814198966</v>
      </c>
      <c r="L209" s="13">
        <f>+[14]Result!$L$36</f>
        <v>-22068.791776018479</v>
      </c>
      <c r="M209" s="13">
        <f>+[15]Result!$L$36</f>
        <v>-11242.905369454536</v>
      </c>
      <c r="N209" s="32">
        <f>+[16]Result!$L$36</f>
        <v>-11210.665566170595</v>
      </c>
      <c r="O209" s="13">
        <f>+[17]Result!$L$36</f>
        <v>-11121.656691476994</v>
      </c>
      <c r="P209" s="13">
        <f>+[18]Result!$L$36</f>
        <v>-14041.893915288121</v>
      </c>
      <c r="Q209" s="32">
        <f>+[19]Result!$L$36</f>
        <v>-14062.088102770453</v>
      </c>
      <c r="R209" s="32">
        <f>+[20]Result!$L$36</f>
        <v>-14059.270311634049</v>
      </c>
      <c r="S209" s="70">
        <f>+[22]Result!$L$36</f>
        <v>-14013.268170294403</v>
      </c>
    </row>
    <row r="210" spans="1:19" hidden="1" outlineLevel="2" x14ac:dyDescent="0.25">
      <c r="A210" s="16" t="s">
        <v>39</v>
      </c>
      <c r="B210" s="13">
        <f>+[1]Result!$L$37</f>
        <v>-13332.420601750055</v>
      </c>
      <c r="C210" s="13">
        <f>+[5]Result!$L$37</f>
        <v>-13148.779463976418</v>
      </c>
      <c r="D210" s="32">
        <f>+[6]Result!$L$37</f>
        <v>-14004.354302797015</v>
      </c>
      <c r="E210" s="13">
        <f>+[7]Result!$L$37</f>
        <v>-13861.025811682615</v>
      </c>
      <c r="F210" s="13">
        <f>+[8]Result!$L$37</f>
        <v>-14033.788222881762</v>
      </c>
      <c r="G210" s="32">
        <f>+[9]Result!$L$37</f>
        <v>-14949.734044670731</v>
      </c>
      <c r="H210" s="13">
        <f>+[10]Result!$L$37</f>
        <v>-15003.016307350983</v>
      </c>
      <c r="I210" s="13">
        <f>+[11]Result!$L$37</f>
        <v>-15069.523244746524</v>
      </c>
      <c r="J210" s="32">
        <f>+[12]Result!$L$37</f>
        <v>-16198.888139831128</v>
      </c>
      <c r="K210" s="13">
        <f>+[13]Result!$L$37</f>
        <v>-16193.59693369615</v>
      </c>
      <c r="L210" s="13">
        <f>+[14]Result!$L$37</f>
        <v>-16316.204580892649</v>
      </c>
      <c r="M210" s="13">
        <f>+[15]Result!$L$37</f>
        <v>-6898.3272100202412</v>
      </c>
      <c r="N210" s="32">
        <f>+[16]Result!$L$37</f>
        <v>-6880.8139438160761</v>
      </c>
      <c r="O210" s="13">
        <f>+[17]Result!$L$37</f>
        <v>-6836.9038274988452</v>
      </c>
      <c r="P210" s="13">
        <f>+[18]Result!$L$37</f>
        <v>-9516.1435371265798</v>
      </c>
      <c r="Q210" s="32">
        <f>+[19]Result!$L$37</f>
        <v>-9524.9461778819496</v>
      </c>
      <c r="R210" s="32">
        <f>+[20]Result!$L$37</f>
        <v>-9526.443631136779</v>
      </c>
      <c r="S210" s="70">
        <f>+[22]Result!$L$37</f>
        <v>-9502.630279210498</v>
      </c>
    </row>
    <row r="211" spans="1:19" hidden="1" outlineLevel="2" x14ac:dyDescent="0.25">
      <c r="A211" s="16" t="s">
        <v>40</v>
      </c>
      <c r="B211" s="13">
        <f>+[1]Result!$L$38</f>
        <v>-11213.464624539556</v>
      </c>
      <c r="C211" s="13">
        <f>+[5]Result!$L$38</f>
        <v>-11072.000250884143</v>
      </c>
      <c r="D211" s="32">
        <f>+[6]Result!$L$38</f>
        <v>-11840.884723880146</v>
      </c>
      <c r="E211" s="13">
        <f>+[7]Result!$L$38</f>
        <v>-11736.632752268401</v>
      </c>
      <c r="F211" s="13">
        <f>+[8]Result!$L$38</f>
        <v>-11861.696815393276</v>
      </c>
      <c r="G211" s="32">
        <f>+[9]Result!$L$38</f>
        <v>-12658.009406438621</v>
      </c>
      <c r="H211" s="13">
        <f>+[10]Result!$L$38</f>
        <v>-12705.677288385406</v>
      </c>
      <c r="I211" s="13">
        <f>+[11]Result!$L$38</f>
        <v>-12750.286372949973</v>
      </c>
      <c r="J211" s="32">
        <f>+[12]Result!$L$38</f>
        <v>-13271.575344910118</v>
      </c>
      <c r="K211" s="13">
        <f>+[13]Result!$L$38</f>
        <v>-13267.111298678734</v>
      </c>
      <c r="L211" s="13">
        <f>+[14]Result!$L$38</f>
        <v>-13346.107709551587</v>
      </c>
      <c r="M211" s="13">
        <f>+[15]Result!$L$38</f>
        <v>-4938.8399439553614</v>
      </c>
      <c r="N211" s="32">
        <f>+[16]Result!$L$38</f>
        <v>-4930.2695906805639</v>
      </c>
      <c r="O211" s="13">
        <f>+[17]Result!$L$38</f>
        <v>-4907.2819204146072</v>
      </c>
      <c r="P211" s="13">
        <f>+[18]Result!$L$38</f>
        <v>-7076.2475543021428</v>
      </c>
      <c r="Q211" s="32">
        <f>+[19]Result!$L$38</f>
        <v>-7079.2025931858298</v>
      </c>
      <c r="R211" s="32">
        <f>+[20]Result!$L$38</f>
        <v>-7082.7539326345395</v>
      </c>
      <c r="S211" s="70">
        <f>+[22]Result!$L$38</f>
        <v>-7070.4770914673609</v>
      </c>
    </row>
    <row r="212" spans="1:19" hidden="1" outlineLevel="2" x14ac:dyDescent="0.25">
      <c r="A212" s="16" t="s">
        <v>41</v>
      </c>
      <c r="B212" s="13">
        <f>+[1]Result!$L$39</f>
        <v>-9248.1025342425637</v>
      </c>
      <c r="C212" s="13">
        <f>+[5]Result!$L$39</f>
        <v>-9150.8307494997134</v>
      </c>
      <c r="D212" s="32">
        <f>+[6]Result!$L$39</f>
        <v>-9498.0741509107756</v>
      </c>
      <c r="E212" s="13">
        <f>+[7]Result!$L$39</f>
        <v>-9427.2359301076431</v>
      </c>
      <c r="F212" s="13">
        <f>+[8]Result!$L$39</f>
        <v>-9513.0854960991346</v>
      </c>
      <c r="G212" s="32">
        <f>+[9]Result!$L$39</f>
        <v>-10016.515145725425</v>
      </c>
      <c r="H212" s="13">
        <f>+[10]Result!$L$39</f>
        <v>-10053.1390621791</v>
      </c>
      <c r="I212" s="13">
        <f>+[11]Result!$L$39</f>
        <v>-10081.104539701653</v>
      </c>
      <c r="J212" s="32">
        <f>+[12]Result!$L$39</f>
        <v>-10281.743753532042</v>
      </c>
      <c r="K212" s="13">
        <f>+[13]Result!$L$39</f>
        <v>-10278.185433372309</v>
      </c>
      <c r="L212" s="13">
        <f>+[14]Result!$L$39</f>
        <v>-10324.883829377632</v>
      </c>
      <c r="M212" s="13">
        <f>+[15]Result!$L$39</f>
        <v>-3223.3030520794491</v>
      </c>
      <c r="N212" s="32">
        <f>+[16]Result!$L$39</f>
        <v>-3220.2757150290799</v>
      </c>
      <c r="O212" s="13">
        <f>+[17]Result!$L$39</f>
        <v>-3208.4636398326147</v>
      </c>
      <c r="P212" s="13">
        <f>+[18]Result!$L$39</f>
        <v>-4909.1712043131902</v>
      </c>
      <c r="Q212" s="32">
        <f>+[19]Result!$L$39</f>
        <v>-4911.2233300354474</v>
      </c>
      <c r="R212" s="32">
        <f>+[20]Result!$L$39</f>
        <v>-4909.6331442670416</v>
      </c>
      <c r="S212" s="70">
        <f>+[22]Result!$L$39</f>
        <v>-4904.7672074516704</v>
      </c>
    </row>
    <row r="213" spans="1:19" hidden="1" outlineLevel="2" x14ac:dyDescent="0.25">
      <c r="A213" s="16" t="s">
        <v>42</v>
      </c>
      <c r="B213" s="13">
        <f>+[1]Result!$L$40</f>
        <v>-6442.4009618246928</v>
      </c>
      <c r="C213" s="13">
        <f>+[5]Result!$L$40</f>
        <v>-6382.7646775988615</v>
      </c>
      <c r="D213" s="32">
        <f>+[6]Result!$L$40</f>
        <v>-6652.3444401772758</v>
      </c>
      <c r="E213" s="13">
        <f>+[7]Result!$L$40</f>
        <v>-6610.2523784339464</v>
      </c>
      <c r="F213" s="13">
        <f>+[8]Result!$L$40</f>
        <v>-6660.4750384364634</v>
      </c>
      <c r="G213" s="32">
        <f>+[9]Result!$L$40</f>
        <v>-7097.8785682594098</v>
      </c>
      <c r="H213" s="13">
        <f>+[10]Result!$L$40</f>
        <v>-7112.8518643635653</v>
      </c>
      <c r="I213" s="13">
        <f>+[11]Result!$L$40</f>
        <v>-7127.655107541701</v>
      </c>
      <c r="J213" s="32">
        <f>+[12]Result!$L$40</f>
        <v>-7490.8668860843864</v>
      </c>
      <c r="K213" s="13">
        <f>+[13]Result!$L$40</f>
        <v>-7486.8526994671702</v>
      </c>
      <c r="L213" s="13">
        <f>+[14]Result!$L$40</f>
        <v>-7510.6347768744745</v>
      </c>
      <c r="M213" s="13">
        <f>+[15]Result!$L$40</f>
        <v>-1442.9021693564728</v>
      </c>
      <c r="N213" s="32">
        <f>+[16]Result!$L$40</f>
        <v>-1442.6612539814141</v>
      </c>
      <c r="O213" s="13">
        <f>+[17]Result!$L$40</f>
        <v>-1439.7168671453155</v>
      </c>
      <c r="P213" s="13">
        <f>+[18]Result!$L$40</f>
        <v>-2955.5354377986678</v>
      </c>
      <c r="Q213" s="32">
        <f>+[19]Result!$L$40</f>
        <v>-2956.7976834896763</v>
      </c>
      <c r="R213" s="32">
        <f>+[20]Result!$L$40</f>
        <v>-2955.8618013266841</v>
      </c>
      <c r="S213" s="70">
        <f>+[22]Result!$L$40</f>
        <v>-2952.5838144927475</v>
      </c>
    </row>
    <row r="214" spans="1:19" hidden="1" outlineLevel="2" x14ac:dyDescent="0.25">
      <c r="A214" s="16" t="s">
        <v>43</v>
      </c>
      <c r="B214" s="13">
        <f>+[1]Result!$L$41</f>
        <v>-4750.880047365441</v>
      </c>
      <c r="C214" s="13">
        <f>+[5]Result!$L$41</f>
        <v>-4711.7900827289668</v>
      </c>
      <c r="D214" s="32">
        <f>+[6]Result!$L$41</f>
        <v>-4976.2426150246029</v>
      </c>
      <c r="E214" s="13">
        <f>+[7]Result!$L$41</f>
        <v>-4950.9965305654587</v>
      </c>
      <c r="F214" s="13">
        <f>+[8]Result!$L$41</f>
        <v>-4980.5203273392108</v>
      </c>
      <c r="G214" s="32">
        <f>+[9]Result!$L$41</f>
        <v>-5355.8936759671415</v>
      </c>
      <c r="H214" s="13">
        <f>+[10]Result!$L$41</f>
        <v>-5363.9011543150191</v>
      </c>
      <c r="I214" s="13">
        <f>+[11]Result!$L$41</f>
        <v>-5370.4653501617631</v>
      </c>
      <c r="J214" s="32">
        <f>+[12]Result!$L$41</f>
        <v>-5829.152483764552</v>
      </c>
      <c r="K214" s="13">
        <f>+[13]Result!$L$41</f>
        <v>-5825.9692002002121</v>
      </c>
      <c r="L214" s="13">
        <f>+[14]Result!$L$41</f>
        <v>-5835.6867589348258</v>
      </c>
      <c r="M214" s="13">
        <f>+[15]Result!$L$41</f>
        <v>-446.17981150541618</v>
      </c>
      <c r="N214" s="32">
        <f>+[16]Result!$L$41</f>
        <v>-446.44643476250349</v>
      </c>
      <c r="O214" s="13">
        <f>+[17]Result!$L$41</f>
        <v>-446.24528401452289</v>
      </c>
      <c r="P214" s="13">
        <f>+[18]Result!$L$41</f>
        <v>-1833.274732619725</v>
      </c>
      <c r="Q214" s="32">
        <f>+[19]Result!$L$41</f>
        <v>-1833.1868489110775</v>
      </c>
      <c r="R214" s="32">
        <f>+[20]Result!$L$41</f>
        <v>-1833.5178999918262</v>
      </c>
      <c r="S214" s="70">
        <f>+[22]Result!$L$41</f>
        <v>-1832.8232528297704</v>
      </c>
    </row>
    <row r="215" spans="1:19" hidden="1" outlineLevel="2" x14ac:dyDescent="0.25">
      <c r="A215" s="16" t="s">
        <v>44</v>
      </c>
      <c r="B215" s="13">
        <f>+[1]Result!$L$42</f>
        <v>-3715.2698431958488</v>
      </c>
      <c r="C215" s="13">
        <f>+[5]Result!$L$42</f>
        <v>-3691.4048043288058</v>
      </c>
      <c r="D215" s="32">
        <f>+[6]Result!$L$42</f>
        <v>-3992.0572573222253</v>
      </c>
      <c r="E215" s="13">
        <f>+[7]Result!$L$42</f>
        <v>-3974.1891851131422</v>
      </c>
      <c r="F215" s="13">
        <f>+[8]Result!$L$42</f>
        <v>-3994.7440501670881</v>
      </c>
      <c r="G215" s="32">
        <f>+[9]Result!$L$42</f>
        <v>-4359.7653217897114</v>
      </c>
      <c r="H215" s="13">
        <f>+[10]Result!$L$42</f>
        <v>-4363.6715195202778</v>
      </c>
      <c r="I215" s="13">
        <f>+[11]Result!$L$42</f>
        <v>-4368.4478226646224</v>
      </c>
      <c r="J215" s="32">
        <f>+[12]Result!$L$42</f>
        <v>-4876.6262151611681</v>
      </c>
      <c r="K215" s="13">
        <f>+[13]Result!$L$42</f>
        <v>-4873.8716728314848</v>
      </c>
      <c r="L215" s="13">
        <f>+[14]Result!$L$42</f>
        <v>-4874.836044679083</v>
      </c>
      <c r="M215" s="13">
        <f>+[15]Result!$L$42</f>
        <v>-110.72653586825714</v>
      </c>
      <c r="N215" s="32">
        <f>+[16]Result!$L$42</f>
        <v>-110.89710807154751</v>
      </c>
      <c r="O215" s="13">
        <f>+[17]Result!$L$42</f>
        <v>-111.00007290961116</v>
      </c>
      <c r="P215" s="13">
        <f>+[18]Result!$L$42</f>
        <v>-1506.6412612401336</v>
      </c>
      <c r="Q215" s="32">
        <f>+[19]Result!$L$42</f>
        <v>-1505.5803721474185</v>
      </c>
      <c r="R215" s="32">
        <f>+[20]Result!$L$42</f>
        <v>-1505.5803721474185</v>
      </c>
      <c r="S215" s="70">
        <f>+[22]Result!$L$42</f>
        <v>-1506.3492627160376</v>
      </c>
    </row>
    <row r="216" spans="1:19" hidden="1" outlineLevel="2" x14ac:dyDescent="0.25">
      <c r="A216" s="16" t="s">
        <v>45</v>
      </c>
      <c r="B216" s="13">
        <f>+[1]Result!$L$43</f>
        <v>-3396.5174079383869</v>
      </c>
      <c r="C216" s="13">
        <f>+[5]Result!$L$43</f>
        <v>-3377.9522567323565</v>
      </c>
      <c r="D216" s="32">
        <f>+[6]Result!$L$43</f>
        <v>-3665.4779319540012</v>
      </c>
      <c r="E216" s="13">
        <f>+[7]Result!$L$43</f>
        <v>-3651.8077150466943</v>
      </c>
      <c r="F216" s="13">
        <f>+[8]Result!$L$43</f>
        <v>-3667.2620337346234</v>
      </c>
      <c r="G216" s="32">
        <f>+[9]Result!$L$43</f>
        <v>-3931.1031502011665</v>
      </c>
      <c r="H216" s="13">
        <f>+[10]Result!$L$43</f>
        <v>-3931.612458336047</v>
      </c>
      <c r="I216" s="13">
        <f>+[11]Result!$L$43</f>
        <v>-3932.6486351996828</v>
      </c>
      <c r="J216" s="32">
        <f>+[12]Result!$L$43</f>
        <v>-4055.5171000846422</v>
      </c>
      <c r="K216" s="13">
        <f>+[13]Result!$L$43</f>
        <v>-4055.3386220132688</v>
      </c>
      <c r="L216" s="13">
        <f>+[14]Result!$L$43</f>
        <v>-4051.0866015332776</v>
      </c>
      <c r="M216" s="13">
        <f>+[15]Result!$L$43</f>
        <v>20.404995408212208</v>
      </c>
      <c r="N216" s="32">
        <f>+[16]Result!$L$43</f>
        <v>20.451657302280161</v>
      </c>
      <c r="O216" s="13">
        <f>+[17]Result!$L$43</f>
        <v>20.501986614736268</v>
      </c>
      <c r="P216" s="13">
        <f>+[18]Result!$L$43</f>
        <v>-990.28942252372372</v>
      </c>
      <c r="Q216" s="32">
        <f>+[19]Result!$L$43</f>
        <v>-989.62876603245923</v>
      </c>
      <c r="R216" s="32">
        <f>+[20]Result!$L$43</f>
        <v>-989.62876603245923</v>
      </c>
      <c r="S216" s="70">
        <f>+[22]Result!$L$43</f>
        <v>-989.95310496633556</v>
      </c>
    </row>
    <row r="217" spans="1:19" hidden="1" outlineLevel="2" x14ac:dyDescent="0.25">
      <c r="A217" s="16" t="s">
        <v>46</v>
      </c>
      <c r="B217" s="13">
        <f>+[1]Result!$L$44</f>
        <v>-2779.7999152096854</v>
      </c>
      <c r="C217" s="13">
        <f>+[5]Result!$L$44</f>
        <v>-2767.0966928057969</v>
      </c>
      <c r="D217" s="32">
        <f>+[6]Result!$L$44</f>
        <v>-2727.8598402068019</v>
      </c>
      <c r="E217" s="13">
        <f>+[7]Result!$L$44</f>
        <v>-2721.7692726803216</v>
      </c>
      <c r="F217" s="13">
        <f>+[8]Result!$L$44</f>
        <v>-2728.6946414024133</v>
      </c>
      <c r="G217" s="32">
        <f>+[9]Result!$L$44</f>
        <v>-2981.070698744812</v>
      </c>
      <c r="H217" s="13">
        <f>+[10]Result!$L$44</f>
        <v>-2979.7999355492866</v>
      </c>
      <c r="I217" s="13">
        <f>+[11]Result!$L$44</f>
        <v>-2978.1454807470218</v>
      </c>
      <c r="J217" s="32">
        <f>+[12]Result!$L$44</f>
        <v>-2777.5309459680238</v>
      </c>
      <c r="K217" s="13">
        <f>+[13]Result!$L$44</f>
        <v>-2779.3948195959592</v>
      </c>
      <c r="L217" s="13">
        <f>+[14]Result!$L$44</f>
        <v>-2772.5838418732274</v>
      </c>
      <c r="M217" s="13">
        <f>+[15]Result!$L$44</f>
        <v>113.29036762020291</v>
      </c>
      <c r="N217" s="32">
        <f>+[16]Result!$L$44</f>
        <v>113.61112303844573</v>
      </c>
      <c r="O217" s="13">
        <f>+[17]Result!$L$44</f>
        <v>114.00247328273895</v>
      </c>
      <c r="P217" s="13">
        <f>+[18]Result!$L$44</f>
        <v>-723.76918485371402</v>
      </c>
      <c r="Q217" s="32">
        <f>+[19]Result!$L$44</f>
        <v>-723.82181027312686</v>
      </c>
      <c r="R217" s="32">
        <f>+[20]Result!$L$44</f>
        <v>-723.82181027312686</v>
      </c>
      <c r="S217" s="70">
        <f>+[22]Result!$L$44</f>
        <v>-724.41755325793497</v>
      </c>
    </row>
    <row r="218" spans="1:19" hidden="1" outlineLevel="2" x14ac:dyDescent="0.25">
      <c r="A218" s="16" t="s">
        <v>47</v>
      </c>
      <c r="B218" s="13">
        <f>+[1]Result!$L$45</f>
        <v>-1140.2500127222938</v>
      </c>
      <c r="C218" s="13">
        <f>+[5]Result!$L$45</f>
        <v>-1136.9576433494167</v>
      </c>
      <c r="D218" s="32">
        <f>+[6]Result!$L$45</f>
        <v>-1139.5456206597851</v>
      </c>
      <c r="E218" s="13">
        <f>+[7]Result!$L$45</f>
        <v>-1138.4460468916682</v>
      </c>
      <c r="F218" s="13">
        <f>+[8]Result!$L$45</f>
        <v>-1139.6885552066969</v>
      </c>
      <c r="G218" s="32">
        <f>+[9]Result!$L$45</f>
        <v>-1250.4895377218554</v>
      </c>
      <c r="H218" s="13">
        <f>+[10]Result!$L$45</f>
        <v>-1249.2840121297995</v>
      </c>
      <c r="I218" s="13">
        <f>+[11]Result!$L$45</f>
        <v>-1247.836659872281</v>
      </c>
      <c r="J218" s="32">
        <f>+[12]Result!$L$45</f>
        <v>-1161.1664862100429</v>
      </c>
      <c r="K218" s="13">
        <f>+[13]Result!$L$45</f>
        <v>-1161.0803247027784</v>
      </c>
      <c r="L218" s="13">
        <f>+[14]Result!$L$45</f>
        <v>-1157.2632965649632</v>
      </c>
      <c r="M218" s="13">
        <f>+[15]Result!$L$45</f>
        <v>-5962.8150248871316</v>
      </c>
      <c r="N218" s="32">
        <f>+[16]Result!$L$45</f>
        <v>-5979.8895239664962</v>
      </c>
      <c r="O218" s="13">
        <f>+[17]Result!$L$45</f>
        <v>-6009.1226389258482</v>
      </c>
      <c r="P218" s="13">
        <f>+[18]Result!$L$45</f>
        <v>-8616.8050745951259</v>
      </c>
      <c r="Q218" s="32">
        <f>+[19]Result!$L$45</f>
        <v>-8611.9377839594199</v>
      </c>
      <c r="R218" s="32">
        <f>+[20]Result!$L$45</f>
        <v>-8610.1856220459231</v>
      </c>
      <c r="S218" s="70">
        <f>+[22]Result!$L$45</f>
        <v>-8624.7632443528273</v>
      </c>
    </row>
    <row r="219" spans="1:19" hidden="1" outlineLevel="2" x14ac:dyDescent="0.25">
      <c r="A219" s="16" t="s">
        <v>48</v>
      </c>
      <c r="B219" s="13">
        <f>+[1]Result!$L$46</f>
        <v>-478.19771147887741</v>
      </c>
      <c r="C219" s="13">
        <f>+[5]Result!$L$46</f>
        <v>-477.31363797423523</v>
      </c>
      <c r="D219" s="32">
        <f>+[6]Result!$L$46</f>
        <v>-484.27374135736773</v>
      </c>
      <c r="E219" s="13">
        <f>+[7]Result!$L$46</f>
        <v>-484.12296862860308</v>
      </c>
      <c r="F219" s="13">
        <f>+[8]Result!$L$46</f>
        <v>-483.96458461864836</v>
      </c>
      <c r="G219" s="32">
        <f>+[9]Result!$L$46</f>
        <v>-530.72761232998801</v>
      </c>
      <c r="H219" s="13">
        <f>+[10]Result!$L$46</f>
        <v>-530.23509091548954</v>
      </c>
      <c r="I219" s="13">
        <f>+[11]Result!$L$46</f>
        <v>-529.30998621427398</v>
      </c>
      <c r="J219" s="32">
        <f>+[12]Result!$L$46</f>
        <v>-499.22968549202801</v>
      </c>
      <c r="K219" s="13">
        <f>+[13]Result!$L$46</f>
        <v>-499.18492264310225</v>
      </c>
      <c r="L219" s="13">
        <f>+[14]Result!$L$46</f>
        <v>-497.24559051311189</v>
      </c>
      <c r="M219" s="13">
        <f>+[15]Result!$L$46</f>
        <v>-2279.8681276245807</v>
      </c>
      <c r="N219" s="32">
        <f>+[16]Result!$L$46</f>
        <v>-2288.0159237689149</v>
      </c>
      <c r="O219" s="13">
        <f>+[17]Result!$L$46</f>
        <v>-2300.8457175988824</v>
      </c>
      <c r="P219" s="13">
        <f>+[18]Result!$L$46</f>
        <v>-4092.4330156095511</v>
      </c>
      <c r="Q219" s="32">
        <f>+[19]Result!$L$46</f>
        <v>-4090.3752837943939</v>
      </c>
      <c r="R219" s="32">
        <f>+[20]Result!$L$46</f>
        <v>-4089.5361094216441</v>
      </c>
      <c r="S219" s="70">
        <f>+[22]Result!$L$46</f>
        <v>-4096.2673603938274</v>
      </c>
    </row>
    <row r="220" spans="1:19" hidden="1" outlineLevel="2" x14ac:dyDescent="0.25">
      <c r="A220" s="16" t="s">
        <v>49</v>
      </c>
      <c r="B220" s="13">
        <f>+[1]Result!$L$47</f>
        <v>-246.41626155851111</v>
      </c>
      <c r="C220" s="13">
        <f>+[5]Result!$L$47</f>
        <v>-245.99925711579749</v>
      </c>
      <c r="D220" s="32">
        <f>+[6]Result!$L$47</f>
        <v>-253.85841006761564</v>
      </c>
      <c r="E220" s="13">
        <f>+[7]Result!$L$47</f>
        <v>-253.78215683212284</v>
      </c>
      <c r="F220" s="13">
        <f>+[8]Result!$L$47</f>
        <v>-253.50223061923862</v>
      </c>
      <c r="G220" s="32">
        <f>+[9]Result!$L$47</f>
        <v>-274.94787768280457</v>
      </c>
      <c r="H220" s="13">
        <f>+[10]Result!$L$47</f>
        <v>-274.50164580494686</v>
      </c>
      <c r="I220" s="13">
        <f>+[11]Result!$L$47</f>
        <v>-274.0161628581302</v>
      </c>
      <c r="J220" s="32">
        <f>+[12]Result!$L$47</f>
        <v>-261.37066451174871</v>
      </c>
      <c r="K220" s="13">
        <f>+[13]Result!$L$47</f>
        <v>-261.34369086004267</v>
      </c>
      <c r="L220" s="13">
        <f>+[14]Result!$L$47</f>
        <v>-259.99478125940595</v>
      </c>
      <c r="M220" s="13">
        <f>+[15]Result!$L$47</f>
        <v>-920.69226761526397</v>
      </c>
      <c r="N220" s="32">
        <f>+[16]Result!$L$47</f>
        <v>-924.82607296317383</v>
      </c>
      <c r="O220" s="13">
        <f>+[17]Result!$L$47</f>
        <v>-930.63591882595983</v>
      </c>
      <c r="P220" s="13">
        <f>+[18]Result!$L$47</f>
        <v>-1581.528602720367</v>
      </c>
      <c r="Q220" s="32">
        <f>+[19]Result!$L$47</f>
        <v>-1581.6456463153067</v>
      </c>
      <c r="R220" s="32">
        <f>+[20]Result!$L$47</f>
        <v>-1581.3087709680458</v>
      </c>
      <c r="S220" s="70">
        <f>+[22]Result!$L$47</f>
        <v>-1584.6158532308186</v>
      </c>
    </row>
    <row r="221" spans="1:19" hidden="1" outlineLevel="2" x14ac:dyDescent="0.25">
      <c r="A221" s="16" t="s">
        <v>50</v>
      </c>
      <c r="B221" s="13">
        <f>+[1]Result!$L$48</f>
        <v>-149.50107913497476</v>
      </c>
      <c r="C221" s="13">
        <f>+[5]Result!$L$48</f>
        <v>-149.35889058911448</v>
      </c>
      <c r="D221" s="32">
        <f>+[6]Result!$L$48</f>
        <v>-151.94372374058042</v>
      </c>
      <c r="E221" s="13">
        <f>+[7]Result!$L$48</f>
        <v>-152.07211088799352</v>
      </c>
      <c r="F221" s="13">
        <f>+[8]Result!$L$48</f>
        <v>-151.82486284760091</v>
      </c>
      <c r="G221" s="32">
        <f>+[9]Result!$L$48</f>
        <v>-163.00474202536799</v>
      </c>
      <c r="H221" s="13">
        <f>+[10]Result!$L$48</f>
        <v>-162.62850112445898</v>
      </c>
      <c r="I221" s="13">
        <f>+[11]Result!$L$48</f>
        <v>-162.21956661902084</v>
      </c>
      <c r="J221" s="32">
        <f>+[12]Result!$L$48</f>
        <v>-154.76155957928341</v>
      </c>
      <c r="K221" s="13">
        <f>+[13]Result!$L$48</f>
        <v>-154.74305740922728</v>
      </c>
      <c r="L221" s="13">
        <f>+[14]Result!$L$48</f>
        <v>-153.71861013652256</v>
      </c>
      <c r="M221" s="13">
        <f>+[15]Result!$L$48</f>
        <v>-453.61670659251217</v>
      </c>
      <c r="N221" s="32">
        <f>+[16]Result!$L$48</f>
        <v>-455.64625408098323</v>
      </c>
      <c r="O221" s="13">
        <f>+[17]Result!$L$48</f>
        <v>-459.22405801225614</v>
      </c>
      <c r="P221" s="13">
        <f>+[18]Result!$L$48</f>
        <v>-669.13499721243534</v>
      </c>
      <c r="Q221" s="32">
        <f>+[19]Result!$L$48</f>
        <v>-668.61883004117021</v>
      </c>
      <c r="R221" s="32">
        <f>+[20]Result!$L$48</f>
        <v>-668.47494156067887</v>
      </c>
      <c r="S221" s="70">
        <f>+[22]Result!$L$48</f>
        <v>-670.29644775869815</v>
      </c>
    </row>
    <row r="222" spans="1:19" hidden="1" outlineLevel="2" x14ac:dyDescent="0.25">
      <c r="A222" s="16" t="s">
        <v>51</v>
      </c>
      <c r="B222" s="13">
        <f>+[1]Result!$L$49</f>
        <v>-84.842488656595151</v>
      </c>
      <c r="C222" s="13">
        <f>+[5]Result!$L$49</f>
        <v>-84.892704341430886</v>
      </c>
      <c r="D222" s="32">
        <f>+[6]Result!$L$49</f>
        <v>-87.106088667700931</v>
      </c>
      <c r="E222" s="13">
        <f>+[7]Result!$L$49</f>
        <v>-87.296721380394871</v>
      </c>
      <c r="F222" s="13">
        <f>+[8]Result!$L$49</f>
        <v>-87.112371178334882</v>
      </c>
      <c r="G222" s="32">
        <f>+[9]Result!$L$49</f>
        <v>-94.073826603749467</v>
      </c>
      <c r="H222" s="13">
        <f>+[10]Result!$L$49</f>
        <v>-93.864836237203036</v>
      </c>
      <c r="I222" s="13">
        <f>+[11]Result!$L$49</f>
        <v>-93.579361403551701</v>
      </c>
      <c r="J222" s="32">
        <f>+[12]Result!$L$49</f>
        <v>-89.444311869903146</v>
      </c>
      <c r="K222" s="13">
        <f>+[13]Result!$L$49</f>
        <v>-89.499818136243135</v>
      </c>
      <c r="L222" s="13">
        <f>+[14]Result!$L$49</f>
        <v>-88.863263341027363</v>
      </c>
      <c r="M222" s="13">
        <f>+[15]Result!$L$49</f>
        <v>-243.25388879510183</v>
      </c>
      <c r="N222" s="32">
        <f>+[16]Result!$L$49</f>
        <v>-244.33466030589443</v>
      </c>
      <c r="O222" s="13">
        <f>+[17]Result!$L$49</f>
        <v>-246.63123737739807</v>
      </c>
      <c r="P222" s="13">
        <f>+[18]Result!$L$49</f>
        <v>-330.83368929148958</v>
      </c>
      <c r="Q222" s="32">
        <f>+[19]Result!$L$49</f>
        <v>-330.36844293574802</v>
      </c>
      <c r="R222" s="32">
        <f>+[20]Result!$L$49</f>
        <v>-330.29492988260972</v>
      </c>
      <c r="S222" s="70">
        <f>+[22]Result!$L$49</f>
        <v>-331.47436568176965</v>
      </c>
    </row>
    <row r="223" spans="1:19" hidden="1" outlineLevel="2" x14ac:dyDescent="0.25">
      <c r="A223" s="16" t="s">
        <v>52</v>
      </c>
      <c r="B223" s="13">
        <f>+[1]Result!$L$50</f>
        <v>-47.284329004451848</v>
      </c>
      <c r="C223" s="13">
        <f>+[5]Result!$L$50</f>
        <v>-47.354160774801869</v>
      </c>
      <c r="D223" s="32">
        <f>+[6]Result!$L$50</f>
        <v>-48.367480971955544</v>
      </c>
      <c r="E223" s="13">
        <f>+[7]Result!$L$50</f>
        <v>-48.508605433006437</v>
      </c>
      <c r="F223" s="13">
        <f>+[8]Result!$L$50</f>
        <v>-48.33512533287373</v>
      </c>
      <c r="G223" s="32">
        <f>+[9]Result!$L$50</f>
        <v>-52.23150460311129</v>
      </c>
      <c r="H223" s="13">
        <f>+[10]Result!$L$50</f>
        <v>-52.093048372446333</v>
      </c>
      <c r="I223" s="13">
        <f>+[11]Result!$L$50</f>
        <v>-51.936109264976693</v>
      </c>
      <c r="J223" s="32">
        <f>+[12]Result!$L$50</f>
        <v>-49.127418064843368</v>
      </c>
      <c r="K223" s="13">
        <f>+[13]Result!$L$50</f>
        <v>-49.120235172889551</v>
      </c>
      <c r="L223" s="13">
        <f>+[14]Result!$L$50</f>
        <v>-48.74978577587099</v>
      </c>
      <c r="M223" s="13">
        <f>+[15]Result!$L$50</f>
        <v>-125.78526514748995</v>
      </c>
      <c r="N223" s="32">
        <f>+[16]Result!$L$50</f>
        <v>-126.42762520881325</v>
      </c>
      <c r="O223" s="13">
        <f>+[17]Result!$L$50</f>
        <v>-127.68934862338983</v>
      </c>
      <c r="P223" s="13">
        <f>+[18]Result!$L$50</f>
        <v>-170.82782192118577</v>
      </c>
      <c r="Q223" s="32">
        <f>+[19]Result!$L$50</f>
        <v>-170.51781702896972</v>
      </c>
      <c r="R223" s="32">
        <f>+[20]Result!$L$50</f>
        <v>-170.56427245163752</v>
      </c>
      <c r="S223" s="70">
        <f>+[22]Result!$L$50</f>
        <v>-171.28034861758556</v>
      </c>
    </row>
    <row r="224" spans="1:19" hidden="1" outlineLevel="2" x14ac:dyDescent="0.25">
      <c r="A224" s="16" t="s">
        <v>53</v>
      </c>
      <c r="B224" s="13">
        <f>+[1]Result!$L$51</f>
        <v>-25.009237102809266</v>
      </c>
      <c r="C224" s="13">
        <f>+[5]Result!$L$51</f>
        <v>-25.061719246721253</v>
      </c>
      <c r="D224" s="32">
        <f>+[6]Result!$L$51</f>
        <v>-25.624965541255094</v>
      </c>
      <c r="E224" s="13">
        <f>+[7]Result!$L$51</f>
        <v>-25.718005983566499</v>
      </c>
      <c r="F224" s="13">
        <f>+[8]Result!$L$51</f>
        <v>-25.582935433839978</v>
      </c>
      <c r="G224" s="32">
        <f>+[9]Result!$L$51</f>
        <v>-27.936934567301918</v>
      </c>
      <c r="H224" s="13">
        <f>+[10]Result!$L$51</f>
        <v>-27.844822656091409</v>
      </c>
      <c r="I224" s="13">
        <f>+[11]Result!$L$51</f>
        <v>-27.741411042624406</v>
      </c>
      <c r="J224" s="32">
        <f>+[12]Result!$L$51</f>
        <v>-25.858582535316792</v>
      </c>
      <c r="K224" s="13">
        <f>+[13]Result!$L$51</f>
        <v>-25.854341093604539</v>
      </c>
      <c r="L224" s="13">
        <f>+[14]Result!$L$51</f>
        <v>-25.623783806826893</v>
      </c>
      <c r="M224" s="13">
        <f>+[15]Result!$L$51</f>
        <v>-54.964915161090801</v>
      </c>
      <c r="N224" s="32">
        <f>+[16]Result!$L$51</f>
        <v>-55.282001066250317</v>
      </c>
      <c r="O224" s="13">
        <f>+[17]Result!$L$51</f>
        <v>-55.876267541027801</v>
      </c>
      <c r="P224" s="13">
        <f>+[18]Result!$L$51</f>
        <v>-81.309916388064153</v>
      </c>
      <c r="Q224" s="32">
        <f>+[19]Result!$L$51</f>
        <v>-81.170058069337699</v>
      </c>
      <c r="R224" s="32">
        <f>+[20]Result!$L$51</f>
        <v>-81.210901689509996</v>
      </c>
      <c r="S224" s="70">
        <f>+[22]Result!$L$51</f>
        <v>-81.523045211500204</v>
      </c>
    </row>
    <row r="225" spans="1:37" hidden="1" outlineLevel="2" x14ac:dyDescent="0.25">
      <c r="A225" s="16" t="s">
        <v>54</v>
      </c>
      <c r="B225" s="13">
        <f>+[1]Result!$L$52</f>
        <v>-11.505757286575282</v>
      </c>
      <c r="C225" s="13">
        <f>+[5]Result!$L$52</f>
        <v>-11.546515456948505</v>
      </c>
      <c r="D225" s="32">
        <f>+[6]Result!$L$52</f>
        <v>-11.406730058921266</v>
      </c>
      <c r="E225" s="13">
        <f>+[7]Result!$L$52</f>
        <v>-11.458487823279221</v>
      </c>
      <c r="F225" s="13">
        <f>+[8]Result!$L$52</f>
        <v>-11.388874023761616</v>
      </c>
      <c r="G225" s="32">
        <f>+[9]Result!$L$52</f>
        <v>-12.809452624204685</v>
      </c>
      <c r="H225" s="13">
        <f>+[10]Result!$L$52</f>
        <v>-12.766150722691787</v>
      </c>
      <c r="I225" s="13">
        <f>+[11]Result!$L$52</f>
        <v>-12.712836298576388</v>
      </c>
      <c r="J225" s="32">
        <f>+[12]Result!$L$52</f>
        <v>-11.728204927435819</v>
      </c>
      <c r="K225" s="13">
        <f>+[13]Result!$L$52</f>
        <v>-11.735142394429324</v>
      </c>
      <c r="L225" s="13">
        <f>+[14]Result!$L$52</f>
        <v>-11.61735525429291</v>
      </c>
      <c r="M225" s="13">
        <f>+[15]Result!$L$52</f>
        <v>-15.394736903812714</v>
      </c>
      <c r="N225" s="32">
        <f>+[16]Result!$L$52</f>
        <v>-15.485894626582827</v>
      </c>
      <c r="O225" s="13">
        <f>+[17]Result!$L$52</f>
        <v>-15.675266409797906</v>
      </c>
      <c r="P225" s="13">
        <f>+[18]Result!$L$52</f>
        <v>-30.555318356939921</v>
      </c>
      <c r="Q225" s="32">
        <f>+[19]Result!$L$52</f>
        <v>-30.521532498636049</v>
      </c>
      <c r="R225" s="32">
        <f>+[20]Result!$L$52</f>
        <v>-30.514304718449225</v>
      </c>
      <c r="S225" s="70">
        <f>+[22]Result!$L$52</f>
        <v>-30.6340249576742</v>
      </c>
    </row>
    <row r="226" spans="1:37" hidden="1" outlineLevel="2" x14ac:dyDescent="0.25">
      <c r="A226" s="16" t="s">
        <v>55</v>
      </c>
      <c r="B226" s="13">
        <f>+[1]Result!$L$53</f>
        <v>-4.3212088610914119</v>
      </c>
      <c r="C226" s="13">
        <f>+[5]Result!$L$53</f>
        <v>-4.3400062952862957</v>
      </c>
      <c r="D226" s="32">
        <f>+[6]Result!$L$53</f>
        <v>-4.1670162257455328</v>
      </c>
      <c r="E226" s="13">
        <f>+[7]Result!$L$53</f>
        <v>-4.1886545313971641</v>
      </c>
      <c r="F226" s="13">
        <f>+[8]Result!$L$53</f>
        <v>-4.1608355800390218</v>
      </c>
      <c r="G226" s="32">
        <f>+[9]Result!$L$53</f>
        <v>-4.4573317409953042</v>
      </c>
      <c r="H226" s="13">
        <f>+[10]Result!$L$53</f>
        <v>-4.443004055614951</v>
      </c>
      <c r="I226" s="13">
        <f>+[11]Result!$L$53</f>
        <v>-4.4203688548739315</v>
      </c>
      <c r="J226" s="32">
        <f>+[12]Result!$L$53</f>
        <v>-3.9959917442520254</v>
      </c>
      <c r="K226" s="13">
        <f>+[13]Result!$L$53</f>
        <v>-3.9952354300510695</v>
      </c>
      <c r="L226" s="13">
        <f>+[14]Result!$L$53</f>
        <v>-3.9528644755904541</v>
      </c>
      <c r="M226" s="13">
        <f>+[15]Result!$L$53</f>
        <v>-0.46413155684445806</v>
      </c>
      <c r="N226" s="32">
        <f>+[16]Result!$L$53</f>
        <v>-0.4670584036706078</v>
      </c>
      <c r="O226" s="13">
        <f>+[17]Result!$L$53</f>
        <v>-0.47345232943028459</v>
      </c>
      <c r="P226" s="13">
        <f>+[18]Result!$L$53</f>
        <v>-6.3025859714990364</v>
      </c>
      <c r="Q226" s="32">
        <f>+[19]Result!$L$53</f>
        <v>-6.2917143609543675</v>
      </c>
      <c r="R226" s="32">
        <f>+[20]Result!$L$53</f>
        <v>-6.2886851016381531</v>
      </c>
      <c r="S226" s="70">
        <f>+[22]Result!$L$53</f>
        <v>-6.3169884121578743</v>
      </c>
    </row>
    <row r="227" spans="1:37" hidden="1" outlineLevel="2" x14ac:dyDescent="0.25">
      <c r="A227" s="16" t="s">
        <v>56</v>
      </c>
      <c r="B227" s="13">
        <f>+[1]Result!$L$54</f>
        <v>-1.145178088382913</v>
      </c>
      <c r="C227" s="13">
        <f>+[5]Result!$L$54</f>
        <v>-1.1500554392068225</v>
      </c>
      <c r="D227" s="32">
        <f>+[6]Result!$L$54</f>
        <v>-1.0292878734735833</v>
      </c>
      <c r="E227" s="13">
        <f>+[7]Result!$L$54</f>
        <v>-1.0341601587518539</v>
      </c>
      <c r="F227" s="13">
        <f>+[8]Result!$L$54</f>
        <v>-1.0276040017050732</v>
      </c>
      <c r="G227" s="32">
        <f>+[9]Result!$L$54</f>
        <v>-1.1599101620290364</v>
      </c>
      <c r="H227" s="13">
        <f>+[10]Result!$L$54</f>
        <v>-1.1554809488591227</v>
      </c>
      <c r="I227" s="13">
        <f>+[11]Result!$L$54</f>
        <v>-1.1488153236759477</v>
      </c>
      <c r="J227" s="32">
        <f>+[12]Result!$L$54</f>
        <v>-1.0298003508971889</v>
      </c>
      <c r="K227" s="13">
        <f>+[13]Result!$L$54</f>
        <v>-1.0287876935169815</v>
      </c>
      <c r="L227" s="13">
        <f>+[14]Result!$L$54</f>
        <v>-1.0178474637420947</v>
      </c>
      <c r="M227" s="13">
        <f>+[15]Result!$L$54</f>
        <v>9.5156076379280543E-4</v>
      </c>
      <c r="N227" s="32">
        <f>+[16]Result!$L$54</f>
        <v>9.5791547567484862E-4</v>
      </c>
      <c r="O227" s="13">
        <f>+[17]Result!$L$54</f>
        <v>9.7167165189272113E-4</v>
      </c>
      <c r="P227" s="13">
        <f>+[18]Result!$L$54</f>
        <v>9.6926757101460951E-4</v>
      </c>
      <c r="Q227" s="32">
        <f>+[19]Result!$L$54</f>
        <v>9.6698914730176423E-4</v>
      </c>
      <c r="R227" s="32">
        <f>+[20]Result!$L$54</f>
        <v>9.6723533137858158E-4</v>
      </c>
      <c r="S227" s="70">
        <f>+[22]Result!$L$54</f>
        <v>9.7215417237377652E-4</v>
      </c>
    </row>
    <row r="228" spans="1:37" collapsed="1" x14ac:dyDescent="0.25">
      <c r="A228" s="12" t="s">
        <v>60</v>
      </c>
      <c r="B228" s="13">
        <f>+SUM([1]Result!$G$5:$G$54)</f>
        <v>-947374510.83843291</v>
      </c>
      <c r="C228" s="13">
        <f>+SUM([5]Result!$G$5:$G$54)</f>
        <v>-951452133.83694386</v>
      </c>
      <c r="D228" s="32">
        <f>+SUM([6]Result!$G$5:$G$54)</f>
        <v>-980562595.02416933</v>
      </c>
      <c r="E228" s="13">
        <f>+SUM([7]Result!$G$5:$G$54)</f>
        <v>-989995038.77321017</v>
      </c>
      <c r="F228" s="13">
        <f>+SUM([8]Result!$G$5:$G$54)</f>
        <v>-987696441.07284069</v>
      </c>
      <c r="G228" s="32">
        <f>+SUM([9]Result!$G$5:$G$54)</f>
        <v>-954280078.68994033</v>
      </c>
      <c r="H228" s="13">
        <f>+SUM([10]Result!$G$5:$G$54)</f>
        <v>-951255558.96378529</v>
      </c>
      <c r="I228" s="13">
        <f>+SUM([11]Result!$G$5:$G$54)</f>
        <v>-952063881.90531111</v>
      </c>
      <c r="J228" s="32">
        <f>+SUM([12]Result!$G$5:$G$54)</f>
        <v>-952492954.18647993</v>
      </c>
      <c r="K228" s="13">
        <f>+SUM([13]Result!$G$5:$G$54)</f>
        <v>-953604452.48788548</v>
      </c>
      <c r="L228" s="13">
        <f>+SUM([14]Result!$G$5:$G$54)</f>
        <v>-950917365.21620977</v>
      </c>
      <c r="M228" s="32">
        <f>+SUM([15]Result!$G$5:$G$54)</f>
        <v>-854107266.66885781</v>
      </c>
      <c r="N228" s="13">
        <f>+SUM([16]Result!$G$5:$G$54)</f>
        <v>-855500537.25996852</v>
      </c>
      <c r="O228" s="13">
        <f>+SUM([17]Result!$G$5:$G$54)</f>
        <v>-859428447.73891509</v>
      </c>
      <c r="P228" s="32">
        <f>+SUM([18]Result!$G$5:$G$54)</f>
        <v>-948873766.55252409</v>
      </c>
      <c r="Q228" s="13">
        <f>+SUM([19]Result!$G$5:$G$54)</f>
        <v>-948031571.10423708</v>
      </c>
      <c r="R228" s="13">
        <f>+SUM([20]Result!$G$5:$G$54)</f>
        <v>-951237142.14370859</v>
      </c>
      <c r="S228" s="70">
        <f>+SUM([22]Result!$G$5:$G$54)</f>
        <v>-952314082.40961635</v>
      </c>
      <c r="T228" s="13">
        <f>+B228-(B229+B235+B241+B252+B263)</f>
        <v>0</v>
      </c>
      <c r="U228" s="13">
        <f t="shared" ref="U228:W228" si="168">+C228-(C229+C235+C241+C252+C263)</f>
        <v>0</v>
      </c>
      <c r="V228" s="13">
        <f t="shared" si="168"/>
        <v>0</v>
      </c>
      <c r="W228" s="13">
        <f t="shared" si="168"/>
        <v>0</v>
      </c>
      <c r="X228" s="13">
        <f t="shared" ref="X228" si="169">+F228-(F229+F235+F241+F252+F263)</f>
        <v>0</v>
      </c>
      <c r="Y228" s="13">
        <f t="shared" ref="Y228:AE228" si="170">+G228-(G229+G235+G241+G252+G263)</f>
        <v>0</v>
      </c>
      <c r="Z228" s="13">
        <f t="shared" si="170"/>
        <v>0</v>
      </c>
      <c r="AA228" s="13">
        <f t="shared" si="170"/>
        <v>0</v>
      </c>
      <c r="AB228" s="13">
        <f t="shared" si="170"/>
        <v>0</v>
      </c>
      <c r="AC228" s="13">
        <f t="shared" si="170"/>
        <v>0</v>
      </c>
      <c r="AD228" s="13">
        <f t="shared" si="170"/>
        <v>0</v>
      </c>
      <c r="AE228" s="13">
        <f t="shared" si="170"/>
        <v>0</v>
      </c>
      <c r="AF228" s="13">
        <f t="shared" ref="AF228" si="171">+N228-(N229+N235+N241+N252+N263)</f>
        <v>0</v>
      </c>
      <c r="AG228" s="13">
        <f t="shared" ref="AG228:AH228" si="172">+O228-(O229+O235+O241+O252+O263)</f>
        <v>0</v>
      </c>
      <c r="AH228" s="13">
        <f t="shared" si="172"/>
        <v>0</v>
      </c>
      <c r="AI228" s="13">
        <f t="shared" ref="AI228" si="173">+Q228-(Q229+Q235+Q241+Q252+Q263)</f>
        <v>0</v>
      </c>
      <c r="AJ228" s="13">
        <f t="shared" ref="AJ228:AK228" si="174">+R228-(R229+R235+R241+R252+R263)</f>
        <v>0</v>
      </c>
      <c r="AK228" s="13">
        <f t="shared" si="174"/>
        <v>0</v>
      </c>
    </row>
    <row r="229" spans="1:37" hidden="1" outlineLevel="1" x14ac:dyDescent="0.25">
      <c r="A229" s="15" t="s">
        <v>2</v>
      </c>
      <c r="B229" s="13" cm="1">
        <f t="array" ref="B229">+[1]!PV_UP_1_5</f>
        <v>-806496580.95823038</v>
      </c>
      <c r="C229" s="13" cm="1">
        <f t="array" ref="C229">+[5]!PV_UP_1_5</f>
        <v>-809000847.39000189</v>
      </c>
      <c r="D229" s="32" cm="1">
        <f t="array" ref="D229">+[6]!PV_UP_1_5</f>
        <v>-848718259.12740588</v>
      </c>
      <c r="E229" s="13" cm="1">
        <f t="array" ref="E229">+[7]!PV_UP_1_5</f>
        <v>-854435582.96980441</v>
      </c>
      <c r="F229" s="13" cm="1">
        <f t="array" ref="F229">+[8]!PV_UP_1_5</f>
        <v>-853487079.77529967</v>
      </c>
      <c r="G229" s="32" cm="1">
        <f t="array" ref="G229">+[9]!PV_UP_1_5</f>
        <v>-821047429.65817201</v>
      </c>
      <c r="H229" s="13" cm="1">
        <f t="array" ref="H229">+[10]!PV_UP_1_5</f>
        <v>-819293590.17259836</v>
      </c>
      <c r="I229" s="13" cm="1">
        <f t="array" ref="I229">+[11]!PV_UP_1_5</f>
        <v>-820014995.52208507</v>
      </c>
      <c r="J229" s="32" cm="1">
        <f t="array" ref="J229">+[12]!PV_UP_1_5</f>
        <v>-819743736.6767906</v>
      </c>
      <c r="K229" s="13" cm="1">
        <f t="array" ref="K229">+[13]!PV_UP_1_5</f>
        <v>-820283818.12102199</v>
      </c>
      <c r="L229" s="13" cm="1">
        <f t="array" ref="L229">+[14]!PV_UP_1_5</f>
        <v>-819443803.04945791</v>
      </c>
      <c r="M229" s="13" cm="1">
        <f t="array" ref="M229">+[15]!PV_UP_1_5</f>
        <v>-753290334.62571132</v>
      </c>
      <c r="N229" s="32" cm="1">
        <f t="array" ref="N229">+[16]!PV_UP_1_5</f>
        <v>-753922449.63464248</v>
      </c>
      <c r="O229" s="13" cm="1">
        <f t="array" ref="O229">+[17]!PV_UP_1_5</f>
        <v>-755502885.10078681</v>
      </c>
      <c r="P229" s="13" cm="1">
        <f t="array" ref="P229">+[18]!PV_UP_1_5</f>
        <v>-843359107.5810951</v>
      </c>
      <c r="Q229" s="32" cm="1">
        <f t="array" ref="Q229">+[19]!PV_UP_1_5</f>
        <v>-842660855.28467691</v>
      </c>
      <c r="R229" s="32" cm="1">
        <f t="array" ref="R229">+[20]!PV_UP_1_5</f>
        <v>-844784791.44157958</v>
      </c>
      <c r="S229" s="70" cm="1">
        <f t="array" ref="S229">+[22]!PV_UP_1_5</f>
        <v>-845085596.98489702</v>
      </c>
      <c r="T229" s="13">
        <f>+B229-SUM(B230:B234)</f>
        <v>0</v>
      </c>
      <c r="U229" s="13">
        <f t="shared" ref="U229:W229" si="175">+C229-SUM(C230:C234)</f>
        <v>0</v>
      </c>
      <c r="V229" s="13">
        <f t="shared" si="175"/>
        <v>0</v>
      </c>
      <c r="W229" s="13">
        <f t="shared" si="175"/>
        <v>0</v>
      </c>
      <c r="X229" s="13">
        <f t="shared" ref="X229" si="176">+F229-SUM(F230:F234)</f>
        <v>0</v>
      </c>
      <c r="Y229" s="13">
        <f t="shared" ref="Y229:AE229" si="177">+G229-SUM(G230:G234)</f>
        <v>0</v>
      </c>
      <c r="Z229" s="13">
        <f t="shared" si="177"/>
        <v>0</v>
      </c>
      <c r="AA229" s="13">
        <f t="shared" si="177"/>
        <v>0</v>
      </c>
      <c r="AB229" s="13">
        <f t="shared" si="177"/>
        <v>0</v>
      </c>
      <c r="AC229" s="13">
        <f t="shared" si="177"/>
        <v>0</v>
      </c>
      <c r="AD229" s="13">
        <f t="shared" si="177"/>
        <v>0</v>
      </c>
      <c r="AE229" s="13">
        <f t="shared" si="177"/>
        <v>0</v>
      </c>
      <c r="AF229" s="13">
        <f t="shared" ref="AF229" si="178">+N229-SUM(N230:N234)</f>
        <v>0</v>
      </c>
      <c r="AG229" s="13">
        <f t="shared" ref="AG229:AH229" si="179">+O229-SUM(O230:O234)</f>
        <v>0</v>
      </c>
      <c r="AH229" s="13">
        <f t="shared" si="179"/>
        <v>0</v>
      </c>
      <c r="AI229" s="13">
        <f t="shared" ref="AI229" si="180">+Q229-SUM(Q230:Q234)</f>
        <v>0</v>
      </c>
      <c r="AJ229" s="13">
        <f t="shared" ref="AJ229:AK229" si="181">+R229-SUM(R230:R234)</f>
        <v>0</v>
      </c>
      <c r="AK229" s="13">
        <f t="shared" si="181"/>
        <v>0</v>
      </c>
    </row>
    <row r="230" spans="1:37" hidden="1" outlineLevel="2" x14ac:dyDescent="0.25">
      <c r="A230" s="16" t="s">
        <v>3</v>
      </c>
      <c r="B230" s="13">
        <f>+[1]Result!$G$5</f>
        <v>-403056057.27579707</v>
      </c>
      <c r="C230" s="13">
        <f>+[5]Result!$G$5</f>
        <v>-403555796.15146947</v>
      </c>
      <c r="D230" s="32">
        <f>+[6]Result!$G$5</f>
        <v>-404537181.34170562</v>
      </c>
      <c r="E230" s="13">
        <f>+[7]Result!$G$5</f>
        <v>-405471113.00095528</v>
      </c>
      <c r="F230" s="13">
        <f>+[8]Result!$G$5</f>
        <v>-405416956.50567353</v>
      </c>
      <c r="G230" s="32">
        <f>+[9]Result!$G$5</f>
        <v>-368353220.76683676</v>
      </c>
      <c r="H230" s="13">
        <f>+[10]Result!$G$5</f>
        <v>-368149787.50902712</v>
      </c>
      <c r="I230" s="13">
        <f>+[11]Result!$G$5</f>
        <v>-368176067.82189208</v>
      </c>
      <c r="J230" s="32">
        <f>+[12]Result!$G$5</f>
        <v>-348362694.81717741</v>
      </c>
      <c r="K230" s="13">
        <f>+[13]Result!$G$5</f>
        <v>-348347797.16467738</v>
      </c>
      <c r="L230" s="13">
        <f>+[14]Result!$G$5</f>
        <v>-348314700.54914951</v>
      </c>
      <c r="M230" s="13">
        <f>+[15]Result!$G$5</f>
        <v>-326663975.18737</v>
      </c>
      <c r="N230" s="32">
        <f>+[16]Result!$G$5</f>
        <v>-326671727.01137698</v>
      </c>
      <c r="O230" s="13">
        <f>+[17]Result!$G$5</f>
        <v>-326747734.53163427</v>
      </c>
      <c r="P230" s="13">
        <f>+[18]Result!$G$5</f>
        <v>-380915756.54376405</v>
      </c>
      <c r="Q230" s="32">
        <f>+[19]Result!$G$5</f>
        <v>-380694776.63740075</v>
      </c>
      <c r="R230" s="32">
        <f>+[20]Result!$G$5</f>
        <v>-380949662.74122995</v>
      </c>
      <c r="S230" s="70">
        <f>+[22]Result!$G$5</f>
        <v>-380962157.60898626</v>
      </c>
    </row>
    <row r="231" spans="1:37" hidden="1" outlineLevel="2" x14ac:dyDescent="0.25">
      <c r="A231" s="16" t="s">
        <v>4</v>
      </c>
      <c r="B231" s="13">
        <f>+[1]Result!$G$6</f>
        <v>-209594270.37742123</v>
      </c>
      <c r="C231" s="13">
        <f>+[5]Result!$G$6</f>
        <v>-210294300.85191023</v>
      </c>
      <c r="D231" s="32">
        <f>+[6]Result!$G$6</f>
        <v>-248465917.2008346</v>
      </c>
      <c r="E231" s="13">
        <f>+[7]Result!$G$6</f>
        <v>-250295657.17636359</v>
      </c>
      <c r="F231" s="13">
        <f>+[8]Result!$G$6</f>
        <v>-250038834.27168781</v>
      </c>
      <c r="G231" s="32">
        <f>+[9]Result!$G$6</f>
        <v>-255586523.5527826</v>
      </c>
      <c r="H231" s="13">
        <f>+[10]Result!$G$6</f>
        <v>-255034918.58340946</v>
      </c>
      <c r="I231" s="13">
        <f>+[11]Result!$G$6</f>
        <v>-255216346.70035297</v>
      </c>
      <c r="J231" s="32">
        <f>+[12]Result!$G$6</f>
        <v>-263955384.37729844</v>
      </c>
      <c r="K231" s="13">
        <f>+[13]Result!$G$6</f>
        <v>-264076599.10776684</v>
      </c>
      <c r="L231" s="13">
        <f>+[14]Result!$G$6</f>
        <v>-263867648.74994299</v>
      </c>
      <c r="M231" s="13">
        <f>+[15]Result!$G$6</f>
        <v>-241146705.81034958</v>
      </c>
      <c r="N231" s="32">
        <f>+[16]Result!$G$6</f>
        <v>-241287408.74486205</v>
      </c>
      <c r="O231" s="13">
        <f>+[17]Result!$G$6</f>
        <v>-241643345.10480431</v>
      </c>
      <c r="P231" s="13">
        <f>+[18]Result!$G$6</f>
        <v>-268473247.3060897</v>
      </c>
      <c r="Q231" s="32">
        <f>+[19]Result!$G$6</f>
        <v>-268082472.0414592</v>
      </c>
      <c r="R231" s="32">
        <f>+[20]Result!$G$6</f>
        <v>-268807211.02577883</v>
      </c>
      <c r="S231" s="70">
        <f>+[22]Result!$G$6</f>
        <v>-268896982.87945217</v>
      </c>
    </row>
    <row r="232" spans="1:37" hidden="1" outlineLevel="2" x14ac:dyDescent="0.25">
      <c r="A232" s="16" t="s">
        <v>5</v>
      </c>
      <c r="B232" s="13">
        <f>+[1]Result!$G$7</f>
        <v>-100944899.13350913</v>
      </c>
      <c r="C232" s="13">
        <f>+[5]Result!$G$7</f>
        <v>-101506070.38153677</v>
      </c>
      <c r="D232" s="32">
        <f>+[6]Result!$G$7</f>
        <v>-102005336.9414472</v>
      </c>
      <c r="E232" s="13">
        <f>+[7]Result!$G$7</f>
        <v>-103254657.35691471</v>
      </c>
      <c r="F232" s="13">
        <f>+[8]Result!$G$7</f>
        <v>-103008011.74224646</v>
      </c>
      <c r="G232" s="32">
        <f>+[9]Result!$G$7</f>
        <v>-102248401.9847286</v>
      </c>
      <c r="H232" s="13">
        <f>+[10]Result!$G$7</f>
        <v>-101825925.64740789</v>
      </c>
      <c r="I232" s="13">
        <f>+[11]Result!$G$7</f>
        <v>-102032655.4267042</v>
      </c>
      <c r="J232" s="32">
        <f>+[12]Result!$G$7</f>
        <v>-109803604.12453777</v>
      </c>
      <c r="K232" s="13">
        <f>+[13]Result!$G$7</f>
        <v>-109965746.67340861</v>
      </c>
      <c r="L232" s="13">
        <f>+[14]Result!$G$7</f>
        <v>-109753889.83284205</v>
      </c>
      <c r="M232" s="13">
        <f>+[15]Result!$G$7</f>
        <v>-101101208.28556581</v>
      </c>
      <c r="N232" s="32">
        <f>+[16]Result!$G$7</f>
        <v>-101293486.81998119</v>
      </c>
      <c r="O232" s="13">
        <f>+[17]Result!$G$7</f>
        <v>-101700474.19221054</v>
      </c>
      <c r="P232" s="13">
        <f>+[18]Result!$G$7</f>
        <v>-106114242.19333605</v>
      </c>
      <c r="Q232" s="32">
        <f>+[19]Result!$G$7</f>
        <v>-106014114.61852807</v>
      </c>
      <c r="R232" s="32">
        <f>+[20]Result!$G$7</f>
        <v>-106541218.55777036</v>
      </c>
      <c r="S232" s="70">
        <f>+[22]Result!$G$7</f>
        <v>-106603060.93939669</v>
      </c>
    </row>
    <row r="233" spans="1:37" hidden="1" outlineLevel="2" x14ac:dyDescent="0.25">
      <c r="A233" s="16" t="s">
        <v>6</v>
      </c>
      <c r="B233" s="13">
        <f>+[1]Result!$G$8</f>
        <v>-54572109.988178596</v>
      </c>
      <c r="C233" s="13">
        <f>+[5]Result!$G$8</f>
        <v>-54976441.00740625</v>
      </c>
      <c r="D233" s="32">
        <f>+[6]Result!$G$8</f>
        <v>-55769871.667952679</v>
      </c>
      <c r="E233" s="13">
        <f>+[7]Result!$G$8</f>
        <v>-56690484.048399903</v>
      </c>
      <c r="F233" s="13">
        <f>+[8]Result!$G$8</f>
        <v>-56484475.858904809</v>
      </c>
      <c r="G233" s="32">
        <f>+[9]Result!$G$8</f>
        <v>-56361278.583768383</v>
      </c>
      <c r="H233" s="13">
        <f>+[10]Result!$G$8</f>
        <v>-56045155.847965717</v>
      </c>
      <c r="I233" s="13">
        <f>+[11]Result!$G$8</f>
        <v>-56217461.934634887</v>
      </c>
      <c r="J233" s="32">
        <f>+[12]Result!$G$8</f>
        <v>-58492302.334436834</v>
      </c>
      <c r="K233" s="13">
        <f>+[13]Result!$G$8</f>
        <v>-58633577.437104017</v>
      </c>
      <c r="L233" s="13">
        <f>+[14]Result!$G$8</f>
        <v>-58443502.252152473</v>
      </c>
      <c r="M233" s="13">
        <f>+[15]Result!$G$8</f>
        <v>-51651550.905496314</v>
      </c>
      <c r="N233" s="32">
        <f>+[16]Result!$G$8</f>
        <v>-51811487.855248705</v>
      </c>
      <c r="O233" s="13">
        <f>+[17]Result!$G$8</f>
        <v>-52193378.473581791</v>
      </c>
      <c r="P233" s="13">
        <f>+[18]Result!$G$8</f>
        <v>-53513019.473711036</v>
      </c>
      <c r="Q233" s="32">
        <f>+[19]Result!$G$8</f>
        <v>-53519938.678478666</v>
      </c>
      <c r="R233" s="32">
        <f>+[20]Result!$G$8</f>
        <v>-53868188.608128615</v>
      </c>
      <c r="S233" s="70">
        <f>+[22]Result!$G$8</f>
        <v>-53924825.766585931</v>
      </c>
    </row>
    <row r="234" spans="1:37" hidden="1" outlineLevel="2" x14ac:dyDescent="0.25">
      <c r="A234" s="16" t="s">
        <v>7</v>
      </c>
      <c r="B234" s="13">
        <f>+[1]Result!$G$9</f>
        <v>-38329244.183324322</v>
      </c>
      <c r="C234" s="13">
        <f>+[5]Result!$G$9</f>
        <v>-38668238.997679226</v>
      </c>
      <c r="D234" s="32">
        <f>+[6]Result!$G$9</f>
        <v>-37939951.975465924</v>
      </c>
      <c r="E234" s="13">
        <f>+[7]Result!$G$9</f>
        <v>-38723671.387170911</v>
      </c>
      <c r="F234" s="13">
        <f>+[8]Result!$G$9</f>
        <v>-38538801.396786913</v>
      </c>
      <c r="G234" s="32">
        <f>+[9]Result!$G$9</f>
        <v>-38498004.770055622</v>
      </c>
      <c r="H234" s="13">
        <f>+[10]Result!$G$9</f>
        <v>-38237802.584788144</v>
      </c>
      <c r="I234" s="13">
        <f>+[11]Result!$G$9</f>
        <v>-38372463.638500884</v>
      </c>
      <c r="J234" s="32">
        <f>+[12]Result!$G$9</f>
        <v>-39129751.023340128</v>
      </c>
      <c r="K234" s="13">
        <f>+[13]Result!$G$9</f>
        <v>-39260097.738065116</v>
      </c>
      <c r="L234" s="13">
        <f>+[14]Result!$G$9</f>
        <v>-39064061.665370829</v>
      </c>
      <c r="M234" s="13">
        <f>+[15]Result!$G$9</f>
        <v>-32726894.436929591</v>
      </c>
      <c r="N234" s="32">
        <f>+[16]Result!$G$9</f>
        <v>-32858339.203173514</v>
      </c>
      <c r="O234" s="13">
        <f>+[17]Result!$G$9</f>
        <v>-33217952.798555873</v>
      </c>
      <c r="P234" s="13">
        <f>+[18]Result!$G$9</f>
        <v>-34342842.064194322</v>
      </c>
      <c r="Q234" s="32">
        <f>+[19]Result!$G$9</f>
        <v>-34349553.308810152</v>
      </c>
      <c r="R234" s="32">
        <f>+[20]Result!$G$9</f>
        <v>-34618510.508671716</v>
      </c>
      <c r="S234" s="70">
        <f>+[22]Result!$G$9</f>
        <v>-34698569.790476017</v>
      </c>
    </row>
    <row r="235" spans="1:37" hidden="1" outlineLevel="1" x14ac:dyDescent="0.25">
      <c r="A235" s="15" t="s">
        <v>8</v>
      </c>
      <c r="B235" s="13" cm="1">
        <f t="array" ref="B235">+[1]!PV_UP_6_10</f>
        <v>-93839793.431544825</v>
      </c>
      <c r="C235" s="13" cm="1">
        <f t="array" ref="C235">+[5]!PV_UP_6_10</f>
        <v>-94857523.5861765</v>
      </c>
      <c r="D235" s="32" cm="1">
        <f t="array" ref="D235">+[6]!PV_UP_6_10</f>
        <v>-90045732.738039598</v>
      </c>
      <c r="E235" s="13" cm="1">
        <f t="array" ref="E235">+[7]!PV_UP_6_10</f>
        <v>-92479325.069471717</v>
      </c>
      <c r="F235" s="13" cm="1">
        <f t="array" ref="F235">+[8]!PV_UP_6_10</f>
        <v>-91808433.544396862</v>
      </c>
      <c r="G235" s="32" cm="1">
        <f t="array" ref="G235">+[9]!PV_UP_6_10</f>
        <v>-91559883.313683748</v>
      </c>
      <c r="H235" s="13" cm="1">
        <f t="array" ref="H235">+[10]!PV_UP_6_10</f>
        <v>-90781561.810204446</v>
      </c>
      <c r="I235" s="13" cm="1">
        <f t="array" ref="I235">+[11]!PV_UP_6_10</f>
        <v>-91076364.128386617</v>
      </c>
      <c r="J235" s="32" cm="1">
        <f t="array" ref="J235">+[12]!PV_UP_6_10</f>
        <v>-91138678.806921273</v>
      </c>
      <c r="K235" s="13" cm="1">
        <f t="array" ref="K235">+[13]!PV_UP_6_10</f>
        <v>-91559073.745103702</v>
      </c>
      <c r="L235" s="13" cm="1">
        <f t="array" ref="L235">+[14]!PV_UP_6_10</f>
        <v>-90655199.28107667</v>
      </c>
      <c r="M235" s="13" cm="1">
        <f t="array" ref="M235">+[15]!PV_UP_6_10</f>
        <v>-71111670.792039514</v>
      </c>
      <c r="N235" s="32" cm="1">
        <f t="array" ref="N235">+[16]!PV_UP_6_10</f>
        <v>-71550410.23021166</v>
      </c>
      <c r="O235" s="13" cm="1">
        <f t="array" ref="O235">+[17]!PV_UP_6_10</f>
        <v>-72887616.351630867</v>
      </c>
      <c r="P235" s="13" cm="1">
        <f t="array" ref="P235">+[18]!PV_UP_6_10</f>
        <v>-74478786.654293314</v>
      </c>
      <c r="Q235" s="32" cm="1">
        <f t="array" ref="Q235">+[19]!PV_UP_6_10</f>
        <v>-74454378.808775023</v>
      </c>
      <c r="R235" s="32" cm="1">
        <f t="array" ref="R235">+[20]!PV_UP_6_10</f>
        <v>-75238554.08846648</v>
      </c>
      <c r="S235" s="70" cm="1">
        <f t="array" ref="S235">+[22]!PV_UP_6_10</f>
        <v>-75619576.348794922</v>
      </c>
      <c r="T235" s="13">
        <f>+B235-SUM(B236:B240)</f>
        <v>0</v>
      </c>
      <c r="U235" s="13">
        <f t="shared" ref="U235:W235" si="182">+C235-SUM(C236:C240)</f>
        <v>0</v>
      </c>
      <c r="V235" s="13">
        <f t="shared" si="182"/>
        <v>0</v>
      </c>
      <c r="W235" s="13">
        <f t="shared" si="182"/>
        <v>0</v>
      </c>
      <c r="X235" s="13">
        <f t="shared" ref="X235" si="183">+F235-SUM(F236:F240)</f>
        <v>0</v>
      </c>
      <c r="Y235" s="13">
        <f t="shared" ref="Y235:AE235" si="184">+G235-SUM(G236:G240)</f>
        <v>0</v>
      </c>
      <c r="Z235" s="13">
        <f t="shared" si="184"/>
        <v>0</v>
      </c>
      <c r="AA235" s="13">
        <f t="shared" si="184"/>
        <v>0</v>
      </c>
      <c r="AB235" s="13">
        <f t="shared" si="184"/>
        <v>0</v>
      </c>
      <c r="AC235" s="13">
        <f t="shared" si="184"/>
        <v>0</v>
      </c>
      <c r="AD235" s="13">
        <f t="shared" si="184"/>
        <v>0</v>
      </c>
      <c r="AE235" s="13">
        <f t="shared" si="184"/>
        <v>0</v>
      </c>
      <c r="AF235" s="13">
        <f t="shared" ref="AF235" si="185">+N235-SUM(N236:N240)</f>
        <v>0</v>
      </c>
      <c r="AG235" s="13">
        <f t="shared" ref="AG235:AH235" si="186">+O235-SUM(O236:O240)</f>
        <v>0</v>
      </c>
      <c r="AH235" s="13">
        <f t="shared" si="186"/>
        <v>0</v>
      </c>
      <c r="AI235" s="13">
        <f t="shared" ref="AI235" si="187">+Q235-SUM(Q236:Q240)</f>
        <v>0</v>
      </c>
      <c r="AJ235" s="13">
        <f t="shared" ref="AJ235:AK235" si="188">+R235-SUM(R236:R240)</f>
        <v>0</v>
      </c>
      <c r="AK235" s="13">
        <f t="shared" si="188"/>
        <v>0</v>
      </c>
    </row>
    <row r="236" spans="1:37" hidden="1" outlineLevel="2" x14ac:dyDescent="0.25">
      <c r="A236" s="16" t="s">
        <v>9</v>
      </c>
      <c r="B236" s="13">
        <f>+[1]Result!$G$10</f>
        <v>-29415272.825471755</v>
      </c>
      <c r="C236" s="13">
        <f>+[5]Result!$G$10</f>
        <v>-29725117.951755848</v>
      </c>
      <c r="D236" s="32">
        <f>+[6]Result!$G$10</f>
        <v>-28723890.282719571</v>
      </c>
      <c r="E236" s="13">
        <f>+[7]Result!$G$10</f>
        <v>-29417022.746683251</v>
      </c>
      <c r="F236" s="13">
        <f>+[8]Result!$G$10</f>
        <v>-29246078.714192908</v>
      </c>
      <c r="G236" s="32">
        <f>+[9]Result!$G$10</f>
        <v>-29069260.663079865</v>
      </c>
      <c r="H236" s="13">
        <f>+[10]Result!$G$10</f>
        <v>-28845685.316742398</v>
      </c>
      <c r="I236" s="13">
        <f>+[11]Result!$G$10</f>
        <v>-28953154.169401858</v>
      </c>
      <c r="J236" s="32">
        <f>+[12]Result!$G$10</f>
        <v>-29100567.382859174</v>
      </c>
      <c r="K236" s="13">
        <f>+[13]Result!$G$10</f>
        <v>-29219537.548051726</v>
      </c>
      <c r="L236" s="13">
        <f>+[14]Result!$G$10</f>
        <v>-29014044.295015693</v>
      </c>
      <c r="M236" s="13">
        <f>+[15]Result!$G$10</f>
        <v>-23846671.904585585</v>
      </c>
      <c r="N236" s="32">
        <f>+[16]Result!$G$10</f>
        <v>-23964814.163135327</v>
      </c>
      <c r="O236" s="13">
        <f>+[17]Result!$G$10</f>
        <v>-24308015.386789884</v>
      </c>
      <c r="P236" s="13">
        <f>+[18]Result!$G$10</f>
        <v>-24846968.354797442</v>
      </c>
      <c r="Q236" s="32">
        <f>+[19]Result!$G$10</f>
        <v>-24846268.012105234</v>
      </c>
      <c r="R236" s="32">
        <f>+[20]Result!$G$10</f>
        <v>-25074083.420245357</v>
      </c>
      <c r="S236" s="70">
        <f>+[22]Result!$G$10</f>
        <v>-25163848.854125917</v>
      </c>
    </row>
    <row r="237" spans="1:37" hidden="1" outlineLevel="2" x14ac:dyDescent="0.25">
      <c r="A237" s="16" t="s">
        <v>10</v>
      </c>
      <c r="B237" s="13">
        <f>+[1]Result!$G$11</f>
        <v>-22462245.195723351</v>
      </c>
      <c r="C237" s="13">
        <f>+[5]Result!$G$11</f>
        <v>-22716042.383182801</v>
      </c>
      <c r="D237" s="32">
        <f>+[6]Result!$G$11</f>
        <v>-21804662.325792648</v>
      </c>
      <c r="E237" s="13">
        <f>+[7]Result!$G$11</f>
        <v>-22382906.126072716</v>
      </c>
      <c r="F237" s="13">
        <f>+[8]Result!$G$11</f>
        <v>-22231625.413900208</v>
      </c>
      <c r="G237" s="32">
        <f>+[9]Result!$G$11</f>
        <v>-22185708.762829915</v>
      </c>
      <c r="H237" s="13">
        <f>+[10]Result!$G$11</f>
        <v>-22004133.618116211</v>
      </c>
      <c r="I237" s="13">
        <f>+[11]Result!$G$11</f>
        <v>-22084442.906351797</v>
      </c>
      <c r="J237" s="32">
        <f>+[12]Result!$G$11</f>
        <v>-22137163.133534819</v>
      </c>
      <c r="K237" s="13">
        <f>+[13]Result!$G$11</f>
        <v>-22236957.452546384</v>
      </c>
      <c r="L237" s="13">
        <f>+[14]Result!$G$11</f>
        <v>-22037736.554158196</v>
      </c>
      <c r="M237" s="13">
        <f>+[15]Result!$G$11</f>
        <v>-17732736.722119473</v>
      </c>
      <c r="N237" s="32">
        <f>+[16]Result!$G$11</f>
        <v>-17838419.767875254</v>
      </c>
      <c r="O237" s="13">
        <f>+[17]Result!$G$11</f>
        <v>-18151193.412009735</v>
      </c>
      <c r="P237" s="13">
        <f>+[18]Result!$G$11</f>
        <v>-18583294.029402863</v>
      </c>
      <c r="Q237" s="32">
        <f>+[19]Result!$G$11</f>
        <v>-18580914.856886931</v>
      </c>
      <c r="R237" s="32">
        <f>+[20]Result!$G$11</f>
        <v>-18772543.545971554</v>
      </c>
      <c r="S237" s="70">
        <f>+[22]Result!$G$11</f>
        <v>-18857717.30445677</v>
      </c>
    </row>
    <row r="238" spans="1:37" hidden="1" outlineLevel="2" x14ac:dyDescent="0.25">
      <c r="A238" s="16" t="s">
        <v>11</v>
      </c>
      <c r="B238" s="13">
        <f>+[1]Result!$G$12</f>
        <v>-17329003.379238192</v>
      </c>
      <c r="C238" s="13">
        <f>+[5]Result!$G$12</f>
        <v>-17530221.970931225</v>
      </c>
      <c r="D238" s="32">
        <f>+[6]Result!$G$12</f>
        <v>-16681581.191556422</v>
      </c>
      <c r="E238" s="13">
        <f>+[7]Result!$G$12</f>
        <v>-17156100.744794037</v>
      </c>
      <c r="F238" s="13">
        <f>+[8]Result!$G$12</f>
        <v>-17022811.359254494</v>
      </c>
      <c r="G238" s="32">
        <f>+[9]Result!$G$12</f>
        <v>-17040963.52810451</v>
      </c>
      <c r="H238" s="13">
        <f>+[10]Result!$G$12</f>
        <v>-16893295.308012258</v>
      </c>
      <c r="I238" s="13">
        <f>+[11]Result!$G$12</f>
        <v>-16949227.417355165</v>
      </c>
      <c r="J238" s="32">
        <f>+[12]Result!$G$12</f>
        <v>-16966138.410499018</v>
      </c>
      <c r="K238" s="13">
        <f>+[13]Result!$G$12</f>
        <v>-17047172.711022824</v>
      </c>
      <c r="L238" s="13">
        <f>+[14]Result!$G$12</f>
        <v>-16863788.176621217</v>
      </c>
      <c r="M238" s="13">
        <f>+[15]Result!$G$12</f>
        <v>-13260158.343252629</v>
      </c>
      <c r="N238" s="32">
        <f>+[16]Result!$G$12</f>
        <v>-13350656.127698421</v>
      </c>
      <c r="O238" s="13">
        <f>+[17]Result!$G$12</f>
        <v>-13625810.790094564</v>
      </c>
      <c r="P238" s="13">
        <f>+[18]Result!$G$12</f>
        <v>-13908726.859329131</v>
      </c>
      <c r="Q238" s="32">
        <f>+[19]Result!$G$12</f>
        <v>-13902597.001744164</v>
      </c>
      <c r="R238" s="32">
        <f>+[20]Result!$G$12</f>
        <v>-14061312.248313431</v>
      </c>
      <c r="S238" s="70">
        <f>+[22]Result!$G$12</f>
        <v>-14138528.992127845</v>
      </c>
    </row>
    <row r="239" spans="1:37" hidden="1" outlineLevel="2" x14ac:dyDescent="0.25">
      <c r="A239" s="16" t="s">
        <v>12</v>
      </c>
      <c r="B239" s="13">
        <f>+[1]Result!$G$13</f>
        <v>-13405101.796129992</v>
      </c>
      <c r="C239" s="13">
        <f>+[5]Result!$G$13</f>
        <v>-13545810.769032395</v>
      </c>
      <c r="D239" s="32">
        <f>+[6]Result!$G$13</f>
        <v>-12358138.901861824</v>
      </c>
      <c r="E239" s="13">
        <f>+[7]Result!$G$13</f>
        <v>-12729640.95733441</v>
      </c>
      <c r="F239" s="13">
        <f>+[8]Result!$G$13</f>
        <v>-12616151.8060655</v>
      </c>
      <c r="G239" s="32">
        <f>+[9]Result!$G$13</f>
        <v>-12524814.385180114</v>
      </c>
      <c r="H239" s="13">
        <f>+[10]Result!$G$13</f>
        <v>-12410577.346760834</v>
      </c>
      <c r="I239" s="13">
        <f>+[11]Result!$G$13</f>
        <v>-12443358.909588397</v>
      </c>
      <c r="J239" s="32">
        <f>+[12]Result!$G$13</f>
        <v>-12393293.11082956</v>
      </c>
      <c r="K239" s="13">
        <f>+[13]Result!$G$13</f>
        <v>-12456856.348902188</v>
      </c>
      <c r="L239" s="13">
        <f>+[14]Result!$G$13</f>
        <v>-12299655.792971885</v>
      </c>
      <c r="M239" s="13">
        <f>+[15]Result!$G$13</f>
        <v>-9571043.6767956521</v>
      </c>
      <c r="N239" s="32">
        <f>+[16]Result!$G$13</f>
        <v>-9640763.975550985</v>
      </c>
      <c r="O239" s="13">
        <f>+[17]Result!$G$13</f>
        <v>-9868215.3339999672</v>
      </c>
      <c r="P239" s="13">
        <f>+[18]Result!$G$13</f>
        <v>-10062623.058427092</v>
      </c>
      <c r="Q239" s="32">
        <f>+[19]Result!$G$13</f>
        <v>-10056952.591518043</v>
      </c>
      <c r="R239" s="32">
        <f>+[20]Result!$G$13</f>
        <v>-10178295.171930147</v>
      </c>
      <c r="S239" s="70">
        <f>+[22]Result!$G$13</f>
        <v>-10248925.871494897</v>
      </c>
    </row>
    <row r="240" spans="1:37" hidden="1" outlineLevel="2" x14ac:dyDescent="0.25">
      <c r="A240" s="16" t="s">
        <v>13</v>
      </c>
      <c r="B240" s="13">
        <f>+[1]Result!$G$14</f>
        <v>-11228170.234981539</v>
      </c>
      <c r="C240" s="13">
        <f>+[5]Result!$G$14</f>
        <v>-11340330.511274228</v>
      </c>
      <c r="D240" s="32">
        <f>+[6]Result!$G$14</f>
        <v>-10477460.036109133</v>
      </c>
      <c r="E240" s="13">
        <f>+[7]Result!$G$14</f>
        <v>-10793654.494587308</v>
      </c>
      <c r="F240" s="13">
        <f>+[8]Result!$G$14</f>
        <v>-10691766.25098376</v>
      </c>
      <c r="G240" s="32">
        <f>+[9]Result!$G$14</f>
        <v>-10739135.974489341</v>
      </c>
      <c r="H240" s="13">
        <f>+[10]Result!$G$14</f>
        <v>-10627870.220572734</v>
      </c>
      <c r="I240" s="13">
        <f>+[11]Result!$G$14</f>
        <v>-10646180.7256894</v>
      </c>
      <c r="J240" s="32">
        <f>+[12]Result!$G$14</f>
        <v>-10541516.769198693</v>
      </c>
      <c r="K240" s="13">
        <f>+[13]Result!$G$14</f>
        <v>-10598549.684580583</v>
      </c>
      <c r="L240" s="13">
        <f>+[14]Result!$G$14</f>
        <v>-10439974.462309686</v>
      </c>
      <c r="M240" s="13">
        <f>+[15]Result!$G$14</f>
        <v>-6701060.1452861745</v>
      </c>
      <c r="N240" s="32">
        <f>+[16]Result!$G$14</f>
        <v>-6755756.1959516648</v>
      </c>
      <c r="O240" s="13">
        <f>+[17]Result!$G$14</f>
        <v>-6934381.4287367165</v>
      </c>
      <c r="P240" s="13">
        <f>+[18]Result!$G$14</f>
        <v>-7077174.352336783</v>
      </c>
      <c r="Q240" s="32">
        <f>+[19]Result!$G$14</f>
        <v>-7067646.3465206418</v>
      </c>
      <c r="R240" s="32">
        <f>+[20]Result!$G$14</f>
        <v>-7152319.7020059992</v>
      </c>
      <c r="S240" s="70">
        <f>+[22]Result!$G$14</f>
        <v>-7210555.3265894977</v>
      </c>
    </row>
    <row r="241" spans="1:37" hidden="1" outlineLevel="1" x14ac:dyDescent="0.25">
      <c r="A241" s="15" t="s">
        <v>14</v>
      </c>
      <c r="B241" s="13" cm="1">
        <f t="array" ref="B241">+[1]!PV_UP_11_20</f>
        <v>-40588226.646872342</v>
      </c>
      <c r="C241" s="13" cm="1">
        <f t="array" ref="C241">+[5]!PV_UP_11_20</f>
        <v>-41001559.862260737</v>
      </c>
      <c r="D241" s="32" cm="1">
        <f t="array" ref="D241">+[6]!PV_UP_11_20</f>
        <v>-35954660.31151025</v>
      </c>
      <c r="E241" s="13" cm="1">
        <f t="array" ref="E241">+[7]!PV_UP_11_20</f>
        <v>-37023314.469961844</v>
      </c>
      <c r="F241" s="13" cm="1">
        <f t="array" ref="F241">+[8]!PV_UP_11_20</f>
        <v>-36535309.006410085</v>
      </c>
      <c r="G241" s="32" cm="1">
        <f t="array" ref="G241">+[9]!PV_UP_11_20</f>
        <v>-36007240.416366607</v>
      </c>
      <c r="H241" s="13" cm="1">
        <f t="array" ref="H241">+[10]!PV_UP_11_20</f>
        <v>-35613216.905125372</v>
      </c>
      <c r="I241" s="13" cm="1">
        <f t="array" ref="I241">+[11]!PV_UP_11_20</f>
        <v>-35497013.560309649</v>
      </c>
      <c r="J241" s="32" cm="1">
        <f t="array" ref="J241">+[12]!PV_UP_11_20</f>
        <v>-35785679.510869458</v>
      </c>
      <c r="K241" s="13" cm="1">
        <f t="array" ref="K241">+[13]!PV_UP_11_20</f>
        <v>-35931151.093712069</v>
      </c>
      <c r="L241" s="13" cm="1">
        <f t="array" ref="L241">+[14]!PV_UP_11_20</f>
        <v>-35205318.567922719</v>
      </c>
      <c r="M241" s="13" cm="1">
        <f t="array" ref="M241">+[15]!PV_UP_11_20</f>
        <v>-25703325.721436597</v>
      </c>
      <c r="N241" s="32" cm="1">
        <f t="array" ref="N241">+[16]!PV_UP_11_20</f>
        <v>-25963479.466159731</v>
      </c>
      <c r="O241" s="13" cm="1">
        <f t="array" ref="O241">+[17]!PV_UP_11_20</f>
        <v>-26795065.01590066</v>
      </c>
      <c r="P241" s="13" cm="1">
        <f t="array" ref="P241">+[18]!PV_UP_11_20</f>
        <v>-26707477.921583071</v>
      </c>
      <c r="Q241" s="32" cm="1">
        <f t="array" ref="Q241">+[19]!PV_UP_11_20</f>
        <v>-26621632.152089272</v>
      </c>
      <c r="R241" s="32" cm="1">
        <f t="array" ref="R241">+[20]!PV_UP_11_20</f>
        <v>-26906254.336833492</v>
      </c>
      <c r="S241" s="70" cm="1">
        <f t="array" ref="S241">+[22]!PV_UP_11_20</f>
        <v>-27232815.333581634</v>
      </c>
      <c r="T241" s="13">
        <f>+B241-SUM(B242:B251)</f>
        <v>0</v>
      </c>
      <c r="U241" s="13">
        <f t="shared" ref="U241:W241" si="189">+C241-SUM(C242:C251)</f>
        <v>0</v>
      </c>
      <c r="V241" s="13">
        <f t="shared" si="189"/>
        <v>0</v>
      </c>
      <c r="W241" s="13">
        <f t="shared" si="189"/>
        <v>0</v>
      </c>
      <c r="X241" s="13">
        <f t="shared" ref="X241" si="190">+F241-SUM(F242:F251)</f>
        <v>0</v>
      </c>
      <c r="Y241" s="13">
        <f t="shared" ref="Y241:AE241" si="191">+G241-SUM(G242:G251)</f>
        <v>0</v>
      </c>
      <c r="Z241" s="13">
        <f t="shared" si="191"/>
        <v>0</v>
      </c>
      <c r="AA241" s="13">
        <f t="shared" si="191"/>
        <v>0</v>
      </c>
      <c r="AB241" s="13">
        <f t="shared" si="191"/>
        <v>0</v>
      </c>
      <c r="AC241" s="13">
        <f t="shared" si="191"/>
        <v>0</v>
      </c>
      <c r="AD241" s="13">
        <f t="shared" si="191"/>
        <v>0</v>
      </c>
      <c r="AE241" s="13">
        <f t="shared" si="191"/>
        <v>0</v>
      </c>
      <c r="AF241" s="13">
        <f t="shared" ref="AF241" si="192">+N241-SUM(N242:N251)</f>
        <v>0</v>
      </c>
      <c r="AG241" s="13">
        <f t="shared" ref="AG241:AH241" si="193">+O241-SUM(O242:O251)</f>
        <v>0</v>
      </c>
      <c r="AH241" s="13">
        <f t="shared" si="193"/>
        <v>0</v>
      </c>
      <c r="AI241" s="13">
        <f t="shared" ref="AI241" si="194">+Q241-SUM(Q242:Q251)</f>
        <v>0</v>
      </c>
      <c r="AJ241" s="13">
        <f t="shared" ref="AJ241:AK241" si="195">+R241-SUM(R242:R251)</f>
        <v>0</v>
      </c>
      <c r="AK241" s="13">
        <f t="shared" si="195"/>
        <v>0</v>
      </c>
    </row>
    <row r="242" spans="1:37" hidden="1" outlineLevel="2" x14ac:dyDescent="0.25">
      <c r="A242" s="16" t="s">
        <v>15</v>
      </c>
      <c r="B242" s="13">
        <f>+[1]Result!$G$15</f>
        <v>-8782035.3615212645</v>
      </c>
      <c r="C242" s="13">
        <f>+[5]Result!$G$15</f>
        <v>-8869972.3749155905</v>
      </c>
      <c r="D242" s="32">
        <f>+[6]Result!$G$15</f>
        <v>-8003790.8039303543</v>
      </c>
      <c r="E242" s="13">
        <f>+[7]Result!$G$15</f>
        <v>-8228487.909977545</v>
      </c>
      <c r="F242" s="13">
        <f>+[8]Result!$G$15</f>
        <v>-8153897.7518821433</v>
      </c>
      <c r="G242" s="32">
        <f>+[9]Result!$G$15</f>
        <v>-8175434.9357083719</v>
      </c>
      <c r="H242" s="13">
        <f>+[10]Result!$G$15</f>
        <v>-8081774.7812799904</v>
      </c>
      <c r="I242" s="13">
        <f>+[11]Result!$G$15</f>
        <v>-8084404.9430983718</v>
      </c>
      <c r="J242" s="32">
        <f>+[12]Result!$G$15</f>
        <v>-8068823.74190161</v>
      </c>
      <c r="K242" s="13">
        <f>+[13]Result!$G$15</f>
        <v>-8113387.0198823372</v>
      </c>
      <c r="L242" s="13">
        <f>+[14]Result!$G$15</f>
        <v>-7975128.4707276821</v>
      </c>
      <c r="M242" s="13">
        <f>+[15]Result!$G$15</f>
        <v>-4863995.8657279769</v>
      </c>
      <c r="N242" s="32">
        <f>+[16]Result!$G$15</f>
        <v>-4907553.6745638493</v>
      </c>
      <c r="O242" s="13">
        <f>+[17]Result!$G$15</f>
        <v>-5050393.9258765187</v>
      </c>
      <c r="P242" s="13">
        <f>+[18]Result!$G$15</f>
        <v>-5147573.8194949152</v>
      </c>
      <c r="Q242" s="32">
        <f>+[19]Result!$G$15</f>
        <v>-5139944.200810628</v>
      </c>
      <c r="R242" s="32">
        <f>+[20]Result!$G$15</f>
        <v>-5202391.4938562019</v>
      </c>
      <c r="S242" s="70">
        <f>+[22]Result!$G$15</f>
        <v>-5251495.4269698244</v>
      </c>
    </row>
    <row r="243" spans="1:37" hidden="1" outlineLevel="2" x14ac:dyDescent="0.25">
      <c r="A243" s="16" t="s">
        <v>16</v>
      </c>
      <c r="B243" s="13">
        <f>+[1]Result!$G$16</f>
        <v>-6391110.544610979</v>
      </c>
      <c r="C243" s="13">
        <f>+[5]Result!$G$16</f>
        <v>-6450722.9448054796</v>
      </c>
      <c r="D243" s="32">
        <f>+[6]Result!$G$16</f>
        <v>-5588669.5667367736</v>
      </c>
      <c r="E243" s="13">
        <f>+[7]Result!$G$16</f>
        <v>-5735202.0334209921</v>
      </c>
      <c r="F243" s="13">
        <f>+[8]Result!$G$16</f>
        <v>-5681590.183243921</v>
      </c>
      <c r="G243" s="32">
        <f>+[9]Result!$G$16</f>
        <v>-5628069.1345273079</v>
      </c>
      <c r="H243" s="13">
        <f>+[10]Result!$G$16</f>
        <v>-5573721.1946661361</v>
      </c>
      <c r="I243" s="13">
        <f>+[11]Result!$G$16</f>
        <v>-5568120.3706747489</v>
      </c>
      <c r="J243" s="32">
        <f>+[12]Result!$G$16</f>
        <v>-5608842.8924789783</v>
      </c>
      <c r="K243" s="13">
        <f>+[13]Result!$G$16</f>
        <v>-5635179.5568113765</v>
      </c>
      <c r="L243" s="13">
        <f>+[14]Result!$G$16</f>
        <v>-5531920.878054807</v>
      </c>
      <c r="M243" s="13">
        <f>+[15]Result!$G$16</f>
        <v>-3963915.5339676025</v>
      </c>
      <c r="N243" s="32">
        <f>+[16]Result!$G$16</f>
        <v>-4000400.8023515162</v>
      </c>
      <c r="O243" s="13">
        <f>+[17]Result!$G$16</f>
        <v>-4127413.7514836839</v>
      </c>
      <c r="P243" s="13">
        <f>+[18]Result!$G$16</f>
        <v>-4073403.550921327</v>
      </c>
      <c r="Q243" s="32">
        <f>+[19]Result!$G$16</f>
        <v>-4068184.7710945215</v>
      </c>
      <c r="R243" s="32">
        <f>+[20]Result!$G$16</f>
        <v>-4119406.8678083224</v>
      </c>
      <c r="S243" s="70">
        <f>+[22]Result!$G$16</f>
        <v>-4167517.5763841993</v>
      </c>
    </row>
    <row r="244" spans="1:37" hidden="1" outlineLevel="2" x14ac:dyDescent="0.25">
      <c r="A244" s="16" t="s">
        <v>17</v>
      </c>
      <c r="B244" s="13">
        <f>+[1]Result!$G$17</f>
        <v>-5330318.879025884</v>
      </c>
      <c r="C244" s="13">
        <f>+[5]Result!$G$17</f>
        <v>-5381428.0058957962</v>
      </c>
      <c r="D244" s="32">
        <f>+[6]Result!$G$17</f>
        <v>-4660119.2936280174</v>
      </c>
      <c r="E244" s="13">
        <f>+[7]Result!$G$17</f>
        <v>-4784537.4710855335</v>
      </c>
      <c r="F244" s="13">
        <f>+[8]Result!$G$17</f>
        <v>-4733104.1462828219</v>
      </c>
      <c r="G244" s="32">
        <f>+[9]Result!$G$17</f>
        <v>-4661838.0012715412</v>
      </c>
      <c r="H244" s="13">
        <f>+[10]Result!$G$17</f>
        <v>-4624942.247414927</v>
      </c>
      <c r="I244" s="13">
        <f>+[11]Result!$G$17</f>
        <v>-4615431.1242793687</v>
      </c>
      <c r="J244" s="32">
        <f>+[12]Result!$G$17</f>
        <v>-4644420.3825522745</v>
      </c>
      <c r="K244" s="13">
        <f>+[13]Result!$G$17</f>
        <v>-4662056.4399388684</v>
      </c>
      <c r="L244" s="13">
        <f>+[14]Result!$G$17</f>
        <v>-4579938.4099526182</v>
      </c>
      <c r="M244" s="13">
        <f>+[15]Result!$G$17</f>
        <v>-3377320.3489191863</v>
      </c>
      <c r="N244" s="32">
        <f>+[16]Result!$G$17</f>
        <v>-3412616.1254529082</v>
      </c>
      <c r="O244" s="13">
        <f>+[17]Result!$G$17</f>
        <v>-3522108.7304894426</v>
      </c>
      <c r="P244" s="13">
        <f>+[18]Result!$G$17</f>
        <v>-3490980.4163194615</v>
      </c>
      <c r="Q244" s="32">
        <f>+[19]Result!$G$17</f>
        <v>-3483873.3891119119</v>
      </c>
      <c r="R244" s="32">
        <f>+[20]Result!$G$17</f>
        <v>-3527545.7145665279</v>
      </c>
      <c r="S244" s="70">
        <f>+[22]Result!$G$17</f>
        <v>-3574647.8095016703</v>
      </c>
    </row>
    <row r="245" spans="1:37" hidden="1" outlineLevel="2" x14ac:dyDescent="0.25">
      <c r="A245" s="16" t="s">
        <v>18</v>
      </c>
      <c r="B245" s="13">
        <f>+[1]Result!$G$18</f>
        <v>-4521467.8500098847</v>
      </c>
      <c r="C245" s="13">
        <f>+[5]Result!$G$18</f>
        <v>-4568680.4521022346</v>
      </c>
      <c r="D245" s="32">
        <f>+[6]Result!$G$18</f>
        <v>-3969951.7828242052</v>
      </c>
      <c r="E245" s="13">
        <f>+[7]Result!$G$18</f>
        <v>-4081059.9903228199</v>
      </c>
      <c r="F245" s="13">
        <f>+[8]Result!$G$18</f>
        <v>-4030550.8734299676</v>
      </c>
      <c r="G245" s="32">
        <f>+[9]Result!$G$18</f>
        <v>-3986118.8949965993</v>
      </c>
      <c r="H245" s="13">
        <f>+[10]Result!$G$18</f>
        <v>-3951768.573511255</v>
      </c>
      <c r="I245" s="13">
        <f>+[11]Result!$G$18</f>
        <v>-3938660.9261917919</v>
      </c>
      <c r="J245" s="32">
        <f>+[12]Result!$G$18</f>
        <v>-3970635.2582096676</v>
      </c>
      <c r="K245" s="13">
        <f>+[13]Result!$G$18</f>
        <v>-3985626.7726034718</v>
      </c>
      <c r="L245" s="13">
        <f>+[14]Result!$G$18</f>
        <v>-3917050.9109667009</v>
      </c>
      <c r="M245" s="13">
        <f>+[15]Result!$G$18</f>
        <v>-2977027.283706211</v>
      </c>
      <c r="N245" s="32">
        <f>+[16]Result!$G$18</f>
        <v>-3012940.8651555227</v>
      </c>
      <c r="O245" s="13">
        <f>+[17]Result!$G$18</f>
        <v>-3106227.2411976461</v>
      </c>
      <c r="P245" s="13">
        <f>+[18]Result!$G$18</f>
        <v>-3085658.2244309383</v>
      </c>
      <c r="Q245" s="32">
        <f>+[19]Result!$G$18</f>
        <v>-3080089.2363390331</v>
      </c>
      <c r="R245" s="32">
        <f>+[20]Result!$G$18</f>
        <v>-3119024.2650548108</v>
      </c>
      <c r="S245" s="70">
        <f>+[22]Result!$G$18</f>
        <v>-3162574.8407845292</v>
      </c>
    </row>
    <row r="246" spans="1:37" hidden="1" outlineLevel="2" x14ac:dyDescent="0.25">
      <c r="A246" s="16" t="s">
        <v>19</v>
      </c>
      <c r="B246" s="13">
        <f>+[1]Result!$G$19</f>
        <v>-3957291.4796161042</v>
      </c>
      <c r="C246" s="13">
        <f>+[5]Result!$G$19</f>
        <v>-4005041.915218167</v>
      </c>
      <c r="D246" s="32">
        <f>+[6]Result!$G$19</f>
        <v>-3490382.791536117</v>
      </c>
      <c r="E246" s="13">
        <f>+[7]Result!$G$19</f>
        <v>-3591897.8575628051</v>
      </c>
      <c r="F246" s="13">
        <f>+[8]Result!$G$19</f>
        <v>-3541215.5847583418</v>
      </c>
      <c r="G246" s="32">
        <f>+[9]Result!$G$19</f>
        <v>-3471614.0280893086</v>
      </c>
      <c r="H246" s="13">
        <f>+[10]Result!$G$19</f>
        <v>-3436126.7340828367</v>
      </c>
      <c r="I246" s="13">
        <f>+[11]Result!$G$19</f>
        <v>-3421518.0695820758</v>
      </c>
      <c r="J246" s="32">
        <f>+[12]Result!$G$19</f>
        <v>-3425592.7688375083</v>
      </c>
      <c r="K246" s="13">
        <f>+[13]Result!$G$19</f>
        <v>-3438280.2649627049</v>
      </c>
      <c r="L246" s="13">
        <f>+[14]Result!$G$19</f>
        <v>-3370557.4999106084</v>
      </c>
      <c r="M246" s="13">
        <f>+[15]Result!$G$19</f>
        <v>-2617829.9022709546</v>
      </c>
      <c r="N246" s="32">
        <f>+[16]Result!$G$19</f>
        <v>-2649324.6386905019</v>
      </c>
      <c r="O246" s="13">
        <f>+[17]Result!$G$19</f>
        <v>-2731424.5987582011</v>
      </c>
      <c r="P246" s="13">
        <f>+[18]Result!$G$19</f>
        <v>-2690978.3684497322</v>
      </c>
      <c r="Q246" s="32">
        <f>+[19]Result!$G$19</f>
        <v>-2683079.5256859637</v>
      </c>
      <c r="R246" s="32">
        <f>+[20]Result!$G$19</f>
        <v>-2715895.342920064</v>
      </c>
      <c r="S246" s="70">
        <f>+[22]Result!$G$19</f>
        <v>-2754341.5453682262</v>
      </c>
    </row>
    <row r="247" spans="1:37" hidden="1" outlineLevel="2" x14ac:dyDescent="0.25">
      <c r="A247" s="16" t="s">
        <v>20</v>
      </c>
      <c r="B247" s="13">
        <f>+[1]Result!$G$20</f>
        <v>-3274364.9281027936</v>
      </c>
      <c r="C247" s="13">
        <f>+[5]Result!$G$20</f>
        <v>-3314810.0337066138</v>
      </c>
      <c r="D247" s="32">
        <f>+[6]Result!$G$20</f>
        <v>-2883233.8567356826</v>
      </c>
      <c r="E247" s="13">
        <f>+[7]Result!$G$20</f>
        <v>-2972547.5101904552</v>
      </c>
      <c r="F247" s="13">
        <f>+[8]Result!$G$20</f>
        <v>-2925106.0541380206</v>
      </c>
      <c r="G247" s="32">
        <f>+[9]Result!$G$20</f>
        <v>-2847514.4910745425</v>
      </c>
      <c r="H247" s="13">
        <f>+[10]Result!$G$20</f>
        <v>-2813486.6892903452</v>
      </c>
      <c r="I247" s="13">
        <f>+[11]Result!$G$20</f>
        <v>-2798818.4378348142</v>
      </c>
      <c r="J247" s="32">
        <f>+[12]Result!$G$20</f>
        <v>-2817567.314449606</v>
      </c>
      <c r="K247" s="13">
        <f>+[13]Result!$G$20</f>
        <v>-2827243.6085102158</v>
      </c>
      <c r="L247" s="13">
        <f>+[14]Result!$G$20</f>
        <v>-2763864.2638335978</v>
      </c>
      <c r="M247" s="13">
        <f>+[15]Result!$G$20</f>
        <v>-2180739.4542174675</v>
      </c>
      <c r="N247" s="32">
        <f>+[16]Result!$G$20</f>
        <v>-2202379.17122107</v>
      </c>
      <c r="O247" s="13">
        <f>+[17]Result!$G$20</f>
        <v>-2272369.487119019</v>
      </c>
      <c r="P247" s="13">
        <f>+[18]Result!$G$20</f>
        <v>-2246531.3888878343</v>
      </c>
      <c r="Q247" s="32">
        <f>+[19]Result!$G$20</f>
        <v>-2235525.942370703</v>
      </c>
      <c r="R247" s="32">
        <f>+[20]Result!$G$20</f>
        <v>-2256500.187347366</v>
      </c>
      <c r="S247" s="70">
        <f>+[22]Result!$G$20</f>
        <v>-2285003.2700655712</v>
      </c>
    </row>
    <row r="248" spans="1:37" hidden="1" outlineLevel="2" x14ac:dyDescent="0.25">
      <c r="A248" s="16" t="s">
        <v>21</v>
      </c>
      <c r="B248" s="13">
        <f>+[1]Result!$G$21</f>
        <v>-2711003.4229098768</v>
      </c>
      <c r="C248" s="13">
        <f>+[5]Result!$G$21</f>
        <v>-2740085.810257664</v>
      </c>
      <c r="D248" s="32">
        <f>+[6]Result!$G$21</f>
        <v>-2380729.7542009396</v>
      </c>
      <c r="E248" s="13">
        <f>+[7]Result!$G$21</f>
        <v>-2461471.9769299915</v>
      </c>
      <c r="F248" s="13">
        <f>+[8]Result!$G$21</f>
        <v>-2416981.3278810652</v>
      </c>
      <c r="G248" s="32">
        <f>+[9]Result!$G$21</f>
        <v>-2346143.1261111135</v>
      </c>
      <c r="H248" s="13">
        <f>+[10]Result!$G$21</f>
        <v>-2314844.9845991074</v>
      </c>
      <c r="I248" s="13">
        <f>+[11]Result!$G$21</f>
        <v>-2299626.2269221861</v>
      </c>
      <c r="J248" s="32">
        <f>+[12]Result!$G$21</f>
        <v>-2327731.0883225147</v>
      </c>
      <c r="K248" s="13">
        <f>+[13]Result!$G$21</f>
        <v>-2334945.5274165007</v>
      </c>
      <c r="L248" s="13">
        <f>+[14]Result!$G$21</f>
        <v>-2276568.2971876264</v>
      </c>
      <c r="M248" s="13">
        <f>+[15]Result!$G$21</f>
        <v>-1812906.4585542632</v>
      </c>
      <c r="N248" s="32">
        <f>+[16]Result!$G$21</f>
        <v>-1828476.7876100086</v>
      </c>
      <c r="O248" s="13">
        <f>+[17]Result!$G$21</f>
        <v>-1889639.4698892043</v>
      </c>
      <c r="P248" s="13">
        <f>+[18]Result!$G$21</f>
        <v>-1875916.0091814988</v>
      </c>
      <c r="Q248" s="32">
        <f>+[19]Result!$G$21</f>
        <v>-1864657.7437942685</v>
      </c>
      <c r="R248" s="32">
        <f>+[20]Result!$G$21</f>
        <v>-1877382.5896104481</v>
      </c>
      <c r="S248" s="70">
        <f>+[22]Result!$G$21</f>
        <v>-1898309.409808821</v>
      </c>
    </row>
    <row r="249" spans="1:37" hidden="1" outlineLevel="2" x14ac:dyDescent="0.25">
      <c r="A249" s="16" t="s">
        <v>22</v>
      </c>
      <c r="B249" s="13">
        <f>+[1]Result!$G$22</f>
        <v>-2217836.1990585751</v>
      </c>
      <c r="C249" s="13">
        <f>+[5]Result!$G$22</f>
        <v>-2237221.7542444719</v>
      </c>
      <c r="D249" s="32">
        <f>+[6]Result!$G$22</f>
        <v>-1952602.0018043383</v>
      </c>
      <c r="E249" s="13">
        <f>+[7]Result!$G$22</f>
        <v>-2024611.9522164781</v>
      </c>
      <c r="F249" s="13">
        <f>+[8]Result!$G$22</f>
        <v>-1983644.0391200201</v>
      </c>
      <c r="G249" s="32">
        <f>+[9]Result!$G$22</f>
        <v>-1920313.5332481759</v>
      </c>
      <c r="H249" s="13">
        <f>+[10]Result!$G$22</f>
        <v>-1892520.8595091307</v>
      </c>
      <c r="I249" s="13">
        <f>+[11]Result!$G$22</f>
        <v>-1877115.2871484484</v>
      </c>
      <c r="J249" s="32">
        <f>+[12]Result!$G$22</f>
        <v>-1923843.6976117317</v>
      </c>
      <c r="K249" s="13">
        <f>+[13]Result!$G$22</f>
        <v>-1929193.4405415826</v>
      </c>
      <c r="L249" s="13">
        <f>+[14]Result!$G$22</f>
        <v>-1876350.5543897382</v>
      </c>
      <c r="M249" s="13">
        <f>+[15]Result!$G$22</f>
        <v>-1513020.2208270994</v>
      </c>
      <c r="N249" s="32">
        <f>+[16]Result!$G$22</f>
        <v>-1527062.0022974401</v>
      </c>
      <c r="O249" s="13">
        <f>+[17]Result!$G$22</f>
        <v>-1581018.0366238968</v>
      </c>
      <c r="P249" s="13">
        <f>+[18]Result!$G$22</f>
        <v>-1580508.6987805413</v>
      </c>
      <c r="Q249" s="32">
        <f>+[19]Result!$G$22</f>
        <v>-1569401.1450532186</v>
      </c>
      <c r="R249" s="32">
        <f>+[20]Result!$G$22</f>
        <v>-1578775.2701252785</v>
      </c>
      <c r="S249" s="70">
        <f>+[22]Result!$G$22</f>
        <v>-1597314.2760742914</v>
      </c>
    </row>
    <row r="250" spans="1:37" hidden="1" outlineLevel="2" x14ac:dyDescent="0.25">
      <c r="A250" s="16" t="s">
        <v>23</v>
      </c>
      <c r="B250" s="13">
        <f>+[1]Result!$G$23</f>
        <v>-1821505.1568740206</v>
      </c>
      <c r="C250" s="13">
        <f>+[5]Result!$G$23</f>
        <v>-1836234.3927338971</v>
      </c>
      <c r="D250" s="32">
        <f>+[6]Result!$G$23</f>
        <v>-1620939.1803418398</v>
      </c>
      <c r="E250" s="13">
        <f>+[7]Result!$G$23</f>
        <v>-1684046.2753914632</v>
      </c>
      <c r="F250" s="13">
        <f>+[8]Result!$G$23</f>
        <v>-1646127.9501662394</v>
      </c>
      <c r="G250" s="32">
        <f>+[9]Result!$G$23</f>
        <v>-1599210.5910206216</v>
      </c>
      <c r="H250" s="13">
        <f>+[10]Result!$G$23</f>
        <v>-1574755.4887658041</v>
      </c>
      <c r="I250" s="13">
        <f>+[11]Result!$G$23</f>
        <v>-1559404.4910087551</v>
      </c>
      <c r="J250" s="32">
        <f>+[12]Result!$G$23</f>
        <v>-1619842.0886656207</v>
      </c>
      <c r="K250" s="13">
        <f>+[13]Result!$G$23</f>
        <v>-1623882.6440361468</v>
      </c>
      <c r="L250" s="13">
        <f>+[14]Result!$G$23</f>
        <v>-1575922.2909663271</v>
      </c>
      <c r="M250" s="13">
        <f>+[15]Result!$G$23</f>
        <v>-1293854.5654553515</v>
      </c>
      <c r="N250" s="32">
        <f>+[16]Result!$G$23</f>
        <v>-1307247.0319636911</v>
      </c>
      <c r="O250" s="13">
        <f>+[17]Result!$G$23</f>
        <v>-1355756.1985959699</v>
      </c>
      <c r="P250" s="13">
        <f>+[18]Result!$G$23</f>
        <v>-1359596.6687110304</v>
      </c>
      <c r="Q250" s="32">
        <f>+[19]Result!$G$23</f>
        <v>-1349380.2517555822</v>
      </c>
      <c r="R250" s="32">
        <f>+[20]Result!$G$23</f>
        <v>-1356459.6252075443</v>
      </c>
      <c r="S250" s="70">
        <f>+[22]Result!$G$23</f>
        <v>-1373424.6898694688</v>
      </c>
    </row>
    <row r="251" spans="1:37" hidden="1" outlineLevel="2" x14ac:dyDescent="0.25">
      <c r="A251" s="16" t="s">
        <v>24</v>
      </c>
      <c r="B251" s="13">
        <f>+[1]Result!$G$24</f>
        <v>-1581292.8251429524</v>
      </c>
      <c r="C251" s="13">
        <f>+[5]Result!$G$24</f>
        <v>-1597362.1783808221</v>
      </c>
      <c r="D251" s="32">
        <f>+[6]Result!$G$24</f>
        <v>-1404241.2797719839</v>
      </c>
      <c r="E251" s="13">
        <f>+[7]Result!$G$24</f>
        <v>-1459451.4928637638</v>
      </c>
      <c r="F251" s="13">
        <f>+[8]Result!$G$24</f>
        <v>-1423091.0955075503</v>
      </c>
      <c r="G251" s="32">
        <f>+[9]Result!$G$24</f>
        <v>-1370983.6803190261</v>
      </c>
      <c r="H251" s="13">
        <f>+[10]Result!$G$24</f>
        <v>-1349275.3520058466</v>
      </c>
      <c r="I251" s="13">
        <f>+[11]Result!$G$24</f>
        <v>-1333913.6835690858</v>
      </c>
      <c r="J251" s="32">
        <f>+[12]Result!$G$24</f>
        <v>-1378380.2778399412</v>
      </c>
      <c r="K251" s="13">
        <f>+[13]Result!$G$24</f>
        <v>-1381355.819008861</v>
      </c>
      <c r="L251" s="13">
        <f>+[14]Result!$G$24</f>
        <v>-1338016.9919330203</v>
      </c>
      <c r="M251" s="13">
        <f>+[15]Result!$G$24</f>
        <v>-1102716.0877904869</v>
      </c>
      <c r="N251" s="32">
        <f>+[16]Result!$G$24</f>
        <v>-1115478.366853226</v>
      </c>
      <c r="O251" s="13">
        <f>+[17]Result!$G$24</f>
        <v>-1158713.5758670804</v>
      </c>
      <c r="P251" s="13">
        <f>+[18]Result!$G$24</f>
        <v>-1156330.7764057941</v>
      </c>
      <c r="Q251" s="32">
        <f>+[19]Result!$G$24</f>
        <v>-1147495.946073439</v>
      </c>
      <c r="R251" s="32">
        <f>+[20]Result!$G$24</f>
        <v>-1152872.9803369257</v>
      </c>
      <c r="S251" s="70">
        <f>+[22]Result!$G$24</f>
        <v>-1168186.4887550308</v>
      </c>
    </row>
    <row r="252" spans="1:37" hidden="1" outlineLevel="1" x14ac:dyDescent="0.25">
      <c r="A252" s="15" t="s">
        <v>25</v>
      </c>
      <c r="B252" s="13" cm="1">
        <f t="array" ref="B252">+[1]!PV_UP_21_30</f>
        <v>-6140018.256396668</v>
      </c>
      <c r="C252" s="13" cm="1">
        <f t="array" ref="C252">+[5]!PV_UP_21_30</f>
        <v>-6271547.6544694332</v>
      </c>
      <c r="D252" s="32" cm="1">
        <f t="array" ref="D252">+[6]!PV_UP_21_30</f>
        <v>-5540455.0090341829</v>
      </c>
      <c r="E252" s="13" cm="1">
        <f t="array" ref="E252">+[7]!PV_UP_21_30</f>
        <v>-5743215.3604052914</v>
      </c>
      <c r="F252" s="13" cm="1">
        <f t="array" ref="F252">+[8]!PV_UP_21_30</f>
        <v>-5564111.1485274881</v>
      </c>
      <c r="G252" s="32" cm="1">
        <f t="array" ref="G252">+[9]!PV_UP_21_30</f>
        <v>-5360288.9893560726</v>
      </c>
      <c r="H252" s="13" cm="1">
        <f t="array" ref="H252">+[10]!PV_UP_21_30</f>
        <v>-5267782.252722946</v>
      </c>
      <c r="I252" s="13" cm="1">
        <f t="array" ref="I252">+[11]!PV_UP_21_30</f>
        <v>-5182800.3451980017</v>
      </c>
      <c r="J252" s="32" cm="1">
        <f t="array" ref="J252">+[12]!PV_UP_21_30</f>
        <v>-5519136.7498711767</v>
      </c>
      <c r="K252" s="13" cm="1">
        <f t="array" ref="K252">+[13]!PV_UP_21_30</f>
        <v>-5524782.5069108494</v>
      </c>
      <c r="L252" s="13" cm="1">
        <f t="array" ref="L252">+[14]!PV_UP_21_30</f>
        <v>-5321129.9883098667</v>
      </c>
      <c r="M252" s="13" cm="1">
        <f t="array" ref="M252">+[15]!PV_UP_21_30</f>
        <v>-3869450.9968616264</v>
      </c>
      <c r="N252" s="32" cm="1">
        <f t="array" ref="N252">+[16]!PV_UP_21_30</f>
        <v>-3928832.1269900645</v>
      </c>
      <c r="O252" s="13" cm="1">
        <f t="array" ref="O252">+[17]!PV_UP_21_30</f>
        <v>-4100278.5257827034</v>
      </c>
      <c r="P252" s="13" cm="1">
        <f t="array" ref="P252">+[18]!PV_UP_21_30</f>
        <v>-4139456.1487355307</v>
      </c>
      <c r="Q252" s="32" cm="1">
        <f t="array" ref="Q252">+[19]!PV_UP_21_30</f>
        <v>-4107271.5604720749</v>
      </c>
      <c r="R252" s="32" cm="1">
        <f t="array" ref="R252">+[20]!PV_UP_21_30</f>
        <v>-4119972.5935399891</v>
      </c>
      <c r="S252" s="70" cm="1">
        <f t="array" ref="S252">+[22]!PV_UP_21_30</f>
        <v>-4184868.1946931994</v>
      </c>
      <c r="T252" s="13">
        <f>+B252-SUM(B253:B262)</f>
        <v>0</v>
      </c>
      <c r="U252" s="13">
        <f t="shared" ref="U252:W252" si="196">+C252-SUM(C253:C262)</f>
        <v>0</v>
      </c>
      <c r="V252" s="13">
        <f t="shared" si="196"/>
        <v>0</v>
      </c>
      <c r="W252" s="13">
        <f t="shared" si="196"/>
        <v>0</v>
      </c>
      <c r="X252" s="13">
        <f t="shared" ref="X252" si="197">+F252-SUM(F253:F262)</f>
        <v>0</v>
      </c>
      <c r="Y252" s="13">
        <f t="shared" ref="Y252:AE252" si="198">+G252-SUM(G253:G262)</f>
        <v>0</v>
      </c>
      <c r="Z252" s="13">
        <f t="shared" si="198"/>
        <v>0</v>
      </c>
      <c r="AA252" s="13">
        <f t="shared" si="198"/>
        <v>0</v>
      </c>
      <c r="AB252" s="13">
        <f t="shared" si="198"/>
        <v>0</v>
      </c>
      <c r="AC252" s="13">
        <f t="shared" si="198"/>
        <v>0</v>
      </c>
      <c r="AD252" s="13">
        <f t="shared" si="198"/>
        <v>0</v>
      </c>
      <c r="AE252" s="13">
        <f t="shared" si="198"/>
        <v>0</v>
      </c>
      <c r="AF252" s="13">
        <f t="shared" ref="AF252" si="199">+N252-SUM(N253:N262)</f>
        <v>0</v>
      </c>
      <c r="AG252" s="13">
        <f t="shared" ref="AG252:AH252" si="200">+O252-SUM(O253:O262)</f>
        <v>0</v>
      </c>
      <c r="AH252" s="13">
        <f t="shared" si="200"/>
        <v>0</v>
      </c>
      <c r="AI252" s="13">
        <f t="shared" ref="AI252" si="201">+Q252-SUM(Q253:Q262)</f>
        <v>0</v>
      </c>
      <c r="AJ252" s="13">
        <f t="shared" ref="AJ252:AK252" si="202">+R252-SUM(R253:R262)</f>
        <v>0</v>
      </c>
      <c r="AK252" s="13">
        <f t="shared" si="202"/>
        <v>0</v>
      </c>
    </row>
    <row r="253" spans="1:37" hidden="1" outlineLevel="2" x14ac:dyDescent="0.25">
      <c r="A253" s="16" t="s">
        <v>26</v>
      </c>
      <c r="B253" s="13">
        <f>+[1]Result!$G$25</f>
        <v>-1322336.7254615512</v>
      </c>
      <c r="C253" s="13">
        <f>+[5]Result!$G$25</f>
        <v>-1340710.4050161086</v>
      </c>
      <c r="D253" s="32">
        <f>+[6]Result!$G$25</f>
        <v>-1173832.4668420632</v>
      </c>
      <c r="E253" s="13">
        <f>+[7]Result!$G$25</f>
        <v>-1219028.7537774213</v>
      </c>
      <c r="F253" s="13">
        <f>+[8]Result!$G$25</f>
        <v>-1186065.601228314</v>
      </c>
      <c r="G253" s="32">
        <f>+[9]Result!$G$25</f>
        <v>-1136280.8981008595</v>
      </c>
      <c r="H253" s="13">
        <f>+[10]Result!$G$25</f>
        <v>-1117815.2517355764</v>
      </c>
      <c r="I253" s="13">
        <f>+[11]Result!$G$25</f>
        <v>-1103353.6203775525</v>
      </c>
      <c r="J253" s="32">
        <f>+[12]Result!$G$25</f>
        <v>-1147216.6758454647</v>
      </c>
      <c r="K253" s="13">
        <f>+[13]Result!$G$25</f>
        <v>-1149254.2355839817</v>
      </c>
      <c r="L253" s="13">
        <f>+[14]Result!$G$25</f>
        <v>-1111271.7409187094</v>
      </c>
      <c r="M253" s="13">
        <f>+[15]Result!$G$25</f>
        <v>-895991.59004524129</v>
      </c>
      <c r="N253" s="32">
        <f>+[16]Result!$G$25</f>
        <v>-907430.25987772737</v>
      </c>
      <c r="O253" s="13">
        <f>+[17]Result!$G$25</f>
        <v>-943973.28871149279</v>
      </c>
      <c r="P253" s="13">
        <f>+[18]Result!$G$25</f>
        <v>-941546.38088075258</v>
      </c>
      <c r="Q253" s="32">
        <f>+[19]Result!$G$25</f>
        <v>-934352.08884688199</v>
      </c>
      <c r="R253" s="32">
        <f>+[20]Result!$G$25</f>
        <v>-938217.66204083711</v>
      </c>
      <c r="S253" s="70">
        <f>+[22]Result!$G$25</f>
        <v>-951510.81504755502</v>
      </c>
    </row>
    <row r="254" spans="1:37" hidden="1" outlineLevel="2" x14ac:dyDescent="0.25">
      <c r="A254" s="16" t="s">
        <v>27</v>
      </c>
      <c r="B254" s="13">
        <f>+[1]Result!$G$26</f>
        <v>-1097338.6015058474</v>
      </c>
      <c r="C254" s="13">
        <f>+[5]Result!$G$26</f>
        <v>-1116461.1593237533</v>
      </c>
      <c r="D254" s="32">
        <f>+[6]Result!$G$26</f>
        <v>-974323.59198698669</v>
      </c>
      <c r="E254" s="13">
        <f>+[7]Result!$G$26</f>
        <v>-1010981.6931009853</v>
      </c>
      <c r="F254" s="13">
        <f>+[8]Result!$G$26</f>
        <v>-981717.71671869047</v>
      </c>
      <c r="G254" s="32">
        <f>+[9]Result!$G$26</f>
        <v>-936634.17722626776</v>
      </c>
      <c r="H254" s="13">
        <f>+[10]Result!$G$26</f>
        <v>-920962.68608008313</v>
      </c>
      <c r="I254" s="13">
        <f>+[11]Result!$G$26</f>
        <v>-907814.27995243436</v>
      </c>
      <c r="J254" s="32">
        <f>+[12]Result!$G$26</f>
        <v>-951481.8884151954</v>
      </c>
      <c r="K254" s="13">
        <f>+[13]Result!$G$26</f>
        <v>-952860.13119176903</v>
      </c>
      <c r="L254" s="13">
        <f>+[14]Result!$G$26</f>
        <v>-919862.06086779281</v>
      </c>
      <c r="M254" s="13">
        <f>+[15]Result!$G$26</f>
        <v>-720900.55434995622</v>
      </c>
      <c r="N254" s="32">
        <f>+[16]Result!$G$26</f>
        <v>-730931.51940029848</v>
      </c>
      <c r="O254" s="13">
        <f>+[17]Result!$G$26</f>
        <v>-761358.45379519649</v>
      </c>
      <c r="P254" s="13">
        <f>+[18]Result!$G$26</f>
        <v>-761316.88462090294</v>
      </c>
      <c r="Q254" s="32">
        <f>+[19]Result!$G$26</f>
        <v>-755450.17171857716</v>
      </c>
      <c r="R254" s="32">
        <f>+[20]Result!$G$26</f>
        <v>-758181.49393339502</v>
      </c>
      <c r="S254" s="70">
        <f>+[22]Result!$G$26</f>
        <v>-769451.26538573683</v>
      </c>
    </row>
    <row r="255" spans="1:37" hidden="1" outlineLevel="2" x14ac:dyDescent="0.25">
      <c r="A255" s="16" t="s">
        <v>28</v>
      </c>
      <c r="B255" s="13">
        <f>+[1]Result!$G$27</f>
        <v>-900036.01234109153</v>
      </c>
      <c r="C255" s="13">
        <f>+[5]Result!$G$27</f>
        <v>-918449.40101879835</v>
      </c>
      <c r="D255" s="32">
        <f>+[6]Result!$G$27</f>
        <v>-802997.60943825368</v>
      </c>
      <c r="E255" s="13">
        <f>+[7]Result!$G$27</f>
        <v>-832564.04685762932</v>
      </c>
      <c r="F255" s="13">
        <f>+[8]Result!$G$27</f>
        <v>-807099.39824202622</v>
      </c>
      <c r="G255" s="32">
        <f>+[9]Result!$G$27</f>
        <v>-769648.54387421557</v>
      </c>
      <c r="H255" s="13">
        <f>+[10]Result!$G$27</f>
        <v>-756423.84030632884</v>
      </c>
      <c r="I255" s="13">
        <f>+[11]Result!$G$27</f>
        <v>-744723.8127874257</v>
      </c>
      <c r="J255" s="32">
        <f>+[12]Result!$G$27</f>
        <v>-790934.01979587798</v>
      </c>
      <c r="K255" s="13">
        <f>+[13]Result!$G$27</f>
        <v>-791876.13949044049</v>
      </c>
      <c r="L255" s="13">
        <f>+[14]Result!$G$27</f>
        <v>-763285.16082982824</v>
      </c>
      <c r="M255" s="13">
        <f>+[15]Result!$G$27</f>
        <v>-581524.34636636544</v>
      </c>
      <c r="N255" s="32">
        <f>+[16]Result!$G$27</f>
        <v>-590185.28605816909</v>
      </c>
      <c r="O255" s="13">
        <f>+[17]Result!$G$27</f>
        <v>-615586.14973810583</v>
      </c>
      <c r="P255" s="13">
        <f>+[18]Result!$G$27</f>
        <v>-620054.06090447283</v>
      </c>
      <c r="Q255" s="32">
        <f>+[19]Result!$G$27</f>
        <v>-615253.71284161194</v>
      </c>
      <c r="R255" s="32">
        <f>+[20]Result!$G$27</f>
        <v>-617248.98750526411</v>
      </c>
      <c r="S255" s="70">
        <f>+[22]Result!$G$27</f>
        <v>-626786.55549118039</v>
      </c>
    </row>
    <row r="256" spans="1:37" hidden="1" outlineLevel="2" x14ac:dyDescent="0.25">
      <c r="A256" s="16" t="s">
        <v>29</v>
      </c>
      <c r="B256" s="13">
        <f>+[1]Result!$G$28</f>
        <v>-739977.28912865813</v>
      </c>
      <c r="C256" s="13">
        <f>+[5]Result!$G$28</f>
        <v>-756997.15427420044</v>
      </c>
      <c r="D256" s="32">
        <f>+[6]Result!$G$28</f>
        <v>-667755.56522892101</v>
      </c>
      <c r="E256" s="13">
        <f>+[7]Result!$G$28</f>
        <v>-691886.59530619415</v>
      </c>
      <c r="F256" s="13">
        <f>+[8]Result!$G$28</f>
        <v>-669800.07786961203</v>
      </c>
      <c r="G256" s="32">
        <f>+[9]Result!$G$28</f>
        <v>-648214.2447349123</v>
      </c>
      <c r="H256" s="13">
        <f>+[10]Result!$G$28</f>
        <v>-636946.36168753891</v>
      </c>
      <c r="I256" s="13">
        <f>+[11]Result!$G$28</f>
        <v>-626306.51893969497</v>
      </c>
      <c r="J256" s="32">
        <f>+[12]Result!$G$28</f>
        <v>-672501.46385370661</v>
      </c>
      <c r="K256" s="13">
        <f>+[13]Result!$G$28</f>
        <v>-673109.76117776963</v>
      </c>
      <c r="L256" s="13">
        <f>+[14]Result!$G$28</f>
        <v>-647968.69972817053</v>
      </c>
      <c r="M256" s="13">
        <f>+[15]Result!$G$28</f>
        <v>-482140.09313790663</v>
      </c>
      <c r="N256" s="32">
        <f>+[16]Result!$G$28</f>
        <v>-489807.5115654816</v>
      </c>
      <c r="O256" s="13">
        <f>+[17]Result!$G$28</f>
        <v>-511555.79353684129</v>
      </c>
      <c r="P256" s="13">
        <f>+[18]Result!$G$28</f>
        <v>-516533.88948936592</v>
      </c>
      <c r="Q256" s="32">
        <f>+[19]Result!$G$28</f>
        <v>-512531.04948628921</v>
      </c>
      <c r="R256" s="32">
        <f>+[20]Result!$G$28</f>
        <v>-513977.48862741463</v>
      </c>
      <c r="S256" s="70">
        <f>+[22]Result!$G$28</f>
        <v>-522275.15638400556</v>
      </c>
    </row>
    <row r="257" spans="1:37" hidden="1" outlineLevel="2" x14ac:dyDescent="0.25">
      <c r="A257" s="16" t="s">
        <v>30</v>
      </c>
      <c r="B257" s="13">
        <f>+[1]Result!$G$29</f>
        <v>-627414.02635137958</v>
      </c>
      <c r="C257" s="13">
        <f>+[5]Result!$G$29</f>
        <v>-643302.02697285847</v>
      </c>
      <c r="D257" s="32">
        <f>+[6]Result!$G$29</f>
        <v>-568330.833843139</v>
      </c>
      <c r="E257" s="13">
        <f>+[7]Result!$G$29</f>
        <v>-588575.17156456271</v>
      </c>
      <c r="F257" s="13">
        <f>+[8]Result!$G$29</f>
        <v>-569069.11310965894</v>
      </c>
      <c r="G257" s="32">
        <f>+[9]Result!$G$29</f>
        <v>-547811.57963207166</v>
      </c>
      <c r="H257" s="13">
        <f>+[10]Result!$G$29</f>
        <v>-538141.63955379801</v>
      </c>
      <c r="I257" s="13">
        <f>+[11]Result!$G$29</f>
        <v>-528586.9748829524</v>
      </c>
      <c r="J257" s="32">
        <f>+[12]Result!$G$29</f>
        <v>-561168.1006824784</v>
      </c>
      <c r="K257" s="13">
        <f>+[13]Result!$G$29</f>
        <v>-561498.84929990384</v>
      </c>
      <c r="L257" s="13">
        <f>+[14]Result!$G$29</f>
        <v>-539907.16455317347</v>
      </c>
      <c r="M257" s="13">
        <f>+[15]Result!$G$29</f>
        <v>-387394.98393163166</v>
      </c>
      <c r="N257" s="32">
        <f>+[16]Result!$G$29</f>
        <v>-393912.23855388025</v>
      </c>
      <c r="O257" s="13">
        <f>+[17]Result!$G$29</f>
        <v>-411871.98059126624</v>
      </c>
      <c r="P257" s="13">
        <f>+[18]Result!$G$29</f>
        <v>-411278.04384073283</v>
      </c>
      <c r="Q257" s="32">
        <f>+[19]Result!$G$29</f>
        <v>-408051.6238015428</v>
      </c>
      <c r="R257" s="32">
        <f>+[20]Result!$G$29</f>
        <v>-409060.04934968636</v>
      </c>
      <c r="S257" s="70">
        <f>+[22]Result!$G$29</f>
        <v>-415898.40607454436</v>
      </c>
    </row>
    <row r="258" spans="1:37" hidden="1" outlineLevel="2" x14ac:dyDescent="0.25">
      <c r="A258" s="16" t="s">
        <v>31</v>
      </c>
      <c r="B258" s="13">
        <f>+[1]Result!$G$30</f>
        <v>-481932.96594163857</v>
      </c>
      <c r="C258" s="13">
        <f>+[5]Result!$G$30</f>
        <v>-495066.56187965616</v>
      </c>
      <c r="D258" s="32">
        <f>+[6]Result!$G$30</f>
        <v>-435977.89537320973</v>
      </c>
      <c r="E258" s="13">
        <f>+[7]Result!$G$30</f>
        <v>-451319.04246379482</v>
      </c>
      <c r="F258" s="13">
        <f>+[8]Result!$G$30</f>
        <v>-435870.33849615138</v>
      </c>
      <c r="G258" s="32">
        <f>+[9]Result!$G$30</f>
        <v>-416054.30695837724</v>
      </c>
      <c r="H258" s="13">
        <f>+[10]Result!$G$30</f>
        <v>-408564.00745372614</v>
      </c>
      <c r="I258" s="13">
        <f>+[11]Result!$G$30</f>
        <v>-400967.9303033434</v>
      </c>
      <c r="J258" s="32">
        <f>+[12]Result!$G$30</f>
        <v>-431560.79420556728</v>
      </c>
      <c r="K258" s="13">
        <f>+[13]Result!$G$30</f>
        <v>-431719.65257802885</v>
      </c>
      <c r="L258" s="13">
        <f>+[14]Result!$G$30</f>
        <v>-414607.96767549153</v>
      </c>
      <c r="M258" s="13">
        <f>+[15]Result!$G$30</f>
        <v>-276164.83256102569</v>
      </c>
      <c r="N258" s="32">
        <f>+[16]Result!$G$30</f>
        <v>-281036.17927068676</v>
      </c>
      <c r="O258" s="13">
        <f>+[17]Result!$G$30</f>
        <v>-294167.86341576831</v>
      </c>
      <c r="P258" s="13">
        <f>+[18]Result!$G$30</f>
        <v>-294075.84440930776</v>
      </c>
      <c r="Q258" s="32">
        <f>+[19]Result!$G$30</f>
        <v>-291746.4067910774</v>
      </c>
      <c r="R258" s="32">
        <f>+[20]Result!$G$30</f>
        <v>-292389.6165385159</v>
      </c>
      <c r="S258" s="70">
        <f>+[22]Result!$G$30</f>
        <v>-297406.00337507093</v>
      </c>
    </row>
    <row r="259" spans="1:37" hidden="1" outlineLevel="2" x14ac:dyDescent="0.25">
      <c r="A259" s="16" t="s">
        <v>32</v>
      </c>
      <c r="B259" s="13">
        <f>+[1]Result!$G$31</f>
        <v>-357811.00904583902</v>
      </c>
      <c r="C259" s="13">
        <f>+[5]Result!$G$31</f>
        <v>-368136.91687958554</v>
      </c>
      <c r="D259" s="32">
        <f>+[6]Result!$G$31</f>
        <v>-325969.88429583336</v>
      </c>
      <c r="E259" s="13">
        <f>+[7]Result!$G$31</f>
        <v>-337336.22040204593</v>
      </c>
      <c r="F259" s="13">
        <f>+[8]Result!$G$31</f>
        <v>-325428.76917945041</v>
      </c>
      <c r="G259" s="32">
        <f>+[9]Result!$G$31</f>
        <v>-310330.5121089897</v>
      </c>
      <c r="H259" s="13">
        <f>+[10]Result!$G$31</f>
        <v>-304682.29388795333</v>
      </c>
      <c r="I259" s="13">
        <f>+[11]Result!$G$31</f>
        <v>-298797.88695497188</v>
      </c>
      <c r="J259" s="32">
        <f>+[12]Result!$G$31</f>
        <v>-327707.79631869309</v>
      </c>
      <c r="K259" s="13">
        <f>+[13]Result!$G$31</f>
        <v>-327833.05947546358</v>
      </c>
      <c r="L259" s="13">
        <f>+[14]Result!$G$31</f>
        <v>-314500.94842908287</v>
      </c>
      <c r="M259" s="13">
        <f>+[15]Result!$G$31</f>
        <v>-185665.53314105244</v>
      </c>
      <c r="N259" s="32">
        <f>+[16]Result!$G$31</f>
        <v>-189118.04097927673</v>
      </c>
      <c r="O259" s="13">
        <f>+[17]Result!$G$31</f>
        <v>-198132.66114919694</v>
      </c>
      <c r="P259" s="13">
        <f>+[18]Result!$G$31</f>
        <v>-197669.31065976809</v>
      </c>
      <c r="Q259" s="32">
        <f>+[19]Result!$G$31</f>
        <v>-196092.21181123587</v>
      </c>
      <c r="R259" s="32">
        <f>+[20]Result!$G$31</f>
        <v>-196491.49267379887</v>
      </c>
      <c r="S259" s="70">
        <f>+[22]Result!$G$31</f>
        <v>-199919.72411179286</v>
      </c>
    </row>
    <row r="260" spans="1:37" hidden="1" outlineLevel="2" x14ac:dyDescent="0.25">
      <c r="A260" s="16" t="s">
        <v>33</v>
      </c>
      <c r="B260" s="13">
        <f>+[1]Result!$G$32</f>
        <v>-252626.05920998342</v>
      </c>
      <c r="C260" s="13">
        <f>+[5]Result!$G$32</f>
        <v>-260298.30793103605</v>
      </c>
      <c r="D260" s="32">
        <f>+[6]Result!$G$32</f>
        <v>-231927.16234298257</v>
      </c>
      <c r="E260" s="13">
        <f>+[7]Result!$G$32</f>
        <v>-239941.98713733806</v>
      </c>
      <c r="F260" s="13">
        <f>+[8]Result!$G$32</f>
        <v>-231251.59409691719</v>
      </c>
      <c r="G260" s="32">
        <f>+[9]Result!$G$32</f>
        <v>-220960.17233513578</v>
      </c>
      <c r="H260" s="13">
        <f>+[10]Result!$G$32</f>
        <v>-216903.30493886632</v>
      </c>
      <c r="I260" s="13">
        <f>+[11]Result!$G$32</f>
        <v>-212586.13532823484</v>
      </c>
      <c r="J260" s="32">
        <f>+[12]Result!$G$32</f>
        <v>-243918.93400263082</v>
      </c>
      <c r="K260" s="13">
        <f>+[13]Result!$G$32</f>
        <v>-243983.60136192906</v>
      </c>
      <c r="L260" s="13">
        <f>+[14]Result!$G$32</f>
        <v>-233849.93498276183</v>
      </c>
      <c r="M260" s="13">
        <f>+[15]Result!$G$32</f>
        <v>-121183.53569174455</v>
      </c>
      <c r="N260" s="32">
        <f>+[16]Result!$G$32</f>
        <v>-123522.83627739204</v>
      </c>
      <c r="O260" s="13">
        <f>+[17]Result!$G$32</f>
        <v>-129535.31854446507</v>
      </c>
      <c r="P260" s="13">
        <f>+[18]Result!$G$32</f>
        <v>-138591.7159227271</v>
      </c>
      <c r="Q260" s="32">
        <f>+[19]Result!$G$32</f>
        <v>-137480.6700134025</v>
      </c>
      <c r="R260" s="32">
        <f>+[20]Result!$G$32</f>
        <v>-137734.92379171686</v>
      </c>
      <c r="S260" s="70">
        <f>+[22]Result!$G$32</f>
        <v>-140192.42946228775</v>
      </c>
    </row>
    <row r="261" spans="1:37" hidden="1" outlineLevel="2" x14ac:dyDescent="0.25">
      <c r="A261" s="16" t="s">
        <v>34</v>
      </c>
      <c r="B261" s="13">
        <f>+[1]Result!$G$33</f>
        <v>-179511.44939292129</v>
      </c>
      <c r="C261" s="13">
        <f>+[5]Result!$G$33</f>
        <v>-185189.14979275604</v>
      </c>
      <c r="D261" s="32">
        <f>+[6]Result!$G$33</f>
        <v>-179278.32988517825</v>
      </c>
      <c r="E261" s="13">
        <f>+[7]Result!$G$33</f>
        <v>-185421.78383174838</v>
      </c>
      <c r="F261" s="13">
        <f>+[8]Result!$G$33</f>
        <v>-178589.87805368478</v>
      </c>
      <c r="G261" s="32">
        <f>+[9]Result!$G$33</f>
        <v>-187512.62559186114</v>
      </c>
      <c r="H261" s="13">
        <f>+[10]Result!$G$33</f>
        <v>-184021.86023457791</v>
      </c>
      <c r="I261" s="13">
        <f>+[11]Result!$G$33</f>
        <v>-180227.59029390395</v>
      </c>
      <c r="J261" s="32">
        <f>+[12]Result!$G$33</f>
        <v>-210664.48926700553</v>
      </c>
      <c r="K261" s="13">
        <f>+[13]Result!$G$33</f>
        <v>-210664.48926700553</v>
      </c>
      <c r="L261" s="13">
        <f>+[14]Result!$G$33</f>
        <v>-201742.10225225709</v>
      </c>
      <c r="M261" s="13">
        <f>+[15]Result!$G$33</f>
        <v>-109717.85644581121</v>
      </c>
      <c r="N261" s="32">
        <f>+[16]Result!$G$33</f>
        <v>-111898.20157048393</v>
      </c>
      <c r="O261" s="13">
        <f>+[17]Result!$G$33</f>
        <v>-117467.26557368922</v>
      </c>
      <c r="P261" s="13">
        <f>+[18]Result!$G$33</f>
        <v>-133112.18434469879</v>
      </c>
      <c r="Q261" s="32">
        <f>+[19]Result!$G$33</f>
        <v>-132042.5151993692</v>
      </c>
      <c r="R261" s="32">
        <f>+[20]Result!$G$33</f>
        <v>-132241.31461767323</v>
      </c>
      <c r="S261" s="70">
        <f>+[22]Result!$G$33</f>
        <v>-134669.00229014386</v>
      </c>
    </row>
    <row r="262" spans="1:37" hidden="1" outlineLevel="2" x14ac:dyDescent="0.25">
      <c r="A262" s="16" t="s">
        <v>35</v>
      </c>
      <c r="B262" s="13">
        <f>+[1]Result!$G$34</f>
        <v>-181034.11801775708</v>
      </c>
      <c r="C262" s="13">
        <f>+[5]Result!$G$34</f>
        <v>-186936.57138067912</v>
      </c>
      <c r="D262" s="32">
        <f>+[6]Result!$G$34</f>
        <v>-180061.66979761617</v>
      </c>
      <c r="E262" s="13">
        <f>+[7]Result!$G$34</f>
        <v>-186160.06596357052</v>
      </c>
      <c r="F262" s="13">
        <f>+[8]Result!$G$34</f>
        <v>-179218.66153298403</v>
      </c>
      <c r="G262" s="32">
        <f>+[9]Result!$G$34</f>
        <v>-186841.92879338143</v>
      </c>
      <c r="H262" s="13">
        <f>+[10]Result!$G$34</f>
        <v>-183321.00684449633</v>
      </c>
      <c r="I262" s="13">
        <f>+[11]Result!$G$34</f>
        <v>-179435.59537748847</v>
      </c>
      <c r="J262" s="32">
        <f>+[12]Result!$G$34</f>
        <v>-181982.58748455721</v>
      </c>
      <c r="K262" s="13">
        <f>+[13]Result!$G$34</f>
        <v>-181982.58748455721</v>
      </c>
      <c r="L262" s="13">
        <f>+[14]Result!$G$34</f>
        <v>-174134.20807259952</v>
      </c>
      <c r="M262" s="13">
        <f>+[15]Result!$G$34</f>
        <v>-108767.67119089066</v>
      </c>
      <c r="N262" s="32">
        <f>+[16]Result!$G$34</f>
        <v>-110990.05343666795</v>
      </c>
      <c r="O262" s="13">
        <f>+[17]Result!$G$34</f>
        <v>-116629.75072668093</v>
      </c>
      <c r="P262" s="13">
        <f>+[18]Result!$G$34</f>
        <v>-125277.83366280157</v>
      </c>
      <c r="Q262" s="32">
        <f>+[19]Result!$G$34</f>
        <v>-124271.10996208648</v>
      </c>
      <c r="R262" s="32">
        <f>+[20]Result!$G$34</f>
        <v>-124429.56446168678</v>
      </c>
      <c r="S262" s="70">
        <f>+[22]Result!$G$34</f>
        <v>-126758.83707088145</v>
      </c>
    </row>
    <row r="263" spans="1:37" hidden="1" outlineLevel="1" x14ac:dyDescent="0.25">
      <c r="A263" s="15" t="s">
        <v>36</v>
      </c>
      <c r="B263" s="13" cm="1">
        <f t="array" ref="B263">+[1]!PV_UP_31_50</f>
        <v>-309891.54538859299</v>
      </c>
      <c r="C263" s="13" cm="1">
        <f t="array" ref="C263">+[5]!PV_UP_31_50</f>
        <v>-320655.34403536684</v>
      </c>
      <c r="D263" s="32" cm="1">
        <f t="array" ref="D263">+[6]!PV_UP_31_50</f>
        <v>-303487.83817937947</v>
      </c>
      <c r="E263" s="13" cm="1">
        <f t="array" ref="E263">+[7]!PV_UP_31_50</f>
        <v>-313600.90356672276</v>
      </c>
      <c r="F263" s="13" cm="1">
        <f t="array" ref="F263">+[8]!PV_UP_31_50</f>
        <v>-301507.59820646938</v>
      </c>
      <c r="G263" s="32" cm="1">
        <f t="array" ref="G263">+[9]!PV_UP_31_50</f>
        <v>-305236.31236160296</v>
      </c>
      <c r="H263" s="13" cm="1">
        <f t="array" ref="H263">+[10]!PV_UP_31_50</f>
        <v>-299407.82313363469</v>
      </c>
      <c r="I263" s="13" cm="1">
        <f t="array" ref="I263">+[11]!PV_UP_31_50</f>
        <v>-292708.34933189908</v>
      </c>
      <c r="J263" s="32" cm="1">
        <f t="array" ref="J263">+[12]!PV_UP_31_50</f>
        <v>-305722.44202774164</v>
      </c>
      <c r="K263" s="13" cm="1">
        <f t="array" ref="K263">+[13]!PV_UP_31_50</f>
        <v>-305627.02113666397</v>
      </c>
      <c r="L263" s="13" cm="1">
        <f t="array" ref="L263">+[14]!PV_UP_31_50</f>
        <v>-291914.32944272115</v>
      </c>
      <c r="M263" s="13" cm="1">
        <f t="array" ref="M263">+[15]!PV_UP_31_50</f>
        <v>-132484.53280916647</v>
      </c>
      <c r="N263" s="32" cm="1">
        <f t="array" ref="N263">+[16]!PV_UP_31_50</f>
        <v>-135365.80196451722</v>
      </c>
      <c r="O263" s="13" cm="1">
        <f t="array" ref="O263">+[17]!PV_UP_31_50</f>
        <v>-142602.74481365259</v>
      </c>
      <c r="P263" s="13" cm="1">
        <f t="array" ref="P263">+[18]!PV_UP_31_50</f>
        <v>-188938.24681698449</v>
      </c>
      <c r="Q263" s="32" cm="1">
        <f t="array" ref="Q263">+[19]!PV_UP_31_50</f>
        <v>-187433.29822353012</v>
      </c>
      <c r="R263" s="32" cm="1">
        <f t="array" ref="R263">+[20]!PV_UP_31_50</f>
        <v>-187569.68328870938</v>
      </c>
      <c r="S263" s="70" cm="1">
        <f t="array" ref="S263">+[22]!PV_UP_31_50</f>
        <v>-191225.54764976466</v>
      </c>
      <c r="T263" s="13">
        <f>+B263-SUM(B264:B283)</f>
        <v>0</v>
      </c>
      <c r="U263" s="13">
        <f t="shared" ref="U263:W263" si="203">+C263-SUM(C264:C283)</f>
        <v>0</v>
      </c>
      <c r="V263" s="13">
        <f t="shared" si="203"/>
        <v>0</v>
      </c>
      <c r="W263" s="13">
        <f t="shared" si="203"/>
        <v>0</v>
      </c>
      <c r="X263" s="13">
        <f t="shared" ref="X263" si="204">+F263-SUM(F264:F283)</f>
        <v>0</v>
      </c>
      <c r="Y263" s="13">
        <f t="shared" ref="Y263:AE263" si="205">+G263-SUM(G264:G283)</f>
        <v>0</v>
      </c>
      <c r="Z263" s="13">
        <f t="shared" si="205"/>
        <v>0</v>
      </c>
      <c r="AA263" s="13">
        <f t="shared" si="205"/>
        <v>0</v>
      </c>
      <c r="AB263" s="13">
        <f t="shared" si="205"/>
        <v>0</v>
      </c>
      <c r="AC263" s="13">
        <f t="shared" si="205"/>
        <v>0</v>
      </c>
      <c r="AD263" s="13">
        <f t="shared" si="205"/>
        <v>0</v>
      </c>
      <c r="AE263" s="13">
        <f t="shared" si="205"/>
        <v>0</v>
      </c>
      <c r="AF263" s="13">
        <f t="shared" ref="AF263" si="206">+N263-SUM(N264:N283)</f>
        <v>0</v>
      </c>
      <c r="AG263" s="13">
        <f t="shared" ref="AG263:AH263" si="207">+O263-SUM(O264:O283)</f>
        <v>0</v>
      </c>
      <c r="AH263" s="13">
        <f t="shared" si="207"/>
        <v>0</v>
      </c>
      <c r="AI263" s="13">
        <f t="shared" ref="AI263" si="208">+Q263-SUM(Q264:Q283)</f>
        <v>0</v>
      </c>
      <c r="AJ263" s="13">
        <f t="shared" ref="AJ263:AK263" si="209">+R263-SUM(R264:R283)</f>
        <v>0</v>
      </c>
      <c r="AK263" s="13">
        <f t="shared" si="209"/>
        <v>0</v>
      </c>
    </row>
    <row r="264" spans="1:37" hidden="1" outlineLevel="2" x14ac:dyDescent="0.25">
      <c r="A264" s="16" t="s">
        <v>37</v>
      </c>
      <c r="B264" s="13">
        <f>+[1]Result!$G$35</f>
        <v>-99082.680434034715</v>
      </c>
      <c r="C264" s="13">
        <f>+[5]Result!$G$35</f>
        <v>-102393.76687702784</v>
      </c>
      <c r="D264" s="32">
        <f>+[6]Result!$G$35</f>
        <v>-97747.233596084814</v>
      </c>
      <c r="E264" s="13">
        <f>+[7]Result!$G$35</f>
        <v>-101037.58832776239</v>
      </c>
      <c r="F264" s="13">
        <f>+[8]Result!$G$35</f>
        <v>-97216.913992785121</v>
      </c>
      <c r="G264" s="32">
        <f>+[9]Result!$G$35</f>
        <v>-99260.621194613312</v>
      </c>
      <c r="H264" s="13">
        <f>+[10]Result!$G$35</f>
        <v>-97384.612727503321</v>
      </c>
      <c r="I264" s="13">
        <f>+[11]Result!$G$35</f>
        <v>-95279.458442726027</v>
      </c>
      <c r="J264" s="32">
        <f>+[12]Result!$G$35</f>
        <v>-97367.824946609908</v>
      </c>
      <c r="K264" s="13">
        <f>+[13]Result!$G$35</f>
        <v>-97353.605690572993</v>
      </c>
      <c r="L264" s="13">
        <f>+[14]Result!$G$35</f>
        <v>-93097.938181790232</v>
      </c>
      <c r="M264" s="13">
        <f>+[15]Result!$G$35</f>
        <v>-54156.028554565732</v>
      </c>
      <c r="N264" s="32">
        <f>+[16]Result!$G$35</f>
        <v>-55284.272541877421</v>
      </c>
      <c r="O264" s="13">
        <f>+[17]Result!$G$35</f>
        <v>-58148.437999798596</v>
      </c>
      <c r="P264" s="13">
        <f>+[18]Result!$G$35</f>
        <v>-64723.428181909912</v>
      </c>
      <c r="Q264" s="32">
        <f>+[19]Result!$G$35</f>
        <v>-64204.542680888953</v>
      </c>
      <c r="R264" s="32">
        <f>+[20]Result!$G$35</f>
        <v>-64279.743283252275</v>
      </c>
      <c r="S264" s="70">
        <f>+[22]Result!$G$35</f>
        <v>-65495.484567918153</v>
      </c>
    </row>
    <row r="265" spans="1:37" hidden="1" outlineLevel="2" x14ac:dyDescent="0.25">
      <c r="A265" s="16" t="s">
        <v>38</v>
      </c>
      <c r="B265" s="13">
        <f>+[1]Result!$G$36</f>
        <v>-58036.076732308517</v>
      </c>
      <c r="C265" s="13">
        <f>+[5]Result!$G$36</f>
        <v>-60021.560827478083</v>
      </c>
      <c r="D265" s="32">
        <f>+[6]Result!$G$36</f>
        <v>-56461.393830696237</v>
      </c>
      <c r="E265" s="13">
        <f>+[7]Result!$G$36</f>
        <v>-58354.260992966658</v>
      </c>
      <c r="F265" s="13">
        <f>+[8]Result!$G$36</f>
        <v>-56119.550015707653</v>
      </c>
      <c r="G265" s="32">
        <f>+[9]Result!$G$36</f>
        <v>-56363.852036796699</v>
      </c>
      <c r="H265" s="13">
        <f>+[10]Result!$G$36</f>
        <v>-55289.244686591985</v>
      </c>
      <c r="I265" s="13">
        <f>+[11]Result!$G$36</f>
        <v>-54071.765512696496</v>
      </c>
      <c r="J265" s="32">
        <f>+[12]Result!$G$36</f>
        <v>-56769.813107229493</v>
      </c>
      <c r="K265" s="13">
        <f>+[13]Result!$G$36</f>
        <v>-56752.620104484267</v>
      </c>
      <c r="L265" s="13">
        <f>+[14]Result!$G$36</f>
        <v>-54241.635877025867</v>
      </c>
      <c r="M265" s="13">
        <f>+[15]Result!$G$36</f>
        <v>-25974.803400336223</v>
      </c>
      <c r="N265" s="32">
        <f>+[16]Result!$G$36</f>
        <v>-26529.83614507832</v>
      </c>
      <c r="O265" s="13">
        <f>+[17]Result!$G$36</f>
        <v>-27925.151978679965</v>
      </c>
      <c r="P265" s="13">
        <f>+[18]Result!$G$36</f>
        <v>-33881.319323530603</v>
      </c>
      <c r="Q265" s="32">
        <f>+[19]Result!$G$36</f>
        <v>-33610.98168245142</v>
      </c>
      <c r="R265" s="32">
        <f>+[20]Result!$G$36</f>
        <v>-33646.580225040707</v>
      </c>
      <c r="S265" s="70">
        <f>+[22]Result!$G$36</f>
        <v>-34288.434267823774</v>
      </c>
    </row>
    <row r="266" spans="1:37" hidden="1" outlineLevel="2" x14ac:dyDescent="0.25">
      <c r="A266" s="16" t="s">
        <v>39</v>
      </c>
      <c r="B266" s="13">
        <f>+[1]Result!$G$37</f>
        <v>-39700.059476870338</v>
      </c>
      <c r="C266" s="13">
        <f>+[5]Result!$G$37</f>
        <v>-41082.557272336591</v>
      </c>
      <c r="D266" s="32">
        <f>+[6]Result!$G$37</f>
        <v>-38819.907309522539</v>
      </c>
      <c r="E266" s="13">
        <f>+[7]Result!$G$37</f>
        <v>-40106.579341497432</v>
      </c>
      <c r="F266" s="13">
        <f>+[8]Result!$G$37</f>
        <v>-38559.314093509274</v>
      </c>
      <c r="G266" s="32">
        <f>+[9]Result!$G$37</f>
        <v>-38707.724549573104</v>
      </c>
      <c r="H266" s="13">
        <f>+[10]Result!$G$37</f>
        <v>-37970.277981588988</v>
      </c>
      <c r="I266" s="13">
        <f>+[11]Result!$G$37</f>
        <v>-37119.570697687494</v>
      </c>
      <c r="J266" s="32">
        <f>+[12]Result!$G$37</f>
        <v>-40278.692413031873</v>
      </c>
      <c r="K266" s="13">
        <f>+[13]Result!$G$37</f>
        <v>-40266.107392035286</v>
      </c>
      <c r="L266" s="13">
        <f>+[14]Result!$G$37</f>
        <v>-38459.437296830307</v>
      </c>
      <c r="M266" s="13">
        <f>+[15]Result!$G$37</f>
        <v>-15297.364634328644</v>
      </c>
      <c r="N266" s="32">
        <f>+[16]Result!$G$37</f>
        <v>-15632.302330914283</v>
      </c>
      <c r="O266" s="13">
        <f>+[17]Result!$G$37</f>
        <v>-16465.819545724571</v>
      </c>
      <c r="P266" s="13">
        <f>+[18]Result!$G$37</f>
        <v>-22046.000055847351</v>
      </c>
      <c r="Q266" s="32">
        <f>+[19]Result!$G$37</f>
        <v>-21871.353725049663</v>
      </c>
      <c r="R266" s="32">
        <f>+[20]Result!$G$37</f>
        <v>-21888.429229288955</v>
      </c>
      <c r="S266" s="70">
        <f>+[22]Result!$G$37</f>
        <v>-22312.400511227679</v>
      </c>
    </row>
    <row r="267" spans="1:37" hidden="1" outlineLevel="2" x14ac:dyDescent="0.25">
      <c r="A267" s="16" t="s">
        <v>40</v>
      </c>
      <c r="B267" s="13">
        <f>+[1]Result!$G$38</f>
        <v>-31898.600057075979</v>
      </c>
      <c r="C267" s="13">
        <f>+[5]Result!$G$38</f>
        <v>-33022.638767394055</v>
      </c>
      <c r="D267" s="32">
        <f>+[6]Result!$G$38</f>
        <v>-31423.323873366044</v>
      </c>
      <c r="E267" s="13">
        <f>+[7]Result!$G$38</f>
        <v>-32465.770743114903</v>
      </c>
      <c r="F267" s="13">
        <f>+[8]Result!$G$38</f>
        <v>-31200.876781652052</v>
      </c>
      <c r="G267" s="32">
        <f>+[9]Result!$G$38</f>
        <v>-31436.847798176896</v>
      </c>
      <c r="H267" s="13">
        <f>+[10]Result!$G$38</f>
        <v>-30839.644609400515</v>
      </c>
      <c r="I267" s="13">
        <f>+[11]Result!$G$38</f>
        <v>-30137.429672763465</v>
      </c>
      <c r="J267" s="32">
        <f>+[12]Result!$G$38</f>
        <v>-31668.022374779186</v>
      </c>
      <c r="K267" s="13">
        <f>+[13]Result!$G$38</f>
        <v>-31657.823944800846</v>
      </c>
      <c r="L267" s="13">
        <f>+[14]Result!$G$38</f>
        <v>-30219.051514317922</v>
      </c>
      <c r="M267" s="13">
        <f>+[15]Result!$G$38</f>
        <v>-10522.594031997171</v>
      </c>
      <c r="N267" s="32">
        <f>+[16]Result!$G$38</f>
        <v>-10756.696777722227</v>
      </c>
      <c r="O267" s="13">
        <f>+[17]Result!$G$38</f>
        <v>-11339.221110946217</v>
      </c>
      <c r="P267" s="13">
        <f>+[18]Result!$G$38</f>
        <v>-15755.66273996575</v>
      </c>
      <c r="Q267" s="32">
        <f>+[19]Result!$G$38</f>
        <v>-15632.046891873102</v>
      </c>
      <c r="R267" s="32">
        <f>+[20]Result!$G$38</f>
        <v>-15639.60022901969</v>
      </c>
      <c r="S267" s="70">
        <f>+[22]Result!$G$38</f>
        <v>-15946.815862125211</v>
      </c>
    </row>
    <row r="268" spans="1:37" hidden="1" outlineLevel="2" x14ac:dyDescent="0.25">
      <c r="A268" s="16" t="s">
        <v>41</v>
      </c>
      <c r="B268" s="13">
        <f>+[1]Result!$G$39</f>
        <v>-25174.951015825351</v>
      </c>
      <c r="C268" s="13">
        <f>+[5]Result!$G$39</f>
        <v>-26075.808008050768</v>
      </c>
      <c r="D268" s="32">
        <f>+[6]Result!$G$39</f>
        <v>-24171.249149852611</v>
      </c>
      <c r="E268" s="13">
        <f>+[7]Result!$G$39</f>
        <v>-24972.468140270983</v>
      </c>
      <c r="F268" s="13">
        <f>+[8]Result!$G$39</f>
        <v>-23995.068533467918</v>
      </c>
      <c r="G268" s="32">
        <f>+[9]Result!$G$39</f>
        <v>-23883.114593760947</v>
      </c>
      <c r="H268" s="13">
        <f>+[10]Result!$G$39</f>
        <v>-23423.804940350336</v>
      </c>
      <c r="I268" s="13">
        <f>+[11]Result!$G$39</f>
        <v>-22886.10758955227</v>
      </c>
      <c r="J268" s="32">
        <f>+[12]Result!$G$39</f>
        <v>-23565.207561265626</v>
      </c>
      <c r="K268" s="13">
        <f>+[13]Result!$G$39</f>
        <v>-23557.392541687292</v>
      </c>
      <c r="L268" s="13">
        <f>+[14]Result!$G$39</f>
        <v>-22477.948696711337</v>
      </c>
      <c r="M268" s="13">
        <f>+[15]Result!$G$39</f>
        <v>-6604.3660940652262</v>
      </c>
      <c r="N268" s="32">
        <f>+[16]Result!$G$39</f>
        <v>-6753.4972975426517</v>
      </c>
      <c r="O268" s="13">
        <f>+[17]Result!$G$39</f>
        <v>-7124.5420629783321</v>
      </c>
      <c r="P268" s="13">
        <f>+[18]Result!$G$39</f>
        <v>-10515.175511633572</v>
      </c>
      <c r="Q268" s="32">
        <f>+[19]Result!$G$39</f>
        <v>-10431.96020420013</v>
      </c>
      <c r="R268" s="32">
        <f>+[20]Result!$G$39</f>
        <v>-10435.413940153912</v>
      </c>
      <c r="S268" s="70">
        <f>+[22]Result!$G$39</f>
        <v>-10643.054837350841</v>
      </c>
    </row>
    <row r="269" spans="1:37" hidden="1" outlineLevel="2" x14ac:dyDescent="0.25">
      <c r="A269" s="16" t="s">
        <v>42</v>
      </c>
      <c r="B269" s="13">
        <f>+[1]Result!$G$40</f>
        <v>-16782.251523406027</v>
      </c>
      <c r="C269" s="13">
        <f>+[5]Result!$G$40</f>
        <v>-17391.482003710928</v>
      </c>
      <c r="D269" s="32">
        <f>+[6]Result!$G$40</f>
        <v>-16247.908897557498</v>
      </c>
      <c r="E269" s="13">
        <f>+[7]Result!$G$40</f>
        <v>-16782.165774789009</v>
      </c>
      <c r="F269" s="13">
        <f>+[8]Result!$G$40</f>
        <v>-16123.331921741856</v>
      </c>
      <c r="G269" s="32">
        <f>+[9]Result!$G$40</f>
        <v>-16249.996629713427</v>
      </c>
      <c r="H269" s="13">
        <f>+[10]Result!$G$40</f>
        <v>-15933.977165587965</v>
      </c>
      <c r="I269" s="13">
        <f>+[11]Result!$G$40</f>
        <v>-15565.737843655406</v>
      </c>
      <c r="J269" s="32">
        <f>+[12]Result!$G$40</f>
        <v>-16504.926643423307</v>
      </c>
      <c r="K269" s="13">
        <f>+[13]Result!$G$40</f>
        <v>-16496.498120859073</v>
      </c>
      <c r="L269" s="13">
        <f>+[14]Result!$G$40</f>
        <v>-15735.333947936797</v>
      </c>
      <c r="M269" s="13">
        <f>+[15]Result!$G$40</f>
        <v>-2847.5298336841524</v>
      </c>
      <c r="N269" s="32">
        <f>+[16]Result!$G$40</f>
        <v>-2912.7218743050198</v>
      </c>
      <c r="O269" s="13">
        <f>+[17]Result!$G$40</f>
        <v>-3074.8885241507191</v>
      </c>
      <c r="P269" s="13">
        <f>+[18]Result!$G$40</f>
        <v>-6095.4288793290161</v>
      </c>
      <c r="Q269" s="32">
        <f>+[19]Result!$G$40</f>
        <v>-6046.821524210698</v>
      </c>
      <c r="R269" s="32">
        <f>+[20]Result!$G$40</f>
        <v>-6048.8814903224729</v>
      </c>
      <c r="S269" s="70">
        <f>+[22]Result!$G$40</f>
        <v>-6169.6165439724546</v>
      </c>
    </row>
    <row r="270" spans="1:37" hidden="1" outlineLevel="2" x14ac:dyDescent="0.25">
      <c r="A270" s="16" t="s">
        <v>43</v>
      </c>
      <c r="B270" s="13">
        <f>+[1]Result!$G$41</f>
        <v>-11862.003407427494</v>
      </c>
      <c r="C270" s="13">
        <f>+[5]Result!$G$41</f>
        <v>-12296.232533620245</v>
      </c>
      <c r="D270" s="32">
        <f>+[6]Result!$G$41</f>
        <v>-11674.323208835525</v>
      </c>
      <c r="E270" s="13">
        <f>+[7]Result!$G$41</f>
        <v>-12056.409244264132</v>
      </c>
      <c r="F270" s="13">
        <f>+[8]Result!$G$41</f>
        <v>-11580.261418322707</v>
      </c>
      <c r="G270" s="32">
        <f>+[9]Result!$G$41</f>
        <v>-11791.803924272943</v>
      </c>
      <c r="H270" s="13">
        <f>+[10]Result!$G$41</f>
        <v>-11562.178630470915</v>
      </c>
      <c r="I270" s="13">
        <f>+[11]Result!$G$41</f>
        <v>-11291.511971040572</v>
      </c>
      <c r="J270" s="32">
        <f>+[12]Result!$G$41</f>
        <v>-12357.260013567688</v>
      </c>
      <c r="K270" s="13">
        <f>+[13]Result!$G$41</f>
        <v>-12350.742591476326</v>
      </c>
      <c r="L270" s="13">
        <f>+[14]Result!$G$41</f>
        <v>-11775.555919498271</v>
      </c>
      <c r="M270" s="13">
        <f>+[15]Result!$G$41</f>
        <v>-848.80493961428272</v>
      </c>
      <c r="N270" s="32">
        <f>+[16]Result!$G$41</f>
        <v>-868.48734993427968</v>
      </c>
      <c r="O270" s="13">
        <f>+[17]Result!$G$41</f>
        <v>-917.43701977336775</v>
      </c>
      <c r="P270" s="13">
        <f>+[18]Result!$G$41</f>
        <v>-3643.5312450256411</v>
      </c>
      <c r="Q270" s="32">
        <f>+[19]Result!$G$41</f>
        <v>-3614.9270211834519</v>
      </c>
      <c r="R270" s="32">
        <f>+[20]Result!$G$41</f>
        <v>-3615.5645643011976</v>
      </c>
      <c r="S270" s="70">
        <f>+[22]Result!$G$41</f>
        <v>-3688.4826614894027</v>
      </c>
    </row>
    <row r="271" spans="1:37" hidden="1" outlineLevel="2" x14ac:dyDescent="0.25">
      <c r="A271" s="16" t="s">
        <v>44</v>
      </c>
      <c r="B271" s="13">
        <f>+[1]Result!$G$42</f>
        <v>-8904.8590914584693</v>
      </c>
      <c r="C271" s="13">
        <f>+[5]Result!$G$42</f>
        <v>-9233.1948382182272</v>
      </c>
      <c r="D271" s="32">
        <f>+[6]Result!$G$42</f>
        <v>-9002.4620346827196</v>
      </c>
      <c r="E271" s="13">
        <f>+[7]Result!$G$42</f>
        <v>-9296.8574738274565</v>
      </c>
      <c r="F271" s="13">
        <f>+[8]Result!$G$42</f>
        <v>-8927.9562618781383</v>
      </c>
      <c r="G271" s="32">
        <f>+[9]Result!$G$42</f>
        <v>-9237.7202228179922</v>
      </c>
      <c r="H271" s="13">
        <f>+[10]Result!$G$42</f>
        <v>-9057.8752743133064</v>
      </c>
      <c r="I271" s="13">
        <f>+[11]Result!$G$42</f>
        <v>-8843.2933689760248</v>
      </c>
      <c r="J271" s="32">
        <f>+[12]Result!$G$42</f>
        <v>-9954.1748512749273</v>
      </c>
      <c r="K271" s="13">
        <f>+[13]Result!$G$42</f>
        <v>-9948.8074453048139</v>
      </c>
      <c r="L271" s="13">
        <f>+[14]Result!$G$42</f>
        <v>-9481.6370832218436</v>
      </c>
      <c r="M271" s="13">
        <f>+[15]Result!$G$42</f>
        <v>-203.22178615075259</v>
      </c>
      <c r="N271" s="32">
        <f>+[16]Result!$G$42</f>
        <v>-208.02707162724579</v>
      </c>
      <c r="O271" s="13">
        <f>+[17]Result!$G$42</f>
        <v>-219.84446494661546</v>
      </c>
      <c r="P271" s="13">
        <f>+[18]Result!$G$42</f>
        <v>-2887.8757345534186</v>
      </c>
      <c r="Q271" s="32">
        <f>+[19]Result!$G$42</f>
        <v>-2865.1046124963409</v>
      </c>
      <c r="R271" s="32">
        <f>+[20]Result!$G$42</f>
        <v>-2865.1046124963409</v>
      </c>
      <c r="S271" s="70">
        <f>+[22]Result!$G$42</f>
        <v>-2923.9637900183643</v>
      </c>
    </row>
    <row r="272" spans="1:37" hidden="1" outlineLevel="2" x14ac:dyDescent="0.25">
      <c r="A272" s="16" t="s">
        <v>45</v>
      </c>
      <c r="B272" s="13">
        <f>+[1]Result!$G$43</f>
        <v>-7813.9923224656677</v>
      </c>
      <c r="C272" s="13">
        <f>+[5]Result!$G$43</f>
        <v>-8103.8634494963535</v>
      </c>
      <c r="D272" s="32">
        <f>+[6]Result!$G$43</f>
        <v>-7951.3573717072013</v>
      </c>
      <c r="E272" s="13">
        <f>+[7]Result!$G$43</f>
        <v>-8212.3027158513451</v>
      </c>
      <c r="F272" s="13">
        <f>+[8]Result!$G$43</f>
        <v>-7883.8100810198475</v>
      </c>
      <c r="G272" s="32">
        <f>+[9]Result!$G$43</f>
        <v>-8022.0417282904418</v>
      </c>
      <c r="H272" s="13">
        <f>+[10]Result!$G$43</f>
        <v>-7864.6631373766413</v>
      </c>
      <c r="I272" s="13">
        <f>+[11]Result!$G$43</f>
        <v>-7676.2915448032927</v>
      </c>
      <c r="J272" s="32">
        <f>+[12]Result!$G$43</f>
        <v>-7982.4125319271898</v>
      </c>
      <c r="K272" s="13">
        <f>+[13]Result!$G$43</f>
        <v>-7976.5067085610299</v>
      </c>
      <c r="L272" s="13">
        <f>+[14]Result!$G$43</f>
        <v>-7600.6487709337916</v>
      </c>
      <c r="M272" s="13">
        <f>+[15]Result!$G$43</f>
        <v>36.158218676130005</v>
      </c>
      <c r="N272" s="32">
        <f>+[16]Result!$G$43</f>
        <v>37.022707022189266</v>
      </c>
      <c r="O272" s="13">
        <f>+[17]Result!$G$43</f>
        <v>39.147249904811019</v>
      </c>
      <c r="P272" s="13">
        <f>+[18]Result!$G$43</f>
        <v>-1832.0422271249925</v>
      </c>
      <c r="Q272" s="32">
        <f>+[19]Result!$G$43</f>
        <v>-1817.545974634663</v>
      </c>
      <c r="R272" s="32">
        <f>+[20]Result!$G$43</f>
        <v>-1817.545974634663</v>
      </c>
      <c r="S272" s="70">
        <f>+[22]Result!$G$43</f>
        <v>-1854.8647493458645</v>
      </c>
    </row>
    <row r="273" spans="1:37" hidden="1" outlineLevel="2" x14ac:dyDescent="0.25">
      <c r="A273" s="16" t="s">
        <v>46</v>
      </c>
      <c r="B273" s="13">
        <f>+[1]Result!$G$44</f>
        <v>-6147.4740549106627</v>
      </c>
      <c r="C273" s="13">
        <f>+[5]Result!$G$44</f>
        <v>-6376.660697251381</v>
      </c>
      <c r="D273" s="32">
        <f>+[6]Result!$G$44</f>
        <v>-5700.5260851376079</v>
      </c>
      <c r="E273" s="13">
        <f>+[7]Result!$G$44</f>
        <v>-5888.0387320931823</v>
      </c>
      <c r="F273" s="13">
        <f>+[8]Result!$G$44</f>
        <v>-5650.8523943323871</v>
      </c>
      <c r="G273" s="32">
        <f>+[9]Result!$G$44</f>
        <v>-5862.8906605443581</v>
      </c>
      <c r="H273" s="13">
        <f>+[10]Result!$G$44</f>
        <v>-5748.186566064378</v>
      </c>
      <c r="I273" s="13">
        <f>+[11]Result!$G$44</f>
        <v>-5609.1122980900691</v>
      </c>
      <c r="J273" s="32">
        <f>+[12]Result!$G$44</f>
        <v>-5275.4104384642415</v>
      </c>
      <c r="K273" s="13">
        <f>+[13]Result!$G$44</f>
        <v>-5271.4062700060022</v>
      </c>
      <c r="L273" s="13">
        <f>+[14]Result!$G$44</f>
        <v>-5021.4984996728381</v>
      </c>
      <c r="M273" s="13">
        <f>+[15]Result!$G$44</f>
        <v>193.96887156710167</v>
      </c>
      <c r="N273" s="32">
        <f>+[16]Result!$G$44</f>
        <v>198.61509044299669</v>
      </c>
      <c r="O273" s="13">
        <f>+[17]Result!$G$44</f>
        <v>210.15750077030916</v>
      </c>
      <c r="P273" s="13">
        <f>+[18]Result!$G$44</f>
        <v>-1294.1830045724253</v>
      </c>
      <c r="Q273" s="32">
        <f>+[19]Result!$G$44</f>
        <v>-1283.9230351191213</v>
      </c>
      <c r="R273" s="32">
        <f>+[20]Result!$G$44</f>
        <v>-1283.9230351191213</v>
      </c>
      <c r="S273" s="70">
        <f>+[22]Result!$G$44</f>
        <v>-1310.2295874982744</v>
      </c>
    </row>
    <row r="274" spans="1:37" hidden="1" outlineLevel="2" x14ac:dyDescent="0.25">
      <c r="A274" s="16" t="s">
        <v>47</v>
      </c>
      <c r="B274" s="13">
        <f>+[1]Result!$G$45</f>
        <v>-2427.5029955905816</v>
      </c>
      <c r="C274" s="13">
        <f>+[5]Result!$G$45</f>
        <v>-2518.3560377021563</v>
      </c>
      <c r="D274" s="32">
        <f>+[6]Result!$G$45</f>
        <v>-2295.542544352505</v>
      </c>
      <c r="E274" s="13">
        <f>+[7]Result!$G$45</f>
        <v>-2370.676740224576</v>
      </c>
      <c r="F274" s="13">
        <f>+[8]Result!$G$45</f>
        <v>-2275.0372387163493</v>
      </c>
      <c r="G274" s="32">
        <f>+[9]Result!$G$45</f>
        <v>-2371.781799893939</v>
      </c>
      <c r="H274" s="13">
        <f>+[10]Result!$G$45</f>
        <v>-2325.5811899486239</v>
      </c>
      <c r="I274" s="13">
        <f>+[11]Result!$G$45</f>
        <v>-2269.2319786664298</v>
      </c>
      <c r="J274" s="32">
        <f>+[12]Result!$G$45</f>
        <v>-2127.9936751146506</v>
      </c>
      <c r="K274" s="13">
        <f>+[13]Result!$G$45</f>
        <v>-2126.3376734287308</v>
      </c>
      <c r="L274" s="13">
        <f>+[14]Result!$G$45</f>
        <v>-2024.6208121275847</v>
      </c>
      <c r="M274" s="13">
        <f>+[15]Result!$G$45</f>
        <v>-9871.0374924601128</v>
      </c>
      <c r="N274" s="32">
        <f>+[16]Result!$G$45</f>
        <v>-10109.613963842761</v>
      </c>
      <c r="O274" s="13">
        <f>+[17]Result!$G$45</f>
        <v>-10702.037148008398</v>
      </c>
      <c r="P274" s="13">
        <f>+[18]Result!$G$45</f>
        <v>-14892.364574891821</v>
      </c>
      <c r="Q274" s="32">
        <f>+[19]Result!$G$45</f>
        <v>-14774.171940012784</v>
      </c>
      <c r="R274" s="32">
        <f>+[20]Result!$G$45</f>
        <v>-14771.326310483673</v>
      </c>
      <c r="S274" s="70">
        <f>+[22]Result!$G$45</f>
        <v>-15078.761701662868</v>
      </c>
    </row>
    <row r="275" spans="1:37" hidden="1" outlineLevel="2" x14ac:dyDescent="0.25">
      <c r="A275" s="16" t="s">
        <v>48</v>
      </c>
      <c r="B275" s="13">
        <f>+[1]Result!$G$46</f>
        <v>-979.82714128750945</v>
      </c>
      <c r="C275" s="13">
        <f>+[5]Result!$G$46</f>
        <v>-1016.8034991119055</v>
      </c>
      <c r="D275" s="32">
        <f>+[6]Result!$G$46</f>
        <v>-940.22923938370604</v>
      </c>
      <c r="E275" s="13">
        <f>+[7]Result!$G$46</f>
        <v>-970.99237106758039</v>
      </c>
      <c r="F275" s="13">
        <f>+[8]Result!$G$46</f>
        <v>-931.80946240949493</v>
      </c>
      <c r="G275" s="32">
        <f>+[9]Result!$G$46</f>
        <v>-972.11676544340344</v>
      </c>
      <c r="H275" s="13">
        <f>+[10]Result!$G$46</f>
        <v>-953.09917992318674</v>
      </c>
      <c r="I275" s="13">
        <f>+[11]Result!$G$46</f>
        <v>-930.00129013408082</v>
      </c>
      <c r="J275" s="32">
        <f>+[12]Result!$G$46</f>
        <v>-884.00362249299246</v>
      </c>
      <c r="K275" s="13">
        <f>+[13]Result!$G$46</f>
        <v>-883.29874795769842</v>
      </c>
      <c r="L275" s="13">
        <f>+[14]Result!$G$46</f>
        <v>-840.86476888821858</v>
      </c>
      <c r="M275" s="13">
        <f>+[15]Result!$G$46</f>
        <v>-3651.6070314502554</v>
      </c>
      <c r="N275" s="32">
        <f>+[16]Result!$G$46</f>
        <v>-3740.5808066420332</v>
      </c>
      <c r="O275" s="13">
        <f>+[17]Result!$G$46</f>
        <v>-3961.3921602396381</v>
      </c>
      <c r="P275" s="13">
        <f>+[18]Result!$G$46</f>
        <v>-6840.8063027194376</v>
      </c>
      <c r="Q275" s="32">
        <f>+[19]Result!$G$46</f>
        <v>-6786.5426367699392</v>
      </c>
      <c r="R275" s="32">
        <f>+[20]Result!$G$46</f>
        <v>-6785.1797607955396</v>
      </c>
      <c r="S275" s="70">
        <f>+[22]Result!$G$46</f>
        <v>-6927.1865004421006</v>
      </c>
    </row>
    <row r="276" spans="1:37" hidden="1" outlineLevel="2" x14ac:dyDescent="0.25">
      <c r="A276" s="16" t="s">
        <v>49</v>
      </c>
      <c r="B276" s="13">
        <f>+[1]Result!$G$47</f>
        <v>-486.22627015476377</v>
      </c>
      <c r="C276" s="13">
        <f>+[5]Result!$G$47</f>
        <v>-504.7137901584091</v>
      </c>
      <c r="D276" s="32">
        <f>+[6]Result!$G$47</f>
        <v>-475.30710619168195</v>
      </c>
      <c r="E276" s="13">
        <f>+[7]Result!$G$47</f>
        <v>-490.93712229671564</v>
      </c>
      <c r="F276" s="13">
        <f>+[8]Result!$G$47</f>
        <v>-471.04626401728501</v>
      </c>
      <c r="G276" s="32">
        <f>+[9]Result!$G$47</f>
        <v>-486.64329718383601</v>
      </c>
      <c r="H276" s="13">
        <f>+[10]Result!$G$47</f>
        <v>-477.09143311560092</v>
      </c>
      <c r="I276" s="13">
        <f>+[11]Result!$G$47</f>
        <v>-465.44484535953336</v>
      </c>
      <c r="J276" s="32">
        <f>+[12]Result!$G$47</f>
        <v>-447.45828083822585</v>
      </c>
      <c r="K276" s="13">
        <f>+[13]Result!$G$47</f>
        <v>-447.09291549157592</v>
      </c>
      <c r="L276" s="13">
        <f>+[14]Result!$G$47</f>
        <v>-425.54530407239616</v>
      </c>
      <c r="M276" s="13">
        <f>+[15]Result!$G$47</f>
        <v>-1427.675801427466</v>
      </c>
      <c r="N276" s="32">
        <f>+[16]Result!$G$47</f>
        <v>-1463.0096356788374</v>
      </c>
      <c r="O276" s="13">
        <f>+[17]Result!$G$47</f>
        <v>-1549.9358373878717</v>
      </c>
      <c r="P276" s="13">
        <f>+[18]Result!$G$47</f>
        <v>-2560.2985120252465</v>
      </c>
      <c r="Q276" s="32">
        <f>+[19]Result!$G$47</f>
        <v>-2539.5020750957092</v>
      </c>
      <c r="R276" s="32">
        <f>+[20]Result!$G$47</f>
        <v>-2538.9891179557421</v>
      </c>
      <c r="S276" s="70">
        <f>+[22]Result!$G$47</f>
        <v>-2591.8301015384254</v>
      </c>
    </row>
    <row r="277" spans="1:37" hidden="1" outlineLevel="2" x14ac:dyDescent="0.25">
      <c r="A277" s="16" t="s">
        <v>50</v>
      </c>
      <c r="B277" s="13">
        <f>+[1]Result!$G$48</f>
        <v>-284.47118661161608</v>
      </c>
      <c r="C277" s="13">
        <f>+[5]Result!$G$48</f>
        <v>-295.29750798677043</v>
      </c>
      <c r="D277" s="32">
        <f>+[6]Result!$G$48</f>
        <v>-274.93859141017401</v>
      </c>
      <c r="E277" s="13">
        <f>+[7]Result!$G$48</f>
        <v>-283.89800357403197</v>
      </c>
      <c r="F277" s="13">
        <f>+[8]Result!$G$48</f>
        <v>-272.4164196691388</v>
      </c>
      <c r="G277" s="32">
        <f>+[9]Result!$G$48</f>
        <v>-278.94969459126236</v>
      </c>
      <c r="H277" s="13">
        <f>+[10]Result!$G$48</f>
        <v>-273.46158660838046</v>
      </c>
      <c r="I277" s="13">
        <f>+[11]Result!$G$48</f>
        <v>-266.74264007589062</v>
      </c>
      <c r="J277" s="32">
        <f>+[12]Result!$G$48</f>
        <v>-256.30287003351333</v>
      </c>
      <c r="K277" s="13">
        <f>+[13]Result!$G$48</f>
        <v>-256.08867679028253</v>
      </c>
      <c r="L277" s="13">
        <f>+[14]Result!$G$48</f>
        <v>-243.66726742027291</v>
      </c>
      <c r="M277" s="13">
        <f>+[15]Result!$G$48</f>
        <v>-681.40679925512677</v>
      </c>
      <c r="N277" s="32">
        <f>+[16]Result!$G$48</f>
        <v>-698.38428928440771</v>
      </c>
      <c r="O277" s="13">
        <f>+[17]Result!$G$48</f>
        <v>-740.26306748136778</v>
      </c>
      <c r="P277" s="13">
        <f>+[18]Result!$G$48</f>
        <v>-1048.9945891584889</v>
      </c>
      <c r="Q277" s="32">
        <f>+[19]Result!$G$48</f>
        <v>-1040.2744098440087</v>
      </c>
      <c r="R277" s="32">
        <f>+[20]Result!$G$48</f>
        <v>-1040.0553121153466</v>
      </c>
      <c r="S277" s="70">
        <f>+[22]Result!$G$48</f>
        <v>-1061.7718917625673</v>
      </c>
    </row>
    <row r="278" spans="1:37" hidden="1" outlineLevel="2" x14ac:dyDescent="0.25">
      <c r="A278" s="16" t="s">
        <v>51</v>
      </c>
      <c r="B278" s="13">
        <f>+[1]Result!$G$49</f>
        <v>-155.89011340230732</v>
      </c>
      <c r="C278" s="13">
        <f>+[5]Result!$G$49</f>
        <v>-161.82221094247743</v>
      </c>
      <c r="D278" s="32">
        <f>+[6]Result!$G$49</f>
        <v>-152.40992842196931</v>
      </c>
      <c r="E278" s="13">
        <f>+[7]Result!$G$49</f>
        <v>-157.35647391634504</v>
      </c>
      <c r="F278" s="13">
        <f>+[8]Result!$G$49</f>
        <v>-151.01195522577015</v>
      </c>
      <c r="G278" s="32">
        <f>+[9]Result!$G$49</f>
        <v>-155.74011653419811</v>
      </c>
      <c r="H278" s="13">
        <f>+[10]Result!$G$49</f>
        <v>-152.67181075812326</v>
      </c>
      <c r="I278" s="13">
        <f>+[11]Result!$G$49</f>
        <v>-148.93088869189177</v>
      </c>
      <c r="J278" s="32">
        <f>+[12]Result!$G$49</f>
        <v>-143.48601905209244</v>
      </c>
      <c r="K278" s="13">
        <f>+[13]Result!$G$49</f>
        <v>-143.36335714670588</v>
      </c>
      <c r="L278" s="13">
        <f>+[14]Result!$G$49</f>
        <v>-136.39936008010164</v>
      </c>
      <c r="M278" s="13">
        <f>+[15]Result!$G$49</f>
        <v>-354.19128697430995</v>
      </c>
      <c r="N278" s="32">
        <f>+[16]Result!$G$49</f>
        <v>-363.06505474253112</v>
      </c>
      <c r="O278" s="13">
        <f>+[17]Result!$G$49</f>
        <v>-385.0241073394721</v>
      </c>
      <c r="P278" s="13">
        <f>+[18]Result!$G$49</f>
        <v>-502.53706535540937</v>
      </c>
      <c r="Q278" s="32">
        <f>+[19]Result!$G$49</f>
        <v>-498.36930413468951</v>
      </c>
      <c r="R278" s="32">
        <f>+[20]Result!$G$49</f>
        <v>-498.2639623796116</v>
      </c>
      <c r="S278" s="70">
        <f>+[22]Result!$G$49</f>
        <v>-508.79973086376589</v>
      </c>
    </row>
    <row r="279" spans="1:37" hidden="1" outlineLevel="2" x14ac:dyDescent="0.25">
      <c r="A279" s="16" t="s">
        <v>52</v>
      </c>
      <c r="B279" s="13">
        <f>+[1]Result!$G$50</f>
        <v>-83.937223544738487</v>
      </c>
      <c r="C279" s="13">
        <f>+[5]Result!$G$50</f>
        <v>-87.146496595085651</v>
      </c>
      <c r="D279" s="32">
        <f>+[6]Result!$G$50</f>
        <v>-81.809354666455619</v>
      </c>
      <c r="E279" s="13">
        <f>+[7]Result!$G$50</f>
        <v>-84.469544367206538</v>
      </c>
      <c r="F279" s="13">
        <f>+[8]Result!$G$50</f>
        <v>-81.060167275102231</v>
      </c>
      <c r="G279" s="32">
        <f>+[9]Result!$G$50</f>
        <v>-83.695256664884567</v>
      </c>
      <c r="H279" s="13">
        <f>+[10]Result!$G$50</f>
        <v>-82.063402017591187</v>
      </c>
      <c r="I279" s="13">
        <f>+[11]Result!$G$50</f>
        <v>-80.04339977221737</v>
      </c>
      <c r="J279" s="32">
        <f>+[12]Result!$G$50</f>
        <v>-76.32321706040976</v>
      </c>
      <c r="K279" s="13">
        <f>+[13]Result!$G$50</f>
        <v>-76.256507949707384</v>
      </c>
      <c r="L279" s="13">
        <f>+[14]Result!$G$50</f>
        <v>-72.550614208402848</v>
      </c>
      <c r="M279" s="13">
        <f>+[15]Result!$G$50</f>
        <v>-177.62786510527209</v>
      </c>
      <c r="N279" s="32">
        <f>+[16]Result!$G$50</f>
        <v>-182.10069415248913</v>
      </c>
      <c r="O279" s="13">
        <f>+[17]Result!$G$50</f>
        <v>-193.15799157929237</v>
      </c>
      <c r="P279" s="13">
        <f>+[18]Result!$G$50</f>
        <v>-251.56984919055535</v>
      </c>
      <c r="Q279" s="32">
        <f>+[19]Result!$G$50</f>
        <v>-249.545708444046</v>
      </c>
      <c r="R279" s="32">
        <f>+[20]Result!$G$50</f>
        <v>-249.43679986573787</v>
      </c>
      <c r="S279" s="70">
        <f>+[22]Result!$G$50</f>
        <v>-254.72071599618172</v>
      </c>
    </row>
    <row r="280" spans="1:37" hidden="1" outlineLevel="2" x14ac:dyDescent="0.25">
      <c r="A280" s="16" t="s">
        <v>53</v>
      </c>
      <c r="B280" s="13">
        <f>+[1]Result!$G$51</f>
        <v>-42.911704359627571</v>
      </c>
      <c r="C280" s="13">
        <f>+[5]Result!$G$51</f>
        <v>-44.549190290710008</v>
      </c>
      <c r="D280" s="32">
        <f>+[6]Result!$G$51</f>
        <v>-41.918943734050927</v>
      </c>
      <c r="E280" s="13">
        <f>+[7]Result!$G$51</f>
        <v>-43.283162040803198</v>
      </c>
      <c r="F280" s="13">
        <f>+[8]Result!$G$51</f>
        <v>-41.526696575909952</v>
      </c>
      <c r="G280" s="32">
        <f>+[9]Result!$G$51</f>
        <v>-43.351064585926466</v>
      </c>
      <c r="H280" s="13">
        <f>+[10]Result!$G$51</f>
        <v>-42.506665457378503</v>
      </c>
      <c r="I280" s="13">
        <f>+[11]Result!$G$51</f>
        <v>-41.456030998291681</v>
      </c>
      <c r="J280" s="32">
        <f>+[12]Result!$G$51</f>
        <v>-38.925717877067939</v>
      </c>
      <c r="K280" s="13">
        <f>+[13]Result!$G$51</f>
        <v>-38.890949568557524</v>
      </c>
      <c r="L280" s="13">
        <f>+[14]Result!$G$51</f>
        <v>-36.993530559884057</v>
      </c>
      <c r="M280" s="13">
        <f>+[15]Result!$G$51</f>
        <v>-75.31977715654898</v>
      </c>
      <c r="N280" s="32">
        <f>+[16]Result!$G$51</f>
        <v>-77.223817922602976</v>
      </c>
      <c r="O280" s="13">
        <f>+[17]Result!$G$51</f>
        <v>-81.945856442172541</v>
      </c>
      <c r="P280" s="13">
        <f>+[18]Result!$G$51</f>
        <v>-116.14917658297249</v>
      </c>
      <c r="Q280" s="32">
        <f>+[19]Result!$G$51</f>
        <v>-115.22014837873878</v>
      </c>
      <c r="R280" s="32">
        <f>+[20]Result!$G$51</f>
        <v>-115.19418834568674</v>
      </c>
      <c r="S280" s="70">
        <f>+[22]Result!$G$51</f>
        <v>-117.60956905186029</v>
      </c>
    </row>
    <row r="281" spans="1:37" hidden="1" outlineLevel="2" x14ac:dyDescent="0.25">
      <c r="A281" s="16" t="s">
        <v>54</v>
      </c>
      <c r="B281" s="13">
        <f>+[1]Result!$G$52</f>
        <v>-19.10720943208759</v>
      </c>
      <c r="C281" s="13">
        <f>+[5]Result!$G$52</f>
        <v>-19.833959605434305</v>
      </c>
      <c r="D281" s="32">
        <f>+[6]Result!$G$52</f>
        <v>-18.070275093211801</v>
      </c>
      <c r="E281" s="13">
        <f>+[7]Result!$G$52</f>
        <v>-18.662620750234034</v>
      </c>
      <c r="F281" s="13">
        <f>+[8]Result!$G$52</f>
        <v>-17.901631359955974</v>
      </c>
      <c r="G281" s="32">
        <f>+[9]Result!$G$52</f>
        <v>-19.273237338945108</v>
      </c>
      <c r="H281" s="13">
        <f>+[10]Result!$G$52</f>
        <v>-18.894125414124971</v>
      </c>
      <c r="I281" s="13">
        <f>+[11]Result!$G$52</f>
        <v>-18.429880001382667</v>
      </c>
      <c r="J281" s="32">
        <f>+[12]Result!$G$52</f>
        <v>-17.12823716277008</v>
      </c>
      <c r="K281" s="13">
        <f>+[13]Result!$G$52</f>
        <v>-17.112610110344228</v>
      </c>
      <c r="L281" s="13">
        <f>+[14]Result!$G$52</f>
        <v>-16.278755389353336</v>
      </c>
      <c r="M281" s="13">
        <f>+[15]Result!$G$52</f>
        <v>-20.481523087771357</v>
      </c>
      <c r="N281" s="32">
        <f>+[16]Result!$G$52</f>
        <v>-21.005827774716408</v>
      </c>
      <c r="O281" s="13">
        <f>+[17]Result!$G$52</f>
        <v>-22.298395024851803</v>
      </c>
      <c r="P281" s="13">
        <f>+[18]Result!$G$52</f>
        <v>-42.390915271016432</v>
      </c>
      <c r="Q281" s="32">
        <f>+[19]Result!$G$52</f>
        <v>-42.044588922078255</v>
      </c>
      <c r="R281" s="32">
        <f>+[20]Result!$G$52</f>
        <v>-42.035110188959536</v>
      </c>
      <c r="S281" s="70">
        <f>+[22]Result!$G$52</f>
        <v>-42.925759603765847</v>
      </c>
    </row>
    <row r="282" spans="1:37" hidden="1" outlineLevel="2" x14ac:dyDescent="0.25">
      <c r="A282" s="16" t="s">
        <v>55</v>
      </c>
      <c r="B282" s="13">
        <f>+[1]Result!$G$53</f>
        <v>-6.9426335865552913</v>
      </c>
      <c r="C282" s="13">
        <f>+[5]Result!$G$53</f>
        <v>-7.2072966274158174</v>
      </c>
      <c r="D282" s="32">
        <f>+[6]Result!$G$53</f>
        <v>-6.3956200506690886</v>
      </c>
      <c r="E282" s="13">
        <f>+[7]Result!$G$53</f>
        <v>-6.6051250345913299</v>
      </c>
      <c r="F282" s="13">
        <f>+[8]Result!$G$53</f>
        <v>-6.3361800639507528</v>
      </c>
      <c r="G282" s="32">
        <f>+[9]Result!$G$53</f>
        <v>-6.5059634784094369</v>
      </c>
      <c r="H282" s="13">
        <f>+[10]Result!$G$53</f>
        <v>-6.3783007429866174</v>
      </c>
      <c r="I282" s="13">
        <f>+[11]Result!$G$53</f>
        <v>-6.2197934371309485</v>
      </c>
      <c r="J282" s="32">
        <f>+[12]Result!$G$53</f>
        <v>-5.6601314790329837</v>
      </c>
      <c r="K282" s="13">
        <f>+[13]Result!$G$53</f>
        <v>-5.6548589509367995</v>
      </c>
      <c r="L282" s="13">
        <f>+[14]Result!$G$53</f>
        <v>-5.3786990633119514</v>
      </c>
      <c r="M282" s="13">
        <f>+[15]Result!$G$53</f>
        <v>-0.60024459863299628</v>
      </c>
      <c r="N282" s="32">
        <f>+[16]Result!$G$53</f>
        <v>-0.61550998542651736</v>
      </c>
      <c r="O282" s="13">
        <f>+[17]Result!$G$53</f>
        <v>-0.653597173382228</v>
      </c>
      <c r="P282" s="13">
        <f>+[18]Result!$G$53</f>
        <v>-8.4901967176878959</v>
      </c>
      <c r="Q282" s="32">
        <f>+[19]Result!$G$53</f>
        <v>-8.4213180418314373</v>
      </c>
      <c r="R282" s="32">
        <f>+[20]Result!$G$53</f>
        <v>-8.4174005736351951</v>
      </c>
      <c r="S282" s="70">
        <f>+[22]Result!$G$53</f>
        <v>-8.5955842567435141</v>
      </c>
    </row>
    <row r="283" spans="1:37" hidden="1" outlineLevel="2" x14ac:dyDescent="0.25">
      <c r="A283" s="16" t="s">
        <v>56</v>
      </c>
      <c r="B283" s="13">
        <f>+[1]Result!$G$54</f>
        <v>-1.7807948399617073</v>
      </c>
      <c r="C283" s="13">
        <f>+[5]Result!$G$54</f>
        <v>-1.8487717620227389</v>
      </c>
      <c r="D283" s="32">
        <f>+[6]Result!$G$54</f>
        <v>-1.5312186322361376</v>
      </c>
      <c r="E283" s="13">
        <f>+[7]Result!$G$54</f>
        <v>-1.5809170131525101</v>
      </c>
      <c r="F283" s="13">
        <f>+[8]Result!$G$54</f>
        <v>-1.516696739466431</v>
      </c>
      <c r="G283" s="32">
        <f>+[9]Result!$G$54</f>
        <v>-1.641827328047182</v>
      </c>
      <c r="H283" s="13">
        <f>+[10]Result!$G$54</f>
        <v>-1.6097204003575807</v>
      </c>
      <c r="I283" s="13">
        <f>+[11]Result!$G$54</f>
        <v>-1.5696427711539469</v>
      </c>
      <c r="J283" s="32">
        <f>+[12]Result!$G$54</f>
        <v>-1.4153750574774764</v>
      </c>
      <c r="K283" s="13">
        <f>+[13]Result!$G$54</f>
        <v>-1.4140294814511465</v>
      </c>
      <c r="L283" s="13">
        <f>+[14]Result!$G$54</f>
        <v>-1.3445429724337883</v>
      </c>
      <c r="M283" s="13">
        <f>+[15]Result!$G$54</f>
        <v>1.1968479764772929E-3</v>
      </c>
      <c r="N283" s="32">
        <f>+[16]Result!$G$54</f>
        <v>1.2270448354619057E-3</v>
      </c>
      <c r="O283" s="13">
        <f>+[17]Result!$G$54</f>
        <v>1.3033471288050719E-3</v>
      </c>
      <c r="P283" s="13">
        <f>+[18]Result!$G$54</f>
        <v>1.2684208314169753E-3</v>
      </c>
      <c r="Q283" s="32">
        <f>+[19]Result!$G$54</f>
        <v>1.2582212474313941E-3</v>
      </c>
      <c r="R283" s="32">
        <f>+[20]Result!$G$54</f>
        <v>1.2576238843624097E-3</v>
      </c>
      <c r="S283" s="70">
        <f>+[22]Result!$G$54</f>
        <v>1.2841836396406694E-3</v>
      </c>
    </row>
    <row r="284" spans="1:37" collapsed="1" x14ac:dyDescent="0.25">
      <c r="A284" s="12" t="s">
        <v>61</v>
      </c>
      <c r="B284" s="13">
        <f>+SUM([1]Result!$H$5:$H$54)</f>
        <v>30797476.125103258</v>
      </c>
      <c r="C284" s="13">
        <f>+SUM([5]Result!$H$5:$H$54)</f>
        <v>29748295.65396722</v>
      </c>
      <c r="D284" s="32">
        <f>+SUM([6]Result!$H$5:$H$54)</f>
        <v>30851287.407091975</v>
      </c>
      <c r="E284" s="13">
        <f>+SUM([7]Result!$H$5:$H$54)</f>
        <v>28263424.438224647</v>
      </c>
      <c r="F284" s="13">
        <f>+SUM([8]Result!$H$5:$H$54)</f>
        <v>28658579.837469526</v>
      </c>
      <c r="G284" s="32">
        <f>+SUM([9]Result!$H$5:$H$54)</f>
        <v>29098468.245531339</v>
      </c>
      <c r="H284" s="13">
        <f>+SUM([10]Result!$H$5:$H$54)</f>
        <v>29899981.785666764</v>
      </c>
      <c r="I284" s="13">
        <f>+SUM([11]Result!$H$5:$H$54)</f>
        <v>29515844.239094481</v>
      </c>
      <c r="J284" s="32">
        <f>+SUM([12]Result!$H$5:$H$54)</f>
        <v>30899761.517769843</v>
      </c>
      <c r="K284" s="13">
        <f>+SUM([13]Result!$H$5:$H$54)</f>
        <v>30602136.527990453</v>
      </c>
      <c r="L284" s="13">
        <f>+SUM([14]Result!$H$5:$H$54)</f>
        <v>31041399.713026002</v>
      </c>
      <c r="M284" s="32">
        <f>+SUM([15]Result!$H$5:$H$54)</f>
        <v>27182453.091092315</v>
      </c>
      <c r="N284" s="13">
        <f>+SUM([16]Result!$H$5:$H$54)</f>
        <v>26848158.117975231</v>
      </c>
      <c r="O284" s="13">
        <f>+SUM([17]Result!$H$5:$H$54)</f>
        <v>25987684.258023579</v>
      </c>
      <c r="P284" s="32">
        <f>+SUM([18]Result!$H$5:$H$54)</f>
        <v>33397718.274999015</v>
      </c>
      <c r="Q284" s="13">
        <f>+SUM([19]Result!$H$5:$H$54)</f>
        <v>33658108.185371898</v>
      </c>
      <c r="R284" s="13">
        <f>+SUM([20]Result!$H$5:$H$54)</f>
        <v>32666908.829856295</v>
      </c>
      <c r="S284" s="70">
        <f>+SUM([22]Result!$H$5:$H$54)</f>
        <v>32464418.993215382</v>
      </c>
      <c r="T284" s="13">
        <f>+B284-(B285+B291+B297+B308+B319)</f>
        <v>0</v>
      </c>
      <c r="U284" s="13">
        <f t="shared" ref="U284:W284" si="210">+C284-(C285+C291+C297+C308+C319)</f>
        <v>0</v>
      </c>
      <c r="V284" s="13">
        <f t="shared" si="210"/>
        <v>0</v>
      </c>
      <c r="W284" s="13">
        <f t="shared" si="210"/>
        <v>0</v>
      </c>
      <c r="X284" s="13">
        <f t="shared" ref="X284" si="211">+F284-(F285+F291+F297+F308+F319)</f>
        <v>0</v>
      </c>
      <c r="Y284" s="13">
        <f t="shared" ref="Y284:AE284" si="212">+G284-(G285+G291+G297+G308+G319)</f>
        <v>0</v>
      </c>
      <c r="Z284" s="13">
        <f t="shared" si="212"/>
        <v>0</v>
      </c>
      <c r="AA284" s="13">
        <f t="shared" si="212"/>
        <v>0</v>
      </c>
      <c r="AB284" s="13">
        <f t="shared" si="212"/>
        <v>0</v>
      </c>
      <c r="AC284" s="13">
        <f t="shared" si="212"/>
        <v>0</v>
      </c>
      <c r="AD284" s="13">
        <f t="shared" si="212"/>
        <v>0</v>
      </c>
      <c r="AE284" s="13">
        <f t="shared" si="212"/>
        <v>0</v>
      </c>
      <c r="AF284" s="13">
        <f t="shared" ref="AF284" si="213">+N284-(N285+N291+N297+N308+N319)</f>
        <v>0</v>
      </c>
      <c r="AG284" s="13">
        <f t="shared" ref="AG284:AH284" si="214">+O284-(O285+O291+O297+O308+O319)</f>
        <v>0</v>
      </c>
      <c r="AH284" s="13">
        <f t="shared" si="214"/>
        <v>0</v>
      </c>
      <c r="AI284" s="13">
        <f t="shared" ref="AI284" si="215">+Q284-(Q285+Q291+Q297+Q308+Q319)</f>
        <v>0</v>
      </c>
      <c r="AJ284" s="13">
        <f t="shared" ref="AJ284:AK284" si="216">+R284-(R285+R291+R297+R308+R319)</f>
        <v>0</v>
      </c>
      <c r="AK284" s="13">
        <f t="shared" si="216"/>
        <v>0</v>
      </c>
    </row>
    <row r="285" spans="1:37" hidden="1" outlineLevel="1" x14ac:dyDescent="0.25">
      <c r="A285" s="15" t="s">
        <v>2</v>
      </c>
      <c r="B285" s="13" cm="1">
        <f t="array" ref="B285">+[1]!DELTA_UP_1_5</f>
        <v>16108722.390179269</v>
      </c>
      <c r="C285" s="13" cm="1">
        <f t="array" ref="C285">+[5]!DELTA_UP_1_5</f>
        <v>15184201.35982161</v>
      </c>
      <c r="D285" s="32" cm="1">
        <f t="array" ref="D285">+[6]!DELTA_UP_1_5</f>
        <v>16680061.407092109</v>
      </c>
      <c r="E285" s="13" cm="1">
        <f t="array" ref="E285">+[7]!DELTA_UP_1_5</f>
        <v>14564567.90241456</v>
      </c>
      <c r="F285" s="13" cm="1">
        <f t="array" ref="F285">+[8]!DELTA_UP_1_5</f>
        <v>14908589.295350529</v>
      </c>
      <c r="G285" s="32" cm="1">
        <f t="array" ref="G285">+[9]!DELTA_UP_1_5</f>
        <v>15201348.370422065</v>
      </c>
      <c r="H285" s="13" cm="1">
        <f t="array" ref="H285">+[10]!DELTA_UP_1_5</f>
        <v>15844670.196046941</v>
      </c>
      <c r="I285" s="13" cm="1">
        <f t="array" ref="I285">+[11]!DELTA_UP_1_5</f>
        <v>15586518.037436768</v>
      </c>
      <c r="J285" s="32" cm="1">
        <f t="array" ref="J285">+[12]!DELTA_UP_1_5</f>
        <v>16686773.182615489</v>
      </c>
      <c r="K285" s="13" cm="1">
        <f t="array" ref="K285">+[13]!DELTA_UP_1_5</f>
        <v>16496724.396236695</v>
      </c>
      <c r="L285" s="13" cm="1">
        <f t="array" ref="L285">+[14]!DELTA_UP_1_5</f>
        <v>16794127.356428385</v>
      </c>
      <c r="M285" s="13" cm="1">
        <f t="array" ref="M285">+[15]!DELTA_UP_1_5</f>
        <v>15858133.679653317</v>
      </c>
      <c r="N285" s="32" cm="1">
        <f t="array" ref="N285">+[16]!DELTA_UP_1_5</f>
        <v>15636978.879083578</v>
      </c>
      <c r="O285" s="13" cm="1">
        <f t="array" ref="O285">+[17]!DELTA_UP_1_5</f>
        <v>15076263.864931643</v>
      </c>
      <c r="P285" s="13" cm="1">
        <f t="array" ref="P285">+[18]!DELTA_UP_1_5</f>
        <v>20900435.669471972</v>
      </c>
      <c r="Q285" s="32" cm="1">
        <f t="array" ref="Q285">+[19]!DELTA_UP_1_5</f>
        <v>21168538.947127536</v>
      </c>
      <c r="R285" s="32" cm="1">
        <f t="array" ref="R285">+[20]!DELTA_UP_1_5</f>
        <v>20401971.67366109</v>
      </c>
      <c r="S285" s="70" cm="1">
        <f t="array" ref="S285">+[22]!DELTA_UP_1_5</f>
        <v>20298530.414806657</v>
      </c>
      <c r="T285" s="13">
        <f>+B285-SUM(B286:B290)</f>
        <v>0</v>
      </c>
      <c r="U285" s="13">
        <f t="shared" ref="U285:W285" si="217">+C285-SUM(C286:C290)</f>
        <v>0</v>
      </c>
      <c r="V285" s="13">
        <f t="shared" si="217"/>
        <v>0</v>
      </c>
      <c r="W285" s="13">
        <f t="shared" si="217"/>
        <v>0</v>
      </c>
      <c r="X285" s="13">
        <f t="shared" ref="X285" si="218">+F285-SUM(F286:F290)</f>
        <v>0</v>
      </c>
      <c r="Y285" s="13">
        <f t="shared" ref="Y285:AE285" si="219">+G285-SUM(G286:G290)</f>
        <v>0</v>
      </c>
      <c r="Z285" s="13">
        <f t="shared" si="219"/>
        <v>0</v>
      </c>
      <c r="AA285" s="13">
        <f t="shared" si="219"/>
        <v>0</v>
      </c>
      <c r="AB285" s="13">
        <f t="shared" si="219"/>
        <v>0</v>
      </c>
      <c r="AC285" s="13">
        <f t="shared" si="219"/>
        <v>0</v>
      </c>
      <c r="AD285" s="13">
        <f t="shared" si="219"/>
        <v>0</v>
      </c>
      <c r="AE285" s="13">
        <f t="shared" si="219"/>
        <v>0</v>
      </c>
      <c r="AF285" s="13">
        <f t="shared" ref="AF285" si="220">+N285-SUM(N286:N290)</f>
        <v>0</v>
      </c>
      <c r="AG285" s="13">
        <f t="shared" ref="AG285:AH285" si="221">+O285-SUM(O286:O290)</f>
        <v>0</v>
      </c>
      <c r="AH285" s="13">
        <f t="shared" si="221"/>
        <v>0</v>
      </c>
      <c r="AI285" s="13">
        <f t="shared" ref="AI285" si="222">+Q285-SUM(Q286:Q290)</f>
        <v>0</v>
      </c>
      <c r="AJ285" s="13">
        <f t="shared" ref="AJ285:AK285" si="223">+R285-SUM(R286:R290)</f>
        <v>0</v>
      </c>
      <c r="AK285" s="13">
        <f t="shared" si="223"/>
        <v>0</v>
      </c>
    </row>
    <row r="286" spans="1:37" hidden="1" outlineLevel="2" x14ac:dyDescent="0.25">
      <c r="A286" s="16" t="s">
        <v>3</v>
      </c>
      <c r="B286" s="13">
        <f>+[1]Result!$H$5</f>
        <v>3101570.1447225213</v>
      </c>
      <c r="C286" s="13">
        <f>+[5]Result!$H$5</f>
        <v>2904552.497939527</v>
      </c>
      <c r="D286" s="32">
        <f>+[6]Result!$H$5</f>
        <v>2919123.8676237464</v>
      </c>
      <c r="E286" s="13">
        <f>+[7]Result!$H$5</f>
        <v>2549174.7226610184</v>
      </c>
      <c r="F286" s="13">
        <f>+[8]Result!$H$5</f>
        <v>2571585.4380171299</v>
      </c>
      <c r="G286" s="32">
        <f>+[9]Result!$H$5</f>
        <v>2367367.0093433857</v>
      </c>
      <c r="H286" s="13">
        <f>+[10]Result!$H$5</f>
        <v>2448354.8380762339</v>
      </c>
      <c r="I286" s="13">
        <f>+[11]Result!$H$5</f>
        <v>2438271.1602314711</v>
      </c>
      <c r="J286" s="32">
        <f>+[12]Result!$H$5</f>
        <v>2376635.5689290762</v>
      </c>
      <c r="K286" s="13">
        <f>+[13]Result!$H$5</f>
        <v>2383025.0881718993</v>
      </c>
      <c r="L286" s="13">
        <f>+[14]Result!$H$5</f>
        <v>2395705.5858017206</v>
      </c>
      <c r="M286" s="13">
        <f>+[15]Result!$H$5</f>
        <v>2284635.4692635536</v>
      </c>
      <c r="N286" s="32">
        <f>+[16]Result!$H$5</f>
        <v>2281668.0035443306</v>
      </c>
      <c r="O286" s="13">
        <f>+[17]Result!$H$5</f>
        <v>2251923.783238709</v>
      </c>
      <c r="P286" s="13">
        <f>+[18]Result!$H$5</f>
        <v>3314102.5197888017</v>
      </c>
      <c r="Q286" s="32">
        <f>+[19]Result!$H$5</f>
        <v>3400256.4213423729</v>
      </c>
      <c r="R286" s="32">
        <f>+[20]Result!$H$5</f>
        <v>3300529.2034564614</v>
      </c>
      <c r="S286" s="70">
        <f>+[22]Result!$H$5</f>
        <v>3295429.1917033195</v>
      </c>
    </row>
    <row r="287" spans="1:37" hidden="1" outlineLevel="2" x14ac:dyDescent="0.25">
      <c r="A287" s="16" t="s">
        <v>4</v>
      </c>
      <c r="B287" s="13">
        <f>+[1]Result!$H$6</f>
        <v>4748153.6428276002</v>
      </c>
      <c r="C287" s="13">
        <f>+[5]Result!$H$6</f>
        <v>4475599.3706324399</v>
      </c>
      <c r="D287" s="32">
        <f>+[6]Result!$H$6</f>
        <v>5384156.7871502042</v>
      </c>
      <c r="E287" s="13">
        <f>+[7]Result!$H$6</f>
        <v>4669729.7603770196</v>
      </c>
      <c r="F287" s="13">
        <f>+[8]Result!$H$6</f>
        <v>4769868.5842484236</v>
      </c>
      <c r="G287" s="32">
        <f>+[9]Result!$H$6</f>
        <v>5004878.7490088046</v>
      </c>
      <c r="H287" s="13">
        <f>+[10]Result!$H$6</f>
        <v>5220885.4812315702</v>
      </c>
      <c r="I287" s="13">
        <f>+[11]Result!$H$6</f>
        <v>5149623.4355504215</v>
      </c>
      <c r="J287" s="32">
        <f>+[12]Result!$H$6</f>
        <v>5553809.75019297</v>
      </c>
      <c r="K287" s="13">
        <f>+[13]Result!$H$6</f>
        <v>5506971.7034403384</v>
      </c>
      <c r="L287" s="13">
        <f>+[14]Result!$H$6</f>
        <v>5587508.1444502771</v>
      </c>
      <c r="M287" s="13">
        <f>+[15]Result!$H$6</f>
        <v>5281088.8007687926</v>
      </c>
      <c r="N287" s="32">
        <f>+[16]Result!$H$6</f>
        <v>5227574.8359318674</v>
      </c>
      <c r="O287" s="13">
        <f>+[17]Result!$H$6</f>
        <v>5088715.0243886709</v>
      </c>
      <c r="P287" s="13">
        <f>+[18]Result!$H$6</f>
        <v>7311086.8217769265</v>
      </c>
      <c r="Q287" s="32">
        <f>+[19]Result!$H$6</f>
        <v>7459575.8015403748</v>
      </c>
      <c r="R287" s="32">
        <f>+[20]Result!$H$6</f>
        <v>7183000.4503960013</v>
      </c>
      <c r="S287" s="70">
        <f>+[22]Result!$H$6</f>
        <v>7149120.1459866762</v>
      </c>
    </row>
    <row r="288" spans="1:37" hidden="1" outlineLevel="2" x14ac:dyDescent="0.25">
      <c r="A288" s="16" t="s">
        <v>5</v>
      </c>
      <c r="B288" s="13">
        <f>+[1]Result!$H$7</f>
        <v>3587080.8298359513</v>
      </c>
      <c r="C288" s="13">
        <f>+[5]Result!$H$7</f>
        <v>3379770.2759016603</v>
      </c>
      <c r="D288" s="32">
        <f>+[6]Result!$H$7</f>
        <v>3560484.8137623817</v>
      </c>
      <c r="E288" s="13">
        <f>+[7]Result!$H$7</f>
        <v>3096608.9078686833</v>
      </c>
      <c r="F288" s="13">
        <f>+[8]Result!$H$7</f>
        <v>3187694.9364826232</v>
      </c>
      <c r="G288" s="32">
        <f>+[9]Result!$H$7</f>
        <v>3279792.195862636</v>
      </c>
      <c r="H288" s="13">
        <f>+[10]Result!$H$7</f>
        <v>3435910.2027856708</v>
      </c>
      <c r="I288" s="13">
        <f>+[11]Result!$H$7</f>
        <v>3360212.9732726216</v>
      </c>
      <c r="J288" s="32">
        <f>+[12]Result!$H$7</f>
        <v>3789567.3761935085</v>
      </c>
      <c r="K288" s="13">
        <f>+[13]Result!$H$7</f>
        <v>3730007.7660779655</v>
      </c>
      <c r="L288" s="13">
        <f>+[14]Result!$H$7</f>
        <v>3807638.7661937326</v>
      </c>
      <c r="M288" s="13">
        <f>+[15]Result!$H$7</f>
        <v>3693549.3493220806</v>
      </c>
      <c r="N288" s="32">
        <f>+[16]Result!$H$7</f>
        <v>3624243.0897128284</v>
      </c>
      <c r="O288" s="13">
        <f>+[17]Result!$H$7</f>
        <v>3474728.1663703024</v>
      </c>
      <c r="P288" s="13">
        <f>+[18]Result!$H$7</f>
        <v>4721546.717923224</v>
      </c>
      <c r="Q288" s="32">
        <f>+[19]Result!$H$7</f>
        <v>4759434.6102548987</v>
      </c>
      <c r="R288" s="32">
        <f>+[20]Result!$H$7</f>
        <v>4568553.184520632</v>
      </c>
      <c r="S288" s="70">
        <f>+[22]Result!$H$7</f>
        <v>4546794.1395545304</v>
      </c>
    </row>
    <row r="289" spans="1:37" hidden="1" outlineLevel="2" x14ac:dyDescent="0.25">
      <c r="A289" s="16" t="s">
        <v>6</v>
      </c>
      <c r="B289" s="13">
        <f>+[1]Result!$H$8</f>
        <v>2527368.894301258</v>
      </c>
      <c r="C289" s="13">
        <f>+[5]Result!$H$8</f>
        <v>2387938.2968267053</v>
      </c>
      <c r="D289" s="32">
        <f>+[6]Result!$H$8</f>
        <v>2610674.6878087744</v>
      </c>
      <c r="E289" s="13">
        <f>+[7]Result!$H$8</f>
        <v>2293700.0334996581</v>
      </c>
      <c r="F289" s="13">
        <f>+[8]Result!$H$8</f>
        <v>2364467.2400123402</v>
      </c>
      <c r="G289" s="32">
        <f>+[9]Result!$H$8</f>
        <v>2453796.5775612071</v>
      </c>
      <c r="H289" s="13">
        <f>+[10]Result!$H$8</f>
        <v>2561754.5266979709</v>
      </c>
      <c r="I289" s="13">
        <f>+[11]Result!$H$8</f>
        <v>2503326.532891117</v>
      </c>
      <c r="J289" s="32">
        <f>+[12]Result!$H$8</f>
        <v>2713926.8541209102</v>
      </c>
      <c r="K289" s="13">
        <f>+[13]Result!$H$8</f>
        <v>2665648.8410893679</v>
      </c>
      <c r="L289" s="13">
        <f>+[14]Result!$H$8</f>
        <v>2730254.1674631834</v>
      </c>
      <c r="M289" s="13">
        <f>+[15]Result!$H$8</f>
        <v>2566410.7623625919</v>
      </c>
      <c r="N289" s="32">
        <f>+[16]Result!$H$8</f>
        <v>2512097.6970013753</v>
      </c>
      <c r="O289" s="13">
        <f>+[17]Result!$H$8</f>
        <v>2382665.518797867</v>
      </c>
      <c r="P289" s="13">
        <f>+[18]Result!$H$8</f>
        <v>3125840.6975835264</v>
      </c>
      <c r="Q289" s="32">
        <f>+[19]Result!$H$8</f>
        <v>3123768.8617956787</v>
      </c>
      <c r="R289" s="32">
        <f>+[20]Result!$H$8</f>
        <v>3007306.7341827229</v>
      </c>
      <c r="S289" s="70">
        <f>+[22]Result!$H$8</f>
        <v>2989233.07467895</v>
      </c>
    </row>
    <row r="290" spans="1:37" hidden="1" outlineLevel="2" x14ac:dyDescent="0.25">
      <c r="A290" s="16" t="s">
        <v>7</v>
      </c>
      <c r="B290" s="13">
        <f>+[1]Result!$H$9</f>
        <v>2144548.8784919381</v>
      </c>
      <c r="C290" s="13">
        <f>+[5]Result!$H$9</f>
        <v>2036340.9185212776</v>
      </c>
      <c r="D290" s="32">
        <f>+[6]Result!$H$9</f>
        <v>2205621.2507470027</v>
      </c>
      <c r="E290" s="13">
        <f>+[7]Result!$H$9</f>
        <v>1955354.4780081809</v>
      </c>
      <c r="F290" s="13">
        <f>+[8]Result!$H$9</f>
        <v>2014973.0965900123</v>
      </c>
      <c r="G290" s="32">
        <f>+[9]Result!$H$9</f>
        <v>2095513.8386460319</v>
      </c>
      <c r="H290" s="13">
        <f>+[10]Result!$H$9</f>
        <v>2177765.1472554952</v>
      </c>
      <c r="I290" s="13">
        <f>+[11]Result!$H$9</f>
        <v>2135083.9354911372</v>
      </c>
      <c r="J290" s="32">
        <f>+[12]Result!$H$9</f>
        <v>2252833.6331790239</v>
      </c>
      <c r="K290" s="13">
        <f>+[13]Result!$H$9</f>
        <v>2211070.9974571243</v>
      </c>
      <c r="L290" s="13">
        <f>+[14]Result!$H$9</f>
        <v>2273020.692519471</v>
      </c>
      <c r="M290" s="13">
        <f>+[15]Result!$H$9</f>
        <v>2032449.297936298</v>
      </c>
      <c r="N290" s="32">
        <f>+[16]Result!$H$9</f>
        <v>1991395.2528931759</v>
      </c>
      <c r="O290" s="13">
        <f>+[17]Result!$H$9</f>
        <v>1878231.3721360937</v>
      </c>
      <c r="P290" s="13">
        <f>+[18]Result!$H$9</f>
        <v>2427858.9123994932</v>
      </c>
      <c r="Q290" s="32">
        <f>+[19]Result!$H$9</f>
        <v>2425503.2521942109</v>
      </c>
      <c r="R290" s="32">
        <f>+[20]Result!$H$9</f>
        <v>2342582.1011052728</v>
      </c>
      <c r="S290" s="70">
        <f>+[22]Result!$H$9</f>
        <v>2317953.8628831804</v>
      </c>
    </row>
    <row r="291" spans="1:37" hidden="1" outlineLevel="1" x14ac:dyDescent="0.25">
      <c r="A291" s="15" t="s">
        <v>8</v>
      </c>
      <c r="B291" s="13" cm="1">
        <f t="array" ref="B291">+[1]!DELTA_UP_6_10</f>
        <v>7289114.4345584959</v>
      </c>
      <c r="C291" s="13" cm="1">
        <f t="array" ref="C291">+[5]!DELTA_UP_6_10</f>
        <v>7061055.499787597</v>
      </c>
      <c r="D291" s="32" cm="1">
        <f t="array" ref="D291">+[6]!DELTA_UP_6_10</f>
        <v>7551102.6648101304</v>
      </c>
      <c r="E291" s="13" cm="1">
        <f t="array" ref="E291">+[7]!DELTA_UP_6_10</f>
        <v>6907198.0321612637</v>
      </c>
      <c r="F291" s="13" cm="1">
        <f t="array" ref="F291">+[8]!DELTA_UP_6_10</f>
        <v>7081729.670200862</v>
      </c>
      <c r="G291" s="32" cm="1">
        <f t="array" ref="G291">+[9]!DELTA_UP_6_10</f>
        <v>7352603.3528543487</v>
      </c>
      <c r="H291" s="13" cm="1">
        <f t="array" ref="H291">+[10]!DELTA_UP_6_10</f>
        <v>7558838.0360417124</v>
      </c>
      <c r="I291" s="13" cm="1">
        <f t="array" ref="I291">+[11]!DELTA_UP_6_10</f>
        <v>7478380.0918747652</v>
      </c>
      <c r="J291" s="32" cm="1">
        <f t="array" ref="J291">+[12]!DELTA_UP_6_10</f>
        <v>7616169.041415412</v>
      </c>
      <c r="K291" s="13" cm="1">
        <f t="array" ref="K291">+[13]!DELTA_UP_6_10</f>
        <v>7505777.8450095356</v>
      </c>
      <c r="L291" s="13" cm="1">
        <f t="array" ref="L291">+[14]!DELTA_UP_6_10</f>
        <v>7738421.1652438063</v>
      </c>
      <c r="M291" s="13" cm="1">
        <f t="array" ref="M291">+[15]!DELTA_UP_6_10</f>
        <v>6427990.7313634139</v>
      </c>
      <c r="N291" s="32" cm="1">
        <f t="array" ref="N291">+[16]!DELTA_UP_6_10</f>
        <v>6315780.0510891033</v>
      </c>
      <c r="O291" s="13" cm="1">
        <f t="array" ref="O291">+[17]!DELTA_UP_6_10</f>
        <v>5968764.207445682</v>
      </c>
      <c r="P291" s="13" cm="1">
        <f t="array" ref="P291">+[18]!DELTA_UP_6_10</f>
        <v>7284145.7590658963</v>
      </c>
      <c r="Q291" s="32" cm="1">
        <f t="array" ref="Q291">+[19]!DELTA_UP_6_10</f>
        <v>7288776.0779377762</v>
      </c>
      <c r="R291" s="32" cm="1">
        <f t="array" ref="R291">+[20]!DELTA_UP_6_10</f>
        <v>7090930.7510530846</v>
      </c>
      <c r="S291" s="70" cm="1">
        <f t="array" ref="S291">+[22]!DELTA_UP_6_10</f>
        <v>6994563.9175920086</v>
      </c>
      <c r="T291" s="13">
        <f>+B291-SUM(B292:B296)</f>
        <v>0</v>
      </c>
      <c r="U291" s="13">
        <f t="shared" ref="U291:W291" si="224">+C291-SUM(C292:C296)</f>
        <v>0</v>
      </c>
      <c r="V291" s="13">
        <f t="shared" si="224"/>
        <v>0</v>
      </c>
      <c r="W291" s="13">
        <f t="shared" si="224"/>
        <v>0</v>
      </c>
      <c r="X291" s="13">
        <f t="shared" ref="X291" si="225">+F291-SUM(F292:F296)</f>
        <v>0</v>
      </c>
      <c r="Y291" s="13">
        <f t="shared" ref="Y291:AE291" si="226">+G291-SUM(G292:G296)</f>
        <v>0</v>
      </c>
      <c r="Z291" s="13">
        <f t="shared" si="226"/>
        <v>0</v>
      </c>
      <c r="AA291" s="13">
        <f t="shared" si="226"/>
        <v>0</v>
      </c>
      <c r="AB291" s="13">
        <f t="shared" si="226"/>
        <v>0</v>
      </c>
      <c r="AC291" s="13">
        <f t="shared" si="226"/>
        <v>0</v>
      </c>
      <c r="AD291" s="13">
        <f t="shared" si="226"/>
        <v>0</v>
      </c>
      <c r="AE291" s="13">
        <f t="shared" si="226"/>
        <v>0</v>
      </c>
      <c r="AF291" s="13">
        <f t="shared" ref="AF291" si="227">+N291-SUM(N292:N296)</f>
        <v>0</v>
      </c>
      <c r="AG291" s="13">
        <f t="shared" ref="AG291:AH291" si="228">+O291-SUM(O292:O296)</f>
        <v>0</v>
      </c>
      <c r="AH291" s="13">
        <f t="shared" si="228"/>
        <v>0</v>
      </c>
      <c r="AI291" s="13">
        <f t="shared" ref="AI291" si="229">+Q291-SUM(Q292:Q296)</f>
        <v>0</v>
      </c>
      <c r="AJ291" s="13">
        <f t="shared" ref="AJ291:AK291" si="230">+R291-SUM(R292:R296)</f>
        <v>0</v>
      </c>
      <c r="AK291" s="13">
        <f t="shared" si="230"/>
        <v>0</v>
      </c>
    </row>
    <row r="292" spans="1:37" hidden="1" outlineLevel="2" x14ac:dyDescent="0.25">
      <c r="A292" s="16" t="s">
        <v>9</v>
      </c>
      <c r="B292" s="13">
        <f>+[1]Result!$H$10</f>
        <v>1919328.0184597932</v>
      </c>
      <c r="C292" s="13">
        <f>+[5]Result!$H$10</f>
        <v>1826463.3640527278</v>
      </c>
      <c r="D292" s="32">
        <f>+[6]Result!$H$10</f>
        <v>1986203.4392557405</v>
      </c>
      <c r="E292" s="13">
        <f>+[7]Result!$H$10</f>
        <v>1779647.3474184945</v>
      </c>
      <c r="F292" s="13">
        <f>+[8]Result!$H$10</f>
        <v>1831497.3345566578</v>
      </c>
      <c r="G292" s="32">
        <f>+[9]Result!$H$10</f>
        <v>1895093.4933827296</v>
      </c>
      <c r="H292" s="13">
        <f>+[10]Result!$H$10</f>
        <v>1960673.5467571169</v>
      </c>
      <c r="I292" s="13">
        <f>+[11]Result!$H$10</f>
        <v>1929019.1282685548</v>
      </c>
      <c r="J292" s="32">
        <f>+[12]Result!$H$10</f>
        <v>1993914.4375019893</v>
      </c>
      <c r="K292" s="13">
        <f>+[13]Result!$H$10</f>
        <v>1958541.5256130621</v>
      </c>
      <c r="L292" s="13">
        <f>+[14]Result!$H$10</f>
        <v>2018747.0799215585</v>
      </c>
      <c r="M292" s="13">
        <f>+[15]Result!$H$10</f>
        <v>1772543.7273234688</v>
      </c>
      <c r="N292" s="32">
        <f>+[16]Result!$H$10</f>
        <v>1738287.464472089</v>
      </c>
      <c r="O292" s="13">
        <f>+[17]Result!$H$10</f>
        <v>1637457.9054237194</v>
      </c>
      <c r="P292" s="13">
        <f>+[18]Result!$H$10</f>
        <v>2050933.7548732013</v>
      </c>
      <c r="Q292" s="32">
        <f>+[19]Result!$H$10</f>
        <v>2050860.8450145312</v>
      </c>
      <c r="R292" s="32">
        <f>+[20]Result!$H$10</f>
        <v>1985911.321012564</v>
      </c>
      <c r="S292" s="70">
        <f>+[22]Result!$H$10</f>
        <v>1960257.8445109762</v>
      </c>
    </row>
    <row r="293" spans="1:37" hidden="1" outlineLevel="2" x14ac:dyDescent="0.25">
      <c r="A293" s="16" t="s">
        <v>10</v>
      </c>
      <c r="B293" s="13">
        <f>+[1]Result!$H$11</f>
        <v>1659034.5997451395</v>
      </c>
      <c r="C293" s="13">
        <f>+[5]Result!$H$11</f>
        <v>1587661.1095174849</v>
      </c>
      <c r="D293" s="32">
        <f>+[6]Result!$H$11</f>
        <v>1733938.2833071463</v>
      </c>
      <c r="E293" s="13">
        <f>+[7]Result!$H$11</f>
        <v>1573273.2106917836</v>
      </c>
      <c r="F293" s="13">
        <f>+[8]Result!$H$11</f>
        <v>1615985.5986759663</v>
      </c>
      <c r="G293" s="32">
        <f>+[9]Result!$H$11</f>
        <v>1679129.3772168905</v>
      </c>
      <c r="H293" s="13">
        <f>+[10]Result!$H$11</f>
        <v>1729008.1184588037</v>
      </c>
      <c r="I293" s="13">
        <f>+[11]Result!$H$11</f>
        <v>1707105.1577460803</v>
      </c>
      <c r="J293" s="32">
        <f>+[12]Result!$H$11</f>
        <v>1748841.6155860275</v>
      </c>
      <c r="K293" s="13">
        <f>+[13]Result!$H$11</f>
        <v>1721688.5330468789</v>
      </c>
      <c r="L293" s="13">
        <f>+[14]Result!$H$11</f>
        <v>1776023.4796924554</v>
      </c>
      <c r="M293" s="13">
        <f>+[15]Result!$H$11</f>
        <v>1528554.5212307759</v>
      </c>
      <c r="N293" s="32">
        <f>+[16]Result!$H$11</f>
        <v>1499975.553023316</v>
      </c>
      <c r="O293" s="13">
        <f>+[17]Result!$H$11</f>
        <v>1414979.6427368671</v>
      </c>
      <c r="P293" s="13">
        <f>+[18]Result!$H$11</f>
        <v>1742817.9154646732</v>
      </c>
      <c r="Q293" s="32">
        <f>+[19]Result!$H$11</f>
        <v>1743232.8425134122</v>
      </c>
      <c r="R293" s="32">
        <f>+[20]Result!$H$11</f>
        <v>1693153.7764931805</v>
      </c>
      <c r="S293" s="70">
        <f>+[22]Result!$H$11</f>
        <v>1670255.6402574182</v>
      </c>
    </row>
    <row r="294" spans="1:37" hidden="1" outlineLevel="2" x14ac:dyDescent="0.25">
      <c r="A294" s="16" t="s">
        <v>11</v>
      </c>
      <c r="B294" s="13">
        <f>+[1]Result!$H$12</f>
        <v>1422818.6929217055</v>
      </c>
      <c r="C294" s="13">
        <f>+[5]Result!$H$12</f>
        <v>1370382.635900408</v>
      </c>
      <c r="D294" s="32">
        <f>+[6]Result!$H$12</f>
        <v>1496681.9852150176</v>
      </c>
      <c r="E294" s="13">
        <f>+[7]Result!$H$12</f>
        <v>1373762.6271125823</v>
      </c>
      <c r="F294" s="13">
        <f>+[8]Result!$H$12</f>
        <v>1408747.1169901863</v>
      </c>
      <c r="G294" s="32">
        <f>+[9]Result!$H$12</f>
        <v>1467677.6663705483</v>
      </c>
      <c r="H294" s="13">
        <f>+[10]Result!$H$12</f>
        <v>1506121.1812565997</v>
      </c>
      <c r="I294" s="13">
        <f>+[11]Result!$H$12</f>
        <v>1491678.5897196643</v>
      </c>
      <c r="J294" s="32">
        <f>+[12]Result!$H$12</f>
        <v>1517081.0338287465</v>
      </c>
      <c r="K294" s="13">
        <f>+[13]Result!$H$12</f>
        <v>1496915.6649294756</v>
      </c>
      <c r="L294" s="13">
        <f>+[14]Result!$H$12</f>
        <v>1543635.8592793494</v>
      </c>
      <c r="M294" s="13">
        <f>+[15]Result!$H$12</f>
        <v>1298822.3670289256</v>
      </c>
      <c r="N294" s="32">
        <f>+[16]Result!$H$12</f>
        <v>1276432.0713378768</v>
      </c>
      <c r="O294" s="13">
        <f>+[17]Result!$H$12</f>
        <v>1206976.3873851504</v>
      </c>
      <c r="P294" s="13">
        <f>+[18]Result!$H$12</f>
        <v>1459492.6442831755</v>
      </c>
      <c r="Q294" s="32">
        <f>+[19]Result!$H$12</f>
        <v>1461032.9970343728</v>
      </c>
      <c r="R294" s="32">
        <f>+[20]Result!$H$12</f>
        <v>1422504.8719942681</v>
      </c>
      <c r="S294" s="70">
        <f>+[22]Result!$H$12</f>
        <v>1403093.6422591433</v>
      </c>
    </row>
    <row r="295" spans="1:37" hidden="1" outlineLevel="2" x14ac:dyDescent="0.25">
      <c r="A295" s="16" t="s">
        <v>12</v>
      </c>
      <c r="B295" s="13">
        <f>+[1]Result!$H$13</f>
        <v>1197565.7152973469</v>
      </c>
      <c r="C295" s="13">
        <f>+[5]Result!$H$13</f>
        <v>1178461.2565983888</v>
      </c>
      <c r="D295" s="32">
        <f>+[6]Result!$H$13</f>
        <v>1219977.5232489854</v>
      </c>
      <c r="E295" s="13">
        <f>+[7]Result!$H$13</f>
        <v>1130919.0704943687</v>
      </c>
      <c r="F295" s="13">
        <f>+[8]Result!$H$13</f>
        <v>1158326.3576820344</v>
      </c>
      <c r="G295" s="32">
        <f>+[9]Result!$H$13</f>
        <v>1196534.671854537</v>
      </c>
      <c r="H295" s="13">
        <f>+[10]Result!$H$13</f>
        <v>1224178.8070116099</v>
      </c>
      <c r="I295" s="13">
        <f>+[11]Result!$H$13</f>
        <v>1216026.359583728</v>
      </c>
      <c r="J295" s="32">
        <f>+[12]Result!$H$13</f>
        <v>1225208.7340304814</v>
      </c>
      <c r="K295" s="13">
        <f>+[13]Result!$H$13</f>
        <v>1210202.3906618282</v>
      </c>
      <c r="L295" s="13">
        <f>+[14]Result!$H$13</f>
        <v>1247251.4803337622</v>
      </c>
      <c r="M295" s="13">
        <f>+[15]Result!$H$13</f>
        <v>1037789.8109288588</v>
      </c>
      <c r="N295" s="32">
        <f>+[16]Result!$H$13</f>
        <v>1022083.4364485238</v>
      </c>
      <c r="O295" s="13">
        <f>+[17]Result!$H$13</f>
        <v>968670.52278839797</v>
      </c>
      <c r="P295" s="13">
        <f>+[18]Result!$H$13</f>
        <v>1156005.8231887948</v>
      </c>
      <c r="Q295" s="32">
        <f>+[19]Result!$H$13</f>
        <v>1157088.4847414922</v>
      </c>
      <c r="R295" s="32">
        <f>+[20]Result!$H$13</f>
        <v>1129919.0335512608</v>
      </c>
      <c r="S295" s="70">
        <f>+[22]Result!$H$13</f>
        <v>1113804.6496268138</v>
      </c>
    </row>
    <row r="296" spans="1:37" hidden="1" outlineLevel="2" x14ac:dyDescent="0.25">
      <c r="A296" s="16" t="s">
        <v>13</v>
      </c>
      <c r="B296" s="13">
        <f>+[1]Result!$H$14</f>
        <v>1090367.4081345107</v>
      </c>
      <c r="C296" s="13">
        <f>+[5]Result!$H$14</f>
        <v>1098087.1337185875</v>
      </c>
      <c r="D296" s="32">
        <f>+[6]Result!$H$14</f>
        <v>1114301.4337832406</v>
      </c>
      <c r="E296" s="13">
        <f>+[7]Result!$H$14</f>
        <v>1049595.7764440347</v>
      </c>
      <c r="F296" s="13">
        <f>+[8]Result!$H$14</f>
        <v>1067173.2622960173</v>
      </c>
      <c r="G296" s="32">
        <f>+[9]Result!$H$14</f>
        <v>1114168.1440296434</v>
      </c>
      <c r="H296" s="13">
        <f>+[10]Result!$H$14</f>
        <v>1138856.3825575821</v>
      </c>
      <c r="I296" s="13">
        <f>+[11]Result!$H$14</f>
        <v>1134550.8565567378</v>
      </c>
      <c r="J296" s="32">
        <f>+[12]Result!$H$14</f>
        <v>1131123.2204681672</v>
      </c>
      <c r="K296" s="13">
        <f>+[13]Result!$H$14</f>
        <v>1118429.7307582907</v>
      </c>
      <c r="L296" s="13">
        <f>+[14]Result!$H$14</f>
        <v>1152763.2660166807</v>
      </c>
      <c r="M296" s="13">
        <f>+[15]Result!$H$14</f>
        <v>790280.30485138483</v>
      </c>
      <c r="N296" s="32">
        <f>+[16]Result!$H$14</f>
        <v>779001.52580729779</v>
      </c>
      <c r="O296" s="13">
        <f>+[17]Result!$H$14</f>
        <v>740679.74911154713</v>
      </c>
      <c r="P296" s="13">
        <f>+[18]Result!$H$14</f>
        <v>874895.62125605159</v>
      </c>
      <c r="Q296" s="32">
        <f>+[19]Result!$H$14</f>
        <v>876560.90863396786</v>
      </c>
      <c r="R296" s="32">
        <f>+[20]Result!$H$14</f>
        <v>859441.74800181109</v>
      </c>
      <c r="S296" s="70">
        <f>+[22]Result!$H$14</f>
        <v>847152.1409376571</v>
      </c>
    </row>
    <row r="297" spans="1:37" hidden="1" outlineLevel="1" x14ac:dyDescent="0.25">
      <c r="A297" s="15" t="s">
        <v>14</v>
      </c>
      <c r="B297" s="13" cm="1">
        <f t="array" ref="B297">+[1]!DELTA_UP_11_20</f>
        <v>5722985.7076873761</v>
      </c>
      <c r="C297" s="13" cm="1">
        <f t="array" ref="C297">+[5]!DELTA_UP_11_20</f>
        <v>5786017.3827654831</v>
      </c>
      <c r="D297" s="32" cm="1">
        <f t="array" ref="D297">+[6]!DELTA_UP_11_20</f>
        <v>5098646.5224097585</v>
      </c>
      <c r="E297" s="13" cm="1">
        <f t="array" ref="E297">+[7]!DELTA_UP_11_20</f>
        <v>5212464.0864097308</v>
      </c>
      <c r="F297" s="13" cm="1">
        <f t="array" ref="F297">+[8]!DELTA_UP_11_20</f>
        <v>5142087.170922121</v>
      </c>
      <c r="G297" s="32" cm="1">
        <f t="array" ref="G297">+[9]!DELTA_UP_11_20</f>
        <v>5068957.0557615235</v>
      </c>
      <c r="H297" s="13" cm="1">
        <f t="array" ref="H297">+[10]!DELTA_UP_11_20</f>
        <v>5047917.7026512651</v>
      </c>
      <c r="I297" s="13" cm="1">
        <f t="array" ref="I297">+[11]!DELTA_UP_11_20</f>
        <v>5028009.4253039062</v>
      </c>
      <c r="J297" s="32" cm="1">
        <f t="array" ref="J297">+[12]!DELTA_UP_11_20</f>
        <v>5080110.126680783</v>
      </c>
      <c r="K297" s="13" cm="1">
        <f t="array" ref="K297">+[13]!DELTA_UP_11_20</f>
        <v>5081561.5884191915</v>
      </c>
      <c r="L297" s="13" cm="1">
        <f t="array" ref="L297">+[14]!DELTA_UP_11_20</f>
        <v>5050816.7191002034</v>
      </c>
      <c r="M297" s="13" cm="1">
        <f t="array" ref="M297">+[15]!DELTA_UP_11_20</f>
        <v>3880808.4891731776</v>
      </c>
      <c r="N297" s="32" cm="1">
        <f t="array" ref="N297">+[16]!DELTA_UP_11_20</f>
        <v>3862943.8454458215</v>
      </c>
      <c r="O297" s="13" cm="1">
        <f t="array" ref="O297">+[17]!DELTA_UP_11_20</f>
        <v>3862054.3691684138</v>
      </c>
      <c r="P297" s="13" cm="1">
        <f t="array" ref="P297">+[18]!DELTA_UP_11_20</f>
        <v>4103688.3603833634</v>
      </c>
      <c r="Q297" s="32" cm="1">
        <f t="array" ref="Q297">+[19]!DELTA_UP_11_20</f>
        <v>4100408.7612489751</v>
      </c>
      <c r="R297" s="32" cm="1">
        <f t="array" ref="R297">+[20]!DELTA_UP_11_20</f>
        <v>4070343.4081196869</v>
      </c>
      <c r="S297" s="70" cm="1">
        <f t="array" ref="S297">+[22]!DELTA_UP_11_20</f>
        <v>4048990.3244348937</v>
      </c>
      <c r="T297" s="13">
        <f>+B297-SUM(B298:B307)</f>
        <v>0</v>
      </c>
      <c r="U297" s="13">
        <f t="shared" ref="U297:W297" si="231">+C297-SUM(C298:C307)</f>
        <v>0</v>
      </c>
      <c r="V297" s="13">
        <f t="shared" si="231"/>
        <v>0</v>
      </c>
      <c r="W297" s="13">
        <f t="shared" si="231"/>
        <v>0</v>
      </c>
      <c r="X297" s="13">
        <f t="shared" ref="X297" si="232">+F297-SUM(F298:F307)</f>
        <v>0</v>
      </c>
      <c r="Y297" s="13">
        <f t="shared" ref="Y297:AE297" si="233">+G297-SUM(G298:G307)</f>
        <v>0</v>
      </c>
      <c r="Z297" s="13">
        <f t="shared" si="233"/>
        <v>0</v>
      </c>
      <c r="AA297" s="13">
        <f t="shared" si="233"/>
        <v>0</v>
      </c>
      <c r="AB297" s="13">
        <f t="shared" si="233"/>
        <v>0</v>
      </c>
      <c r="AC297" s="13">
        <f t="shared" si="233"/>
        <v>0</v>
      </c>
      <c r="AD297" s="13">
        <f t="shared" si="233"/>
        <v>0</v>
      </c>
      <c r="AE297" s="13">
        <f t="shared" si="233"/>
        <v>0</v>
      </c>
      <c r="AF297" s="13">
        <f t="shared" ref="AF297" si="234">+N297-SUM(N298:N307)</f>
        <v>0</v>
      </c>
      <c r="AG297" s="13">
        <f t="shared" ref="AG297:AH297" si="235">+O297-SUM(O298:O307)</f>
        <v>0</v>
      </c>
      <c r="AH297" s="13">
        <f t="shared" si="235"/>
        <v>0</v>
      </c>
      <c r="AI297" s="13">
        <f t="shared" ref="AI297" si="236">+Q297-SUM(Q298:Q307)</f>
        <v>0</v>
      </c>
      <c r="AJ297" s="13">
        <f t="shared" ref="AJ297:AK297" si="237">+R297-SUM(R298:R307)</f>
        <v>0</v>
      </c>
      <c r="AK297" s="13">
        <f t="shared" si="237"/>
        <v>0</v>
      </c>
    </row>
    <row r="298" spans="1:37" hidden="1" outlineLevel="2" x14ac:dyDescent="0.25">
      <c r="A298" s="16" t="s">
        <v>15</v>
      </c>
      <c r="B298" s="13">
        <f>+[1]Result!$H$15</f>
        <v>943421.57786569931</v>
      </c>
      <c r="C298" s="13">
        <f>+[5]Result!$H$15</f>
        <v>953782.04065486789</v>
      </c>
      <c r="D298" s="32">
        <f>+[6]Result!$H$15</f>
        <v>902016.54910514038</v>
      </c>
      <c r="E298" s="13">
        <f>+[7]Result!$H$15</f>
        <v>883503.60358556826</v>
      </c>
      <c r="F298" s="13">
        <f>+[8]Result!$H$15</f>
        <v>883650.93917405978</v>
      </c>
      <c r="G298" s="32">
        <f>+[9]Result!$H$15</f>
        <v>903479.32150776312</v>
      </c>
      <c r="H298" s="13">
        <f>+[10]Result!$H$15</f>
        <v>922324.53040904179</v>
      </c>
      <c r="I298" s="13">
        <f>+[11]Result!$H$15</f>
        <v>921805.71118265018</v>
      </c>
      <c r="J298" s="32">
        <f>+[12]Result!$H$15</f>
        <v>922664.87090579979</v>
      </c>
      <c r="K298" s="13">
        <f>+[13]Result!$H$15</f>
        <v>913523.4841342466</v>
      </c>
      <c r="L298" s="13">
        <f>+[14]Result!$H$15</f>
        <v>940832.99659137055</v>
      </c>
      <c r="M298" s="13">
        <f>+[15]Result!$H$15</f>
        <v>612341.23175483476</v>
      </c>
      <c r="N298" s="32">
        <f>+[16]Result!$H$15</f>
        <v>604052.23295318801</v>
      </c>
      <c r="O298" s="13">
        <f>+[17]Result!$H$15</f>
        <v>576413.27473358531</v>
      </c>
      <c r="P298" s="13">
        <f>+[18]Result!$H$15</f>
        <v>673253.23498156667</v>
      </c>
      <c r="Q298" s="32">
        <f>+[19]Result!$H$15</f>
        <v>674780.15064670239</v>
      </c>
      <c r="R298" s="32">
        <f>+[20]Result!$H$15</f>
        <v>663183.58646689262</v>
      </c>
      <c r="S298" s="70">
        <f>+[22]Result!$H$15</f>
        <v>653785.26646039821</v>
      </c>
    </row>
    <row r="299" spans="1:37" hidden="1" outlineLevel="2" x14ac:dyDescent="0.25">
      <c r="A299" s="16" t="s">
        <v>16</v>
      </c>
      <c r="B299" s="13">
        <f>+[1]Result!$H$16</f>
        <v>755623.43603313435</v>
      </c>
      <c r="C299" s="13">
        <f>+[5]Result!$H$16</f>
        <v>763334.44547341764</v>
      </c>
      <c r="D299" s="32">
        <f>+[6]Result!$H$16</f>
        <v>665807.93714288995</v>
      </c>
      <c r="E299" s="13">
        <f>+[7]Result!$H$16</f>
        <v>677553.00796180032</v>
      </c>
      <c r="F299" s="13">
        <f>+[8]Result!$H$16</f>
        <v>670615.80035348702</v>
      </c>
      <c r="G299" s="32">
        <f>+[9]Result!$H$16</f>
        <v>664576.94462423958</v>
      </c>
      <c r="H299" s="13">
        <f>+[10]Result!$H$16</f>
        <v>667796.11911138054</v>
      </c>
      <c r="I299" s="13">
        <f>+[11]Result!$H$16</f>
        <v>668451.92655545473</v>
      </c>
      <c r="J299" s="32">
        <f>+[12]Result!$H$16</f>
        <v>673308.18804545235</v>
      </c>
      <c r="K299" s="13">
        <f>+[13]Result!$H$16</f>
        <v>671593.60424313787</v>
      </c>
      <c r="L299" s="13">
        <f>+[14]Result!$H$16</f>
        <v>686829.06740211602</v>
      </c>
      <c r="M299" s="13">
        <f>+[15]Result!$H$16</f>
        <v>524560.07725167787</v>
      </c>
      <c r="N299" s="32">
        <f>+[16]Result!$H$16</f>
        <v>518232.09469569894</v>
      </c>
      <c r="O299" s="13">
        <f>+[17]Result!$H$16</f>
        <v>495992.14344326267</v>
      </c>
      <c r="P299" s="13">
        <f>+[18]Result!$H$16</f>
        <v>556333.30183407431</v>
      </c>
      <c r="Q299" s="32">
        <f>+[19]Result!$H$16</f>
        <v>557370.12571072113</v>
      </c>
      <c r="R299" s="32">
        <f>+[20]Result!$H$16</f>
        <v>548628.25052478909</v>
      </c>
      <c r="S299" s="70">
        <f>+[22]Result!$H$16</f>
        <v>540363.41104626702</v>
      </c>
    </row>
    <row r="300" spans="1:37" hidden="1" outlineLevel="2" x14ac:dyDescent="0.25">
      <c r="A300" s="16" t="s">
        <v>17</v>
      </c>
      <c r="B300" s="13">
        <f>+[1]Result!$H$17</f>
        <v>688323.73832061514</v>
      </c>
      <c r="C300" s="13">
        <f>+[5]Result!$H$17</f>
        <v>695490.91795754526</v>
      </c>
      <c r="D300" s="32">
        <f>+[6]Result!$H$17</f>
        <v>599846.74575951323</v>
      </c>
      <c r="E300" s="13">
        <f>+[7]Result!$H$17</f>
        <v>617269.15829302371</v>
      </c>
      <c r="F300" s="13">
        <f>+[8]Result!$H$17</f>
        <v>610050.97701034602</v>
      </c>
      <c r="G300" s="32">
        <f>+[9]Result!$H$17</f>
        <v>600151.0182077894</v>
      </c>
      <c r="H300" s="13">
        <f>+[10]Result!$H$17</f>
        <v>594995.28526088595</v>
      </c>
      <c r="I300" s="13">
        <f>+[11]Result!$H$17</f>
        <v>594268.46526258066</v>
      </c>
      <c r="J300" s="32">
        <f>+[12]Result!$H$17</f>
        <v>597419.42215511017</v>
      </c>
      <c r="K300" s="13">
        <f>+[13]Result!$H$17</f>
        <v>599881.384205929</v>
      </c>
      <c r="L300" s="13">
        <f>+[14]Result!$H$17</f>
        <v>599496.73643947765</v>
      </c>
      <c r="M300" s="13">
        <f>+[15]Result!$H$17</f>
        <v>470444.6167182182</v>
      </c>
      <c r="N300" s="32">
        <f>+[16]Result!$H$17</f>
        <v>464948.23875642847</v>
      </c>
      <c r="O300" s="13">
        <f>+[17]Result!$H$17</f>
        <v>453705.63495239988</v>
      </c>
      <c r="P300" s="13">
        <f>+[18]Result!$H$17</f>
        <v>498295.75493304152</v>
      </c>
      <c r="Q300" s="32">
        <f>+[19]Result!$H$17</f>
        <v>499359.24140811572</v>
      </c>
      <c r="R300" s="32">
        <f>+[20]Result!$H$17</f>
        <v>492756.58103314787</v>
      </c>
      <c r="S300" s="70">
        <f>+[22]Result!$H$17</f>
        <v>485352.64837998152</v>
      </c>
    </row>
    <row r="301" spans="1:37" hidden="1" outlineLevel="2" x14ac:dyDescent="0.25">
      <c r="A301" s="16" t="s">
        <v>18</v>
      </c>
      <c r="B301" s="13">
        <f>+[1]Result!$H$18</f>
        <v>633615.3911214564</v>
      </c>
      <c r="C301" s="13">
        <f>+[5]Result!$H$18</f>
        <v>640781.71981470287</v>
      </c>
      <c r="D301" s="32">
        <f>+[6]Result!$H$18</f>
        <v>554559.92304901779</v>
      </c>
      <c r="E301" s="13">
        <f>+[7]Result!$H$18</f>
        <v>571343.66949699912</v>
      </c>
      <c r="F301" s="13">
        <f>+[8]Result!$H$18</f>
        <v>563693.76794035314</v>
      </c>
      <c r="G301" s="32">
        <f>+[9]Result!$H$18</f>
        <v>556806.13711025752</v>
      </c>
      <c r="H301" s="13">
        <f>+[10]Result!$H$18</f>
        <v>551614.25753309764</v>
      </c>
      <c r="I301" s="13">
        <f>+[11]Result!$H$18</f>
        <v>549626.88266820367</v>
      </c>
      <c r="J301" s="32">
        <f>+[12]Result!$H$18</f>
        <v>554147.15673276549</v>
      </c>
      <c r="K301" s="13">
        <f>+[13]Result!$H$18</f>
        <v>556406.17235039454</v>
      </c>
      <c r="L301" s="13">
        <f>+[14]Result!$H$18</f>
        <v>546055.48536946438</v>
      </c>
      <c r="M301" s="13">
        <f>+[15]Result!$H$18</f>
        <v>437972.10667603137</v>
      </c>
      <c r="N301" s="32">
        <f>+[16]Result!$H$18</f>
        <v>432834.86439594533</v>
      </c>
      <c r="O301" s="13">
        <f>+[17]Result!$H$18</f>
        <v>433425.90986405453</v>
      </c>
      <c r="P301" s="13">
        <f>+[18]Result!$H$18</f>
        <v>462405.79214068362</v>
      </c>
      <c r="Q301" s="32">
        <f>+[19]Result!$H$18</f>
        <v>463126.4936056775</v>
      </c>
      <c r="R301" s="32">
        <f>+[20]Result!$H$18</f>
        <v>457728.46307082148</v>
      </c>
      <c r="S301" s="70">
        <f>+[22]Result!$H$18</f>
        <v>451601.26533877524</v>
      </c>
    </row>
    <row r="302" spans="1:37" hidden="1" outlineLevel="2" x14ac:dyDescent="0.25">
      <c r="A302" s="16" t="s">
        <v>19</v>
      </c>
      <c r="B302" s="13">
        <f>+[1]Result!$H$19</f>
        <v>598532.09252584679</v>
      </c>
      <c r="C302" s="13">
        <f>+[5]Result!$H$19</f>
        <v>606311.85424632113</v>
      </c>
      <c r="D302" s="32">
        <f>+[6]Result!$H$19</f>
        <v>526252.48885096237</v>
      </c>
      <c r="E302" s="13">
        <f>+[7]Result!$H$19</f>
        <v>542724.86391893541</v>
      </c>
      <c r="F302" s="13">
        <f>+[8]Result!$H$19</f>
        <v>534485.34077001875</v>
      </c>
      <c r="G302" s="32">
        <f>+[9]Result!$H$19</f>
        <v>523339.4791844259</v>
      </c>
      <c r="H302" s="13">
        <f>+[10]Result!$H$19</f>
        <v>517575.51981292199</v>
      </c>
      <c r="I302" s="13">
        <f>+[11]Result!$H$19</f>
        <v>515205.07051459188</v>
      </c>
      <c r="J302" s="32">
        <f>+[12]Result!$H$19</f>
        <v>515898.99426347902</v>
      </c>
      <c r="K302" s="13">
        <f>+[13]Result!$H$19</f>
        <v>517950.45660158386</v>
      </c>
      <c r="L302" s="13">
        <f>+[14]Result!$H$19</f>
        <v>506971.09113235725</v>
      </c>
      <c r="M302" s="13">
        <f>+[15]Result!$H$19</f>
        <v>407879.72623456968</v>
      </c>
      <c r="N302" s="32">
        <f>+[16]Result!$H$19</f>
        <v>403918.66331004677</v>
      </c>
      <c r="O302" s="13">
        <f>+[17]Result!$H$19</f>
        <v>411236.85904088616</v>
      </c>
      <c r="P302" s="13">
        <f>+[18]Result!$H$19</f>
        <v>425361.65962179704</v>
      </c>
      <c r="Q302" s="32">
        <f>+[19]Result!$H$19</f>
        <v>426425.0217017075</v>
      </c>
      <c r="R302" s="32">
        <f>+[20]Result!$H$19</f>
        <v>422099.53334819991</v>
      </c>
      <c r="S302" s="70">
        <f>+[22]Result!$H$19</f>
        <v>417355.84282034775</v>
      </c>
    </row>
    <row r="303" spans="1:37" hidden="1" outlineLevel="2" x14ac:dyDescent="0.25">
      <c r="A303" s="16" t="s">
        <v>20</v>
      </c>
      <c r="B303" s="13">
        <f>+[1]Result!$H$20</f>
        <v>532071.34730719216</v>
      </c>
      <c r="C303" s="13">
        <f>+[5]Result!$H$20</f>
        <v>539096.19944022084</v>
      </c>
      <c r="D303" s="32">
        <f>+[6]Result!$H$20</f>
        <v>466971.25171934115</v>
      </c>
      <c r="E303" s="13">
        <f>+[7]Result!$H$20</f>
        <v>482485.3730357592</v>
      </c>
      <c r="F303" s="13">
        <f>+[8]Result!$H$20</f>
        <v>474234.31342226313</v>
      </c>
      <c r="G303" s="32">
        <f>+[9]Result!$H$20</f>
        <v>461087.0613753302</v>
      </c>
      <c r="H303" s="13">
        <f>+[10]Result!$H$20</f>
        <v>455182.53686797107</v>
      </c>
      <c r="I303" s="13">
        <f>+[11]Result!$H$20</f>
        <v>452634.37007061439</v>
      </c>
      <c r="J303" s="32">
        <f>+[12]Result!$H$20</f>
        <v>455758.22499019094</v>
      </c>
      <c r="K303" s="13">
        <f>+[13]Result!$H$20</f>
        <v>457429.94591909926</v>
      </c>
      <c r="L303" s="13">
        <f>+[14]Result!$H$20</f>
        <v>446447.28486060817</v>
      </c>
      <c r="M303" s="13">
        <f>+[15]Result!$H$20</f>
        <v>356289.9139468018</v>
      </c>
      <c r="N303" s="32">
        <f>+[16]Result!$H$20</f>
        <v>356456.77681161184</v>
      </c>
      <c r="O303" s="13">
        <f>+[17]Result!$H$20</f>
        <v>367423.26072345534</v>
      </c>
      <c r="P303" s="13">
        <f>+[18]Result!$H$20</f>
        <v>369246.6906816191</v>
      </c>
      <c r="Q303" s="32">
        <f>+[19]Result!$H$20</f>
        <v>368848.86446309928</v>
      </c>
      <c r="R303" s="32">
        <f>+[20]Result!$H$20</f>
        <v>368652.56734224828</v>
      </c>
      <c r="S303" s="70">
        <f>+[22]Result!$H$20</f>
        <v>368897.6463432326</v>
      </c>
    </row>
    <row r="304" spans="1:37" hidden="1" outlineLevel="2" x14ac:dyDescent="0.25">
      <c r="A304" s="16" t="s">
        <v>21</v>
      </c>
      <c r="B304" s="13">
        <f>+[1]Result!$H$21</f>
        <v>471387.27677469328</v>
      </c>
      <c r="C304" s="13">
        <f>+[5]Result!$H$21</f>
        <v>476761.86140018795</v>
      </c>
      <c r="D304" s="32">
        <f>+[6]Result!$H$21</f>
        <v>412485.43021518318</v>
      </c>
      <c r="E304" s="13">
        <f>+[7]Result!$H$21</f>
        <v>427435.86984843761</v>
      </c>
      <c r="F304" s="13">
        <f>+[8]Result!$H$21</f>
        <v>419190.1781520131</v>
      </c>
      <c r="G304" s="32">
        <f>+[9]Result!$H$21</f>
        <v>406402.12361909449</v>
      </c>
      <c r="H304" s="13">
        <f>+[10]Result!$H$21</f>
        <v>400617.2057181946</v>
      </c>
      <c r="I304" s="13">
        <f>+[11]Result!$H$21</f>
        <v>397800.42922490695</v>
      </c>
      <c r="J304" s="32">
        <f>+[12]Result!$H$21</f>
        <v>402757.38429621002</v>
      </c>
      <c r="K304" s="13">
        <f>+[13]Result!$H$21</f>
        <v>404086.16541837342</v>
      </c>
      <c r="L304" s="13">
        <f>+[14]Result!$H$21</f>
        <v>393309.19272496086</v>
      </c>
      <c r="M304" s="13">
        <f>+[15]Result!$H$21</f>
        <v>312653.49777762545</v>
      </c>
      <c r="N304" s="32">
        <f>+[16]Result!$H$21</f>
        <v>315519.24377535307</v>
      </c>
      <c r="O304" s="13">
        <f>+[17]Result!$H$21</f>
        <v>326791.23621425196</v>
      </c>
      <c r="P304" s="13">
        <f>+[18]Result!$H$21</f>
        <v>323509.92473201151</v>
      </c>
      <c r="Q304" s="32">
        <f>+[19]Result!$H$21</f>
        <v>321433.84663611883</v>
      </c>
      <c r="R304" s="32">
        <f>+[20]Result!$H$21</f>
        <v>323767.9104997823</v>
      </c>
      <c r="S304" s="70">
        <f>+[22]Result!$H$21</f>
        <v>327618.08526931098</v>
      </c>
    </row>
    <row r="305" spans="1:37" hidden="1" outlineLevel="2" x14ac:dyDescent="0.25">
      <c r="A305" s="16" t="s">
        <v>22</v>
      </c>
      <c r="B305" s="13">
        <f>+[1]Result!$H$22</f>
        <v>411152.34191145282</v>
      </c>
      <c r="C305" s="13">
        <f>+[5]Result!$H$22</f>
        <v>414960.54527749727</v>
      </c>
      <c r="D305" s="32">
        <f>+[6]Result!$H$22</f>
        <v>360610.84242302924</v>
      </c>
      <c r="E305" s="13">
        <f>+[7]Result!$H$22</f>
        <v>374771.65411244519</v>
      </c>
      <c r="F305" s="13">
        <f>+[8]Result!$H$22</f>
        <v>366707.08091742336</v>
      </c>
      <c r="G305" s="32">
        <f>+[9]Result!$H$22</f>
        <v>354551.08632290177</v>
      </c>
      <c r="H305" s="13">
        <f>+[10]Result!$H$22</f>
        <v>349096.2152004505</v>
      </c>
      <c r="I305" s="13">
        <f>+[11]Result!$H$22</f>
        <v>346068.8810006713</v>
      </c>
      <c r="J305" s="32">
        <f>+[12]Result!$H$22</f>
        <v>354776.53889546427</v>
      </c>
      <c r="K305" s="13">
        <f>+[13]Result!$H$22</f>
        <v>355822.85277808551</v>
      </c>
      <c r="L305" s="13">
        <f>+[14]Result!$H$22</f>
        <v>345464.56597430841</v>
      </c>
      <c r="M305" s="13">
        <f>+[15]Result!$H$22</f>
        <v>278071.63791059796</v>
      </c>
      <c r="N305" s="32">
        <f>+[16]Result!$H$22</f>
        <v>280818.02125242748</v>
      </c>
      <c r="O305" s="13">
        <f>+[17]Result!$H$22</f>
        <v>291379.53546095802</v>
      </c>
      <c r="P305" s="13">
        <f>+[18]Result!$H$22</f>
        <v>290527.62886452815</v>
      </c>
      <c r="Q305" s="32">
        <f>+[19]Result!$H$22</f>
        <v>288355.51377014094</v>
      </c>
      <c r="R305" s="32">
        <f>+[20]Result!$H$22</f>
        <v>290181.95225405321</v>
      </c>
      <c r="S305" s="70">
        <f>+[22]Result!$H$22</f>
        <v>293807.36490558786</v>
      </c>
    </row>
    <row r="306" spans="1:37" hidden="1" outlineLevel="2" x14ac:dyDescent="0.25">
      <c r="A306" s="16" t="s">
        <v>23</v>
      </c>
      <c r="B306" s="13">
        <f>+[1]Result!$H$23</f>
        <v>358832.50062942365</v>
      </c>
      <c r="C306" s="13">
        <f>+[5]Result!$H$23</f>
        <v>361909.49292595917</v>
      </c>
      <c r="D306" s="32">
        <f>+[6]Result!$H$23</f>
        <v>318094.33103567548</v>
      </c>
      <c r="E306" s="13">
        <f>+[7]Result!$H$23</f>
        <v>331235.288269012</v>
      </c>
      <c r="F306" s="13">
        <f>+[8]Result!$H$23</f>
        <v>323327.74576988094</v>
      </c>
      <c r="G306" s="32">
        <f>+[9]Result!$H$23</f>
        <v>313691.31569290231</v>
      </c>
      <c r="H306" s="13">
        <f>+[10]Result!$H$23</f>
        <v>308608.95957502373</v>
      </c>
      <c r="I306" s="13">
        <f>+[11]Result!$H$23</f>
        <v>305415.70458462299</v>
      </c>
      <c r="J306" s="32">
        <f>+[12]Result!$H$23</f>
        <v>317340.1406064888</v>
      </c>
      <c r="K306" s="13">
        <f>+[13]Result!$H$23</f>
        <v>318177.70914691966</v>
      </c>
      <c r="L306" s="13">
        <f>+[14]Result!$H$23</f>
        <v>308221.79772531986</v>
      </c>
      <c r="M306" s="13">
        <f>+[15]Result!$H$23</f>
        <v>252587.96188345761</v>
      </c>
      <c r="N306" s="32">
        <f>+[16]Result!$H$23</f>
        <v>255363.23744705319</v>
      </c>
      <c r="O306" s="13">
        <f>+[17]Result!$H$23</f>
        <v>265418.81612895592</v>
      </c>
      <c r="P306" s="13">
        <f>+[18]Result!$H$23</f>
        <v>265524.96050909883</v>
      </c>
      <c r="Q306" s="32">
        <f>+[19]Result!$H$23</f>
        <v>263410.91252175323</v>
      </c>
      <c r="R306" s="32">
        <f>+[20]Result!$H$23</f>
        <v>264872.70383690088</v>
      </c>
      <c r="S306" s="70">
        <f>+[22]Result!$H$23</f>
        <v>268385.97408576985</v>
      </c>
    </row>
    <row r="307" spans="1:37" hidden="1" outlineLevel="2" x14ac:dyDescent="0.25">
      <c r="A307" s="16" t="s">
        <v>24</v>
      </c>
      <c r="B307" s="13">
        <f>+[1]Result!$H$24</f>
        <v>330026.00519786216</v>
      </c>
      <c r="C307" s="13">
        <f>+[5]Result!$H$24</f>
        <v>333588.30557476357</v>
      </c>
      <c r="D307" s="32">
        <f>+[6]Result!$H$24</f>
        <v>292001.023109006</v>
      </c>
      <c r="E307" s="13">
        <f>+[7]Result!$H$24</f>
        <v>304141.59788775002</v>
      </c>
      <c r="F307" s="13">
        <f>+[8]Result!$H$24</f>
        <v>296131.02741227532</v>
      </c>
      <c r="G307" s="32">
        <f>+[9]Result!$H$24</f>
        <v>284872.56811681879</v>
      </c>
      <c r="H307" s="13">
        <f>+[10]Result!$H$24</f>
        <v>280107.07316229749</v>
      </c>
      <c r="I307" s="13">
        <f>+[11]Result!$H$24</f>
        <v>276731.98423960968</v>
      </c>
      <c r="J307" s="32">
        <f>+[12]Result!$H$24</f>
        <v>286039.20578982215</v>
      </c>
      <c r="K307" s="13">
        <f>+[13]Result!$H$24</f>
        <v>286689.81362142088</v>
      </c>
      <c r="L307" s="13">
        <f>+[14]Result!$H$24</f>
        <v>277188.50088022021</v>
      </c>
      <c r="M307" s="13">
        <f>+[15]Result!$H$24</f>
        <v>228007.71901936294</v>
      </c>
      <c r="N307" s="32">
        <f>+[16]Result!$H$24</f>
        <v>230800.47204806888</v>
      </c>
      <c r="O307" s="13">
        <f>+[17]Result!$H$24</f>
        <v>240267.69860660401</v>
      </c>
      <c r="P307" s="13">
        <f>+[18]Result!$H$24</f>
        <v>239229.41208494292</v>
      </c>
      <c r="Q307" s="32">
        <f>+[19]Result!$H$24</f>
        <v>237298.59078493784</v>
      </c>
      <c r="R307" s="32">
        <f>+[20]Result!$H$24</f>
        <v>238471.85974285123</v>
      </c>
      <c r="S307" s="70">
        <f>+[22]Result!$H$24</f>
        <v>241822.81978522288</v>
      </c>
    </row>
    <row r="308" spans="1:37" hidden="1" outlineLevel="1" x14ac:dyDescent="0.25">
      <c r="A308" s="15" t="s">
        <v>25</v>
      </c>
      <c r="B308" s="13" cm="1">
        <f t="array" ref="B308">+[1]!DELTA_UP_21_30</f>
        <v>1560305.4223436799</v>
      </c>
      <c r="C308" s="13" cm="1">
        <f t="array" ref="C308">+[5]!DELTA_UP_21_30</f>
        <v>1596471.3113198075</v>
      </c>
      <c r="D308" s="32" cm="1">
        <f t="array" ref="D308">+[6]!DELTA_UP_21_30</f>
        <v>1407780.4795309904</v>
      </c>
      <c r="E308" s="13" cm="1">
        <f t="array" ref="E308">+[7]!DELTA_UP_21_30</f>
        <v>1461574.9274950125</v>
      </c>
      <c r="F308" s="13" cm="1">
        <f t="array" ref="F308">+[8]!DELTA_UP_21_30</f>
        <v>1413256.6656182073</v>
      </c>
      <c r="G308" s="32" cm="1">
        <f t="array" ref="G308">+[9]!DELTA_UP_21_30</f>
        <v>1361421.8382961494</v>
      </c>
      <c r="H308" s="13" cm="1">
        <f t="array" ref="H308">+[10]!DELTA_UP_21_30</f>
        <v>1336676.9825076086</v>
      </c>
      <c r="I308" s="13" cm="1">
        <f t="array" ref="I308">+[11]!DELTA_UP_21_30</f>
        <v>1313657.6488800612</v>
      </c>
      <c r="J308" s="32" cm="1">
        <f t="array" ref="J308">+[12]!DELTA_UP_21_30</f>
        <v>1402513.6365597877</v>
      </c>
      <c r="K308" s="13" cm="1">
        <f t="array" ref="K308">+[13]!DELTA_UP_21_30</f>
        <v>1403915.8380181314</v>
      </c>
      <c r="L308" s="13" cm="1">
        <f t="array" ref="L308">+[14]!DELTA_UP_21_30</f>
        <v>1349190.6811019557</v>
      </c>
      <c r="M308" s="13" cm="1">
        <f t="array" ref="M308">+[15]!DELTA_UP_21_30</f>
        <v>966163.04032445117</v>
      </c>
      <c r="N308" s="32" cm="1">
        <f t="array" ref="N308">+[16]!DELTA_UP_21_30</f>
        <v>981978.89358900336</v>
      </c>
      <c r="O308" s="13" cm="1">
        <f t="array" ref="O308">+[17]!DELTA_UP_21_30</f>
        <v>1027313.0377366614</v>
      </c>
      <c r="P308" s="13" cm="1">
        <f t="array" ref="P308">+[18]!DELTA_UP_21_30</f>
        <v>1037477.8561320455</v>
      </c>
      <c r="Q308" s="32" cm="1">
        <f t="array" ref="Q308">+[19]!DELTA_UP_21_30</f>
        <v>1029006.9670480764</v>
      </c>
      <c r="R308" s="32" cm="1">
        <f t="array" ref="R308">+[20]!DELTA_UP_21_30</f>
        <v>1032236.424230108</v>
      </c>
      <c r="S308" s="70" cm="1">
        <f t="array" ref="S308">+[22]!DELTA_UP_21_30</f>
        <v>1049459.6972903758</v>
      </c>
      <c r="T308" s="13">
        <f>+B308-SUM(B309:B318)</f>
        <v>0</v>
      </c>
      <c r="U308" s="13">
        <f t="shared" ref="U308:W308" si="238">+C308-SUM(C309:C318)</f>
        <v>0</v>
      </c>
      <c r="V308" s="13">
        <f t="shared" si="238"/>
        <v>0</v>
      </c>
      <c r="W308" s="13">
        <f t="shared" si="238"/>
        <v>0</v>
      </c>
      <c r="X308" s="13">
        <f t="shared" ref="X308" si="239">+F308-SUM(F309:F318)</f>
        <v>0</v>
      </c>
      <c r="Y308" s="13">
        <f t="shared" ref="Y308:AE308" si="240">+G308-SUM(G309:G318)</f>
        <v>0</v>
      </c>
      <c r="Z308" s="13">
        <f t="shared" si="240"/>
        <v>0</v>
      </c>
      <c r="AA308" s="13">
        <f t="shared" si="240"/>
        <v>0</v>
      </c>
      <c r="AB308" s="13">
        <f t="shared" si="240"/>
        <v>0</v>
      </c>
      <c r="AC308" s="13">
        <f t="shared" si="240"/>
        <v>0</v>
      </c>
      <c r="AD308" s="13">
        <f t="shared" si="240"/>
        <v>0</v>
      </c>
      <c r="AE308" s="13">
        <f t="shared" si="240"/>
        <v>0</v>
      </c>
      <c r="AF308" s="13">
        <f t="shared" ref="AF308" si="241">+N308-SUM(N309:N318)</f>
        <v>0</v>
      </c>
      <c r="AG308" s="13">
        <f t="shared" ref="AG308:AH308" si="242">+O308-SUM(O309:O318)</f>
        <v>0</v>
      </c>
      <c r="AH308" s="13">
        <f t="shared" si="242"/>
        <v>0</v>
      </c>
      <c r="AI308" s="13">
        <f t="shared" ref="AI308" si="243">+Q308-SUM(Q309:Q318)</f>
        <v>0</v>
      </c>
      <c r="AJ308" s="13">
        <f t="shared" ref="AJ308:AK308" si="244">+R308-SUM(R309:R318)</f>
        <v>0</v>
      </c>
      <c r="AK308" s="13">
        <f t="shared" si="244"/>
        <v>0</v>
      </c>
    </row>
    <row r="309" spans="1:37" hidden="1" outlineLevel="2" x14ac:dyDescent="0.25">
      <c r="A309" s="16" t="s">
        <v>26</v>
      </c>
      <c r="B309" s="13">
        <f>+[1]Result!$H$25</f>
        <v>291593.31104388321</v>
      </c>
      <c r="C309" s="13">
        <f>+[5]Result!$H$25</f>
        <v>295880.3699897544</v>
      </c>
      <c r="D309" s="32">
        <f>+[6]Result!$H$25</f>
        <v>257961.31098638894</v>
      </c>
      <c r="E309" s="13">
        <f>+[7]Result!$H$25</f>
        <v>268438.08721245197</v>
      </c>
      <c r="F309" s="13">
        <f>+[8]Result!$H$25</f>
        <v>260785.67465605494</v>
      </c>
      <c r="G309" s="32">
        <f>+[9]Result!$H$25</f>
        <v>249446.36374019738</v>
      </c>
      <c r="H309" s="13">
        <f>+[10]Result!$H$25</f>
        <v>245174.0123704432</v>
      </c>
      <c r="I309" s="13">
        <f>+[11]Result!$H$25</f>
        <v>241827.1303656369</v>
      </c>
      <c r="J309" s="32">
        <f>+[12]Result!$H$25</f>
        <v>251516.11481160438</v>
      </c>
      <c r="K309" s="13">
        <f>+[13]Result!$H$25</f>
        <v>251985.94892833941</v>
      </c>
      <c r="L309" s="13">
        <f>+[14]Result!$H$25</f>
        <v>243209.594898524</v>
      </c>
      <c r="M309" s="13">
        <f>+[15]Result!$H$25</f>
        <v>195711.79709680646</v>
      </c>
      <c r="N309" s="32">
        <f>+[16]Result!$H$25</f>
        <v>198349.53296688106</v>
      </c>
      <c r="O309" s="13">
        <f>+[17]Result!$H$25</f>
        <v>206781.76721489162</v>
      </c>
      <c r="P309" s="13">
        <f>+[18]Result!$H$25</f>
        <v>205811.74134899257</v>
      </c>
      <c r="Q309" s="32">
        <f>+[19]Result!$H$25</f>
        <v>204154.55492064718</v>
      </c>
      <c r="R309" s="32">
        <f>+[20]Result!$H$25</f>
        <v>205043.2929797438</v>
      </c>
      <c r="S309" s="70">
        <f>+[22]Result!$H$25</f>
        <v>208109.12602837675</v>
      </c>
    </row>
    <row r="310" spans="1:37" hidden="1" outlineLevel="2" x14ac:dyDescent="0.25">
      <c r="A310" s="16" t="s">
        <v>27</v>
      </c>
      <c r="B310" s="13">
        <f>+[1]Result!$H$26</f>
        <v>255046.27333652694</v>
      </c>
      <c r="C310" s="13">
        <f>+[5]Result!$H$26</f>
        <v>259734.31422435772</v>
      </c>
      <c r="D310" s="32">
        <f>+[6]Result!$H$26</f>
        <v>225732.72075682913</v>
      </c>
      <c r="E310" s="13">
        <f>+[7]Result!$H$26</f>
        <v>234671.89469879109</v>
      </c>
      <c r="F310" s="13">
        <f>+[8]Result!$H$26</f>
        <v>227526.70547910477</v>
      </c>
      <c r="G310" s="32">
        <f>+[9]Result!$H$26</f>
        <v>216720.48810662027</v>
      </c>
      <c r="H310" s="13">
        <f>+[10]Result!$H$26</f>
        <v>212906.65937460086</v>
      </c>
      <c r="I310" s="13">
        <f>+[11]Result!$H$26</f>
        <v>209707.30233159685</v>
      </c>
      <c r="J310" s="32">
        <f>+[12]Result!$H$26</f>
        <v>219861.32298967603</v>
      </c>
      <c r="K310" s="13">
        <f>+[13]Result!$H$26</f>
        <v>220195.31088219269</v>
      </c>
      <c r="L310" s="13">
        <f>+[14]Result!$H$26</f>
        <v>212178.30427880597</v>
      </c>
      <c r="M310" s="13">
        <f>+[15]Result!$H$26</f>
        <v>165955.75236002379</v>
      </c>
      <c r="N310" s="32">
        <f>+[16]Result!$H$26</f>
        <v>168387.66321368015</v>
      </c>
      <c r="O310" s="13">
        <f>+[17]Result!$H$26</f>
        <v>175770.91715396242</v>
      </c>
      <c r="P310" s="13">
        <f>+[18]Result!$H$26</f>
        <v>175411.34336837311</v>
      </c>
      <c r="Q310" s="32">
        <f>+[19]Result!$H$26</f>
        <v>173989.58053409657</v>
      </c>
      <c r="R310" s="32">
        <f>+[20]Result!$H$26</f>
        <v>174650.24143658695</v>
      </c>
      <c r="S310" s="70">
        <f>+[22]Result!$H$26</f>
        <v>177382.83362430218</v>
      </c>
    </row>
    <row r="311" spans="1:37" hidden="1" outlineLevel="2" x14ac:dyDescent="0.25">
      <c r="A311" s="16" t="s">
        <v>28</v>
      </c>
      <c r="B311" s="13">
        <f>+[1]Result!$H$27</f>
        <v>220003.7066179259</v>
      </c>
      <c r="C311" s="13">
        <f>+[5]Result!$H$27</f>
        <v>224738.32919678814</v>
      </c>
      <c r="D311" s="32">
        <f>+[6]Result!$H$27</f>
        <v>195695.8548785256</v>
      </c>
      <c r="E311" s="13">
        <f>+[7]Result!$H$27</f>
        <v>203264.57210242748</v>
      </c>
      <c r="F311" s="13">
        <f>+[8]Result!$H$27</f>
        <v>196740.01355368365</v>
      </c>
      <c r="G311" s="32">
        <f>+[9]Result!$H$27</f>
        <v>187290.49421842967</v>
      </c>
      <c r="H311" s="13">
        <f>+[10]Result!$H$27</f>
        <v>183913.00474295288</v>
      </c>
      <c r="I311" s="13">
        <f>+[11]Result!$H$27</f>
        <v>180925.51716922724</v>
      </c>
      <c r="J311" s="32">
        <f>+[12]Result!$H$27</f>
        <v>192210.51503590588</v>
      </c>
      <c r="K311" s="13">
        <f>+[13]Result!$H$27</f>
        <v>192450.46265943418</v>
      </c>
      <c r="L311" s="13">
        <f>+[14]Result!$H$27</f>
        <v>185159.41926220478</v>
      </c>
      <c r="M311" s="13">
        <f>+[15]Result!$H$27</f>
        <v>140784.93785226822</v>
      </c>
      <c r="N311" s="32">
        <f>+[16]Result!$H$27</f>
        <v>142988.28984858328</v>
      </c>
      <c r="O311" s="13">
        <f>+[17]Result!$H$27</f>
        <v>149457.71062226989</v>
      </c>
      <c r="P311" s="13">
        <f>+[18]Result!$H$27</f>
        <v>150259.02407136327</v>
      </c>
      <c r="Q311" s="32">
        <f>+[19]Result!$H$27</f>
        <v>149038.32799408562</v>
      </c>
      <c r="R311" s="32">
        <f>+[20]Result!$H$27</f>
        <v>149545.18522232841</v>
      </c>
      <c r="S311" s="70">
        <f>+[22]Result!$H$27</f>
        <v>151972.98210180318</v>
      </c>
    </row>
    <row r="312" spans="1:37" hidden="1" outlineLevel="2" x14ac:dyDescent="0.25">
      <c r="A312" s="16" t="s">
        <v>29</v>
      </c>
      <c r="B312" s="13">
        <f>+[1]Result!$H$28</f>
        <v>189850.15735773672</v>
      </c>
      <c r="C312" s="13">
        <f>+[5]Result!$H$28</f>
        <v>194433.67477653117</v>
      </c>
      <c r="D312" s="32">
        <f>+[6]Result!$H$28</f>
        <v>170836.43233289826</v>
      </c>
      <c r="E312" s="13">
        <f>+[7]Result!$H$28</f>
        <v>177309.74750135711</v>
      </c>
      <c r="F312" s="13">
        <f>+[8]Result!$H$28</f>
        <v>171380.62004227738</v>
      </c>
      <c r="G312" s="32">
        <f>+[9]Result!$H$28</f>
        <v>165566.70150190196</v>
      </c>
      <c r="H312" s="13">
        <f>+[10]Result!$H$28</f>
        <v>162552.15751683759</v>
      </c>
      <c r="I312" s="13">
        <f>+[11]Result!$H$28</f>
        <v>159705.43925442779</v>
      </c>
      <c r="J312" s="32">
        <f>+[12]Result!$H$28</f>
        <v>171538.8164335402</v>
      </c>
      <c r="K312" s="13">
        <f>+[13]Result!$H$28</f>
        <v>171700.54979592212</v>
      </c>
      <c r="L312" s="13">
        <f>+[14]Result!$H$28</f>
        <v>164985.00189881783</v>
      </c>
      <c r="M312" s="13">
        <f>+[15]Result!$H$28</f>
        <v>122512.70968595659</v>
      </c>
      <c r="N312" s="32">
        <f>+[16]Result!$H$28</f>
        <v>124556.59686095483</v>
      </c>
      <c r="O312" s="13">
        <f>+[17]Result!$H$28</f>
        <v>130359.42561578949</v>
      </c>
      <c r="P312" s="13">
        <f>+[18]Result!$H$28</f>
        <v>131393.45767312864</v>
      </c>
      <c r="Q312" s="32">
        <f>+[19]Result!$H$28</f>
        <v>130326.59097417787</v>
      </c>
      <c r="R312" s="32">
        <f>+[20]Result!$H$28</f>
        <v>130711.1270027259</v>
      </c>
      <c r="S312" s="70">
        <f>+[22]Result!$H$28</f>
        <v>132924.148695032</v>
      </c>
    </row>
    <row r="313" spans="1:37" hidden="1" outlineLevel="2" x14ac:dyDescent="0.25">
      <c r="A313" s="16" t="s">
        <v>30</v>
      </c>
      <c r="B313" s="13">
        <f>+[1]Result!$H$29</f>
        <v>168645.13205813547</v>
      </c>
      <c r="C313" s="13">
        <f>+[5]Result!$H$29</f>
        <v>173119.63380732597</v>
      </c>
      <c r="D313" s="32">
        <f>+[6]Result!$H$29</f>
        <v>152354.55417790345</v>
      </c>
      <c r="E313" s="13">
        <f>+[7]Result!$H$29</f>
        <v>158035.45286657708</v>
      </c>
      <c r="F313" s="13">
        <f>+[8]Result!$H$29</f>
        <v>152558.76994346129</v>
      </c>
      <c r="G313" s="32">
        <f>+[9]Result!$H$29</f>
        <v>146598.98243246472</v>
      </c>
      <c r="H313" s="13">
        <f>+[10]Result!$H$29</f>
        <v>143892.26478643296</v>
      </c>
      <c r="I313" s="13">
        <f>+[11]Result!$H$29</f>
        <v>141219.65179674095</v>
      </c>
      <c r="J313" s="32">
        <f>+[12]Result!$H$29</f>
        <v>149971.8735040559</v>
      </c>
      <c r="K313" s="13">
        <f>+[13]Result!$H$29</f>
        <v>150063.97324886813</v>
      </c>
      <c r="L313" s="13">
        <f>+[14]Result!$H$29</f>
        <v>144030.73250900232</v>
      </c>
      <c r="M313" s="13">
        <f>+[15]Result!$H$29</f>
        <v>103134.75499097013</v>
      </c>
      <c r="N313" s="32">
        <f>+[16]Result!$H$29</f>
        <v>104951.26812697371</v>
      </c>
      <c r="O313" s="13">
        <f>+[17]Result!$H$29</f>
        <v>109963.38246320462</v>
      </c>
      <c r="P313" s="13">
        <f>+[18]Result!$H$29</f>
        <v>109619.45016336459</v>
      </c>
      <c r="Q313" s="32">
        <f>+[19]Result!$H$29</f>
        <v>108719.94042417238</v>
      </c>
      <c r="R313" s="32">
        <f>+[20]Result!$H$29</f>
        <v>109000.84552264982</v>
      </c>
      <c r="S313" s="70">
        <f>+[22]Result!$H$29</f>
        <v>110908.27964167652</v>
      </c>
    </row>
    <row r="314" spans="1:37" hidden="1" outlineLevel="2" x14ac:dyDescent="0.25">
      <c r="A314" s="16" t="s">
        <v>31</v>
      </c>
      <c r="B314" s="13">
        <f>+[1]Result!$H$30</f>
        <v>135489.45784575574</v>
      </c>
      <c r="C314" s="13">
        <f>+[5]Result!$H$30</f>
        <v>139350.8537852061</v>
      </c>
      <c r="D314" s="32">
        <f>+[6]Result!$H$30</f>
        <v>122257.8526959673</v>
      </c>
      <c r="E314" s="13">
        <f>+[7]Result!$H$30</f>
        <v>126754.22382087877</v>
      </c>
      <c r="F314" s="13">
        <f>+[8]Result!$H$30</f>
        <v>122224.32319173659</v>
      </c>
      <c r="G314" s="32">
        <f>+[9]Result!$H$30</f>
        <v>116459.12152985181</v>
      </c>
      <c r="H314" s="13">
        <f>+[10]Result!$H$30</f>
        <v>114269.82696516614</v>
      </c>
      <c r="I314" s="13">
        <f>+[11]Result!$H$30</f>
        <v>112050.51101710956</v>
      </c>
      <c r="J314" s="32">
        <f>+[12]Result!$H$30</f>
        <v>120638.22092672443</v>
      </c>
      <c r="K314" s="13">
        <f>+[13]Result!$H$30</f>
        <v>120684.2928933769</v>
      </c>
      <c r="L314" s="13">
        <f>+[14]Result!$H$30</f>
        <v>115691.15121247567</v>
      </c>
      <c r="M314" s="13">
        <f>+[15]Result!$H$30</f>
        <v>76903.013455386623</v>
      </c>
      <c r="N314" s="32">
        <f>+[16]Result!$H$30</f>
        <v>78321.203969790891</v>
      </c>
      <c r="O314" s="13">
        <f>+[17]Result!$H$30</f>
        <v>82148.453004945593</v>
      </c>
      <c r="P314" s="13">
        <f>+[18]Result!$H$30</f>
        <v>81990.983288790798</v>
      </c>
      <c r="Q314" s="32">
        <f>+[19]Result!$H$30</f>
        <v>81312.695867156726</v>
      </c>
      <c r="R314" s="32">
        <f>+[20]Result!$H$30</f>
        <v>81499.578323505528</v>
      </c>
      <c r="S314" s="70">
        <f>+[22]Result!$H$30</f>
        <v>82960.94610943005</v>
      </c>
    </row>
    <row r="315" spans="1:37" hidden="1" outlineLevel="2" x14ac:dyDescent="0.25">
      <c r="A315" s="16" t="s">
        <v>32</v>
      </c>
      <c r="B315" s="13">
        <f>+[1]Result!$H$31</f>
        <v>105051.20049044304</v>
      </c>
      <c r="C315" s="13">
        <f>+[5]Result!$H$31</f>
        <v>108217.05214297841</v>
      </c>
      <c r="D315" s="32">
        <f>+[6]Result!$H$31</f>
        <v>95470.475507366995</v>
      </c>
      <c r="E315" s="13">
        <f>+[7]Result!$H$31</f>
        <v>98944.972766059393</v>
      </c>
      <c r="F315" s="13">
        <f>+[8]Result!$H$31</f>
        <v>95303.804913836822</v>
      </c>
      <c r="G315" s="32">
        <f>+[9]Result!$H$31</f>
        <v>90719.844764592533</v>
      </c>
      <c r="H315" s="13">
        <f>+[10]Result!$H$31</f>
        <v>88998.186352453311</v>
      </c>
      <c r="I315" s="13">
        <f>+[11]Result!$H$31</f>
        <v>87205.733967431821</v>
      </c>
      <c r="J315" s="32">
        <f>+[12]Result!$H$31</f>
        <v>95672.347148714936</v>
      </c>
      <c r="K315" s="13">
        <f>+[13]Result!$H$31</f>
        <v>95710.767481932533</v>
      </c>
      <c r="L315" s="13">
        <f>+[14]Result!$H$31</f>
        <v>91653.674134475586</v>
      </c>
      <c r="M315" s="13">
        <f>+[15]Result!$H$31</f>
        <v>53996.793153460632</v>
      </c>
      <c r="N315" s="32">
        <f>+[16]Result!$H$31</f>
        <v>55045.016074309853</v>
      </c>
      <c r="O315" s="13">
        <f>+[17]Result!$H$31</f>
        <v>57784.839000383014</v>
      </c>
      <c r="P315" s="13">
        <f>+[18]Result!$H$31</f>
        <v>57561.419801212149</v>
      </c>
      <c r="Q315" s="32">
        <f>+[19]Result!$H$31</f>
        <v>57082.480031815707</v>
      </c>
      <c r="R315" s="32">
        <f>+[20]Result!$H$31</f>
        <v>57203.75945086588</v>
      </c>
      <c r="S315" s="70">
        <f>+[22]Result!$H$31</f>
        <v>58245.186266298639</v>
      </c>
    </row>
    <row r="316" spans="1:37" hidden="1" outlineLevel="2" x14ac:dyDescent="0.25">
      <c r="A316" s="16" t="s">
        <v>33</v>
      </c>
      <c r="B316" s="13">
        <f>+[1]Result!$H$32</f>
        <v>77345.706650023552</v>
      </c>
      <c r="C316" s="13">
        <f>+[5]Result!$H$32</f>
        <v>79795.191627148655</v>
      </c>
      <c r="D316" s="32">
        <f>+[6]Result!$H$32</f>
        <v>70843.369960038021</v>
      </c>
      <c r="E316" s="13">
        <f>+[7]Result!$H$32</f>
        <v>73395.027156596043</v>
      </c>
      <c r="F316" s="13">
        <f>+[8]Result!$H$32</f>
        <v>70627.57478835294</v>
      </c>
      <c r="G316" s="32">
        <f>+[9]Result!$H$32</f>
        <v>67364.123808070523</v>
      </c>
      <c r="H316" s="13">
        <f>+[10]Result!$H$32</f>
        <v>66076.216300941102</v>
      </c>
      <c r="I316" s="13">
        <f>+[11]Result!$H$32</f>
        <v>64706.392757508642</v>
      </c>
      <c r="J316" s="32">
        <f>+[12]Result!$H$32</f>
        <v>74266.272725369199</v>
      </c>
      <c r="K316" s="13">
        <f>+[13]Result!$H$32</f>
        <v>74286.379143868835</v>
      </c>
      <c r="L316" s="13">
        <f>+[14]Result!$H$32</f>
        <v>71074.7975927261</v>
      </c>
      <c r="M316" s="13">
        <f>+[15]Result!$H$32</f>
        <v>36756.198496459707</v>
      </c>
      <c r="N316" s="32">
        <f>+[16]Result!$H$32</f>
        <v>37495.718600666194</v>
      </c>
      <c r="O316" s="13">
        <f>+[17]Result!$H$32</f>
        <v>39399.165969479931</v>
      </c>
      <c r="P316" s="13">
        <f>+[18]Result!$H$32</f>
        <v>42092.179080607806</v>
      </c>
      <c r="Q316" s="32">
        <f>+[19]Result!$H$32</f>
        <v>41740.744141746749</v>
      </c>
      <c r="R316" s="32">
        <f>+[20]Result!$H$32</f>
        <v>41820.95252958627</v>
      </c>
      <c r="S316" s="70">
        <f>+[22]Result!$H$32</f>
        <v>42598.757882062404</v>
      </c>
    </row>
    <row r="317" spans="1:37" hidden="1" outlineLevel="2" x14ac:dyDescent="0.25">
      <c r="A317" s="16" t="s">
        <v>34</v>
      </c>
      <c r="B317" s="13">
        <f>+[1]Result!$H$33</f>
        <v>57238.082064843562</v>
      </c>
      <c r="C317" s="13">
        <f>+[5]Result!$H$33</f>
        <v>59123.381334565318</v>
      </c>
      <c r="D317" s="32">
        <f>+[6]Result!$H$33</f>
        <v>57036.258391066774</v>
      </c>
      <c r="E317" s="13">
        <f>+[7]Result!$H$33</f>
        <v>59070.930307720322</v>
      </c>
      <c r="F317" s="13">
        <f>+[8]Result!$H$33</f>
        <v>56808.015730847925</v>
      </c>
      <c r="G317" s="32">
        <f>+[9]Result!$H$33</f>
        <v>59540.657145001082</v>
      </c>
      <c r="H317" s="13">
        <f>+[10]Result!$H$33</f>
        <v>58387.719652039261</v>
      </c>
      <c r="I317" s="13">
        <f>+[11]Result!$H$33</f>
        <v>57135.374867262726</v>
      </c>
      <c r="J317" s="32">
        <f>+[12]Result!$H$33</f>
        <v>66805.280353500391</v>
      </c>
      <c r="K317" s="13">
        <f>+[13]Result!$H$33</f>
        <v>66805.280353500391</v>
      </c>
      <c r="L317" s="13">
        <f>+[14]Result!$H$33</f>
        <v>63863.610924154666</v>
      </c>
      <c r="M317" s="13">
        <f>+[15]Result!$H$33</f>
        <v>34661.51097023995</v>
      </c>
      <c r="N317" s="32">
        <f>+[16]Result!$H$33</f>
        <v>35378.628708414428</v>
      </c>
      <c r="O317" s="13">
        <f>+[17]Result!$H$33</f>
        <v>37212.558951588231</v>
      </c>
      <c r="P317" s="13">
        <f>+[18]Result!$H$33</f>
        <v>42109.464323480235</v>
      </c>
      <c r="Q317" s="32">
        <f>+[19]Result!$H$33</f>
        <v>41757.48294047144</v>
      </c>
      <c r="R317" s="32">
        <f>+[20]Result!$H$33</f>
        <v>41822.796188022039</v>
      </c>
      <c r="S317" s="70">
        <f>+[22]Result!$H$33</f>
        <v>42622.001734441845</v>
      </c>
    </row>
    <row r="318" spans="1:37" hidden="1" outlineLevel="2" x14ac:dyDescent="0.25">
      <c r="A318" s="16" t="s">
        <v>35</v>
      </c>
      <c r="B318" s="13">
        <f>+[1]Result!$H$34</f>
        <v>60042.394878405845</v>
      </c>
      <c r="C318" s="13">
        <f>+[5]Result!$H$34</f>
        <v>62078.510435151722</v>
      </c>
      <c r="D318" s="32">
        <f>+[6]Result!$H$34</f>
        <v>59591.649844006199</v>
      </c>
      <c r="E318" s="13">
        <f>+[7]Result!$H$34</f>
        <v>61690.019062153035</v>
      </c>
      <c r="F318" s="13">
        <f>+[8]Result!$H$34</f>
        <v>59301.163318851002</v>
      </c>
      <c r="G318" s="32">
        <f>+[9]Result!$H$34</f>
        <v>61715.06104901951</v>
      </c>
      <c r="H318" s="13">
        <f>+[10]Result!$H$34</f>
        <v>60506.934445741586</v>
      </c>
      <c r="I318" s="13">
        <f>+[11]Result!$H$34</f>
        <v>59174.595353118668</v>
      </c>
      <c r="J318" s="32">
        <f>+[12]Result!$H$34</f>
        <v>60032.872630696336</v>
      </c>
      <c r="K318" s="13">
        <f>+[13]Result!$H$34</f>
        <v>60032.872630696336</v>
      </c>
      <c r="L318" s="13">
        <f>+[14]Result!$H$34</f>
        <v>57344.394390768575</v>
      </c>
      <c r="M318" s="13">
        <f>+[15]Result!$H$34</f>
        <v>35745.572262879054</v>
      </c>
      <c r="N318" s="32">
        <f>+[16]Result!$H$34</f>
        <v>36504.975218749169</v>
      </c>
      <c r="O318" s="13">
        <f>+[17]Result!$H$34</f>
        <v>38434.817740146522</v>
      </c>
      <c r="P318" s="13">
        <f>+[18]Result!$H$34</f>
        <v>41228.793012732203</v>
      </c>
      <c r="Q318" s="32">
        <f>+[19]Result!$H$34</f>
        <v>40884.569219706173</v>
      </c>
      <c r="R318" s="32">
        <f>+[20]Result!$H$34</f>
        <v>40938.645574093462</v>
      </c>
      <c r="S318" s="70">
        <f>+[22]Result!$H$34</f>
        <v>41735.435206952214</v>
      </c>
    </row>
    <row r="319" spans="1:37" hidden="1" outlineLevel="1" x14ac:dyDescent="0.25">
      <c r="A319" s="15" t="s">
        <v>36</v>
      </c>
      <c r="B319" s="13" cm="1">
        <f t="array" ref="B319">+[1]!DELTA_UP_31_50</f>
        <v>116348.17033444581</v>
      </c>
      <c r="C319" s="13" cm="1">
        <f t="array" ref="C319">+[5]!DELTA_UP_31_50</f>
        <v>120550.1002727133</v>
      </c>
      <c r="D319" s="32" cm="1">
        <f t="array" ref="D319">+[6]!DELTA_UP_31_50</f>
        <v>113696.33324898381</v>
      </c>
      <c r="E319" s="13" cm="1">
        <f t="array" ref="E319">+[7]!DELTA_UP_31_50</f>
        <v>117619.48974407277</v>
      </c>
      <c r="F319" s="13" cm="1">
        <f t="array" ref="F319">+[8]!DELTA_UP_31_50</f>
        <v>112917.03537781822</v>
      </c>
      <c r="G319" s="32" cm="1">
        <f t="array" ref="G319">+[9]!DELTA_UP_31_50</f>
        <v>114137.62819725589</v>
      </c>
      <c r="H319" s="13" cm="1">
        <f t="array" ref="H319">+[10]!DELTA_UP_31_50</f>
        <v>111878.86841922841</v>
      </c>
      <c r="I319" s="13" cm="1">
        <f t="array" ref="I319">+[11]!DELTA_UP_31_50</f>
        <v>109279.03559898073</v>
      </c>
      <c r="J319" s="32" cm="1">
        <f t="array" ref="J319">+[12]!DELTA_UP_31_50</f>
        <v>114195.53049836752</v>
      </c>
      <c r="K319" s="13" cm="1">
        <f t="array" ref="K319">+[13]!DELTA_UP_31_50</f>
        <v>114156.86030689429</v>
      </c>
      <c r="L319" s="13" cm="1">
        <f t="array" ref="L319">+[14]!DELTA_UP_31_50</f>
        <v>108843.79115165136</v>
      </c>
      <c r="M319" s="13" cm="1">
        <f t="array" ref="M319">+[15]!DELTA_UP_31_50</f>
        <v>49357.150577957043</v>
      </c>
      <c r="N319" s="32" cm="1">
        <f t="array" ref="N319">+[16]!DELTA_UP_31_50</f>
        <v>50476.448767713562</v>
      </c>
      <c r="O319" s="13" cm="1">
        <f t="array" ref="O319">+[17]!DELTA_UP_31_50</f>
        <v>53288.778741192189</v>
      </c>
      <c r="P319" s="13" cm="1">
        <f t="array" ref="P319">+[18]!DELTA_UP_31_50</f>
        <v>71970.629945735724</v>
      </c>
      <c r="Q319" s="32" cm="1">
        <f t="array" ref="Q319">+[19]!DELTA_UP_31_50</f>
        <v>71377.432009537661</v>
      </c>
      <c r="R319" s="32" cm="1">
        <f t="array" ref="R319">+[20]!DELTA_UP_31_50</f>
        <v>71426.572792336359</v>
      </c>
      <c r="S319" s="70" cm="1">
        <f t="array" ref="S319">+[22]!DELTA_UP_31_50</f>
        <v>72874.639091439894</v>
      </c>
      <c r="T319" s="13">
        <f>+B319-SUM(B320:B339)</f>
        <v>0</v>
      </c>
      <c r="U319" s="13">
        <f t="shared" ref="U319:W319" si="245">+C319-SUM(C320:C339)</f>
        <v>0</v>
      </c>
      <c r="V319" s="13">
        <f t="shared" si="245"/>
        <v>0</v>
      </c>
      <c r="W319" s="13">
        <f t="shared" si="245"/>
        <v>0</v>
      </c>
      <c r="X319" s="13">
        <f t="shared" ref="X319" si="246">+F319-SUM(F320:F339)</f>
        <v>0</v>
      </c>
      <c r="Y319" s="13">
        <f t="shared" ref="Y319:AE319" si="247">+G319-SUM(G320:G339)</f>
        <v>0</v>
      </c>
      <c r="Z319" s="13">
        <f t="shared" si="247"/>
        <v>0</v>
      </c>
      <c r="AA319" s="13">
        <f t="shared" si="247"/>
        <v>0</v>
      </c>
      <c r="AB319" s="13">
        <f t="shared" si="247"/>
        <v>0</v>
      </c>
      <c r="AC319" s="13">
        <f t="shared" si="247"/>
        <v>0</v>
      </c>
      <c r="AD319" s="13">
        <f t="shared" si="247"/>
        <v>0</v>
      </c>
      <c r="AE319" s="13">
        <f t="shared" si="247"/>
        <v>0</v>
      </c>
      <c r="AF319" s="13">
        <f t="shared" ref="AF319" si="248">+N319-SUM(N320:N339)</f>
        <v>0</v>
      </c>
      <c r="AG319" s="13">
        <f t="shared" ref="AG319:AH319" si="249">+O319-SUM(O320:O339)</f>
        <v>0</v>
      </c>
      <c r="AH319" s="13">
        <f t="shared" si="249"/>
        <v>0</v>
      </c>
      <c r="AI319" s="13">
        <f t="shared" ref="AI319" si="250">+Q319-SUM(Q320:Q339)</f>
        <v>0</v>
      </c>
      <c r="AJ319" s="13">
        <f t="shared" ref="AJ319:AK319" si="251">+R319-SUM(R320:R339)</f>
        <v>0</v>
      </c>
      <c r="AK319" s="13">
        <f t="shared" si="251"/>
        <v>0</v>
      </c>
    </row>
    <row r="320" spans="1:37" hidden="1" outlineLevel="2" x14ac:dyDescent="0.25">
      <c r="A320" s="16" t="s">
        <v>37</v>
      </c>
      <c r="B320" s="13">
        <f>+[1]Result!$H$35</f>
        <v>34142.919904032184</v>
      </c>
      <c r="C320" s="13">
        <f>+[5]Result!$H$35</f>
        <v>35328.340657970053</v>
      </c>
      <c r="D320" s="32">
        <f>+[6]Result!$H$35</f>
        <v>33612.871037138946</v>
      </c>
      <c r="E320" s="13">
        <f>+[7]Result!$H$35</f>
        <v>34788.226789955181</v>
      </c>
      <c r="F320" s="13">
        <f>+[8]Result!$H$35</f>
        <v>33423.434793956141</v>
      </c>
      <c r="G320" s="32">
        <f>+[9]Result!$H$35</f>
        <v>34066.666909741383</v>
      </c>
      <c r="H320" s="13">
        <f>+[10]Result!$H$35</f>
        <v>33398.541272439514</v>
      </c>
      <c r="I320" s="13">
        <f>+[11]Result!$H$35</f>
        <v>32649.275363305933</v>
      </c>
      <c r="J320" s="32">
        <f>+[12]Result!$H$35</f>
        <v>33375.029268959974</v>
      </c>
      <c r="K320" s="13">
        <f>+[13]Result!$H$35</f>
        <v>33369.874984241644</v>
      </c>
      <c r="L320" s="13">
        <f>+[14]Result!$H$35</f>
        <v>31856.761686425758</v>
      </c>
      <c r="M320" s="13">
        <f>+[15]Result!$H$35</f>
        <v>18493.906066754491</v>
      </c>
      <c r="N320" s="32">
        <f>+[16]Result!$H$35</f>
        <v>18894.074393857503</v>
      </c>
      <c r="O320" s="13">
        <f>+[17]Result!$H$35</f>
        <v>19911.307419793113</v>
      </c>
      <c r="P320" s="13">
        <f>+[18]Result!$H$35</f>
        <v>22133.801549827636</v>
      </c>
      <c r="Q320" s="32">
        <f>+[19]Result!$H$35</f>
        <v>21949.640021761887</v>
      </c>
      <c r="R320" s="32">
        <f>+[20]Result!$H$35</f>
        <v>21976.335455943015</v>
      </c>
      <c r="S320" s="70">
        <f>+[22]Result!$H$35</f>
        <v>22407.951659074439</v>
      </c>
    </row>
    <row r="321" spans="1:19" hidden="1" outlineLevel="2" x14ac:dyDescent="0.25">
      <c r="A321" s="16" t="s">
        <v>38</v>
      </c>
      <c r="B321" s="13">
        <f>+[1]Result!$H$36</f>
        <v>20756.018301802411</v>
      </c>
      <c r="C321" s="13">
        <f>+[5]Result!$H$36</f>
        <v>21493.019649924929</v>
      </c>
      <c r="D321" s="32">
        <f>+[6]Result!$H$36</f>
        <v>20152.387673832767</v>
      </c>
      <c r="E321" s="13">
        <f>+[7]Result!$H$36</f>
        <v>20853.351390960852</v>
      </c>
      <c r="F321" s="13">
        <f>+[8]Result!$H$36</f>
        <v>20025.723862643754</v>
      </c>
      <c r="G321" s="32">
        <f>+[9]Result!$H$36</f>
        <v>20078.368318838635</v>
      </c>
      <c r="H321" s="13">
        <f>+[10]Result!$H$36</f>
        <v>19681.478667385651</v>
      </c>
      <c r="I321" s="13">
        <f>+[11]Result!$H$36</f>
        <v>19232.161047131915</v>
      </c>
      <c r="J321" s="32">
        <f>+[12]Result!$H$36</f>
        <v>20197.788560763016</v>
      </c>
      <c r="K321" s="13">
        <f>+[13]Result!$H$36</f>
        <v>20191.443406963728</v>
      </c>
      <c r="L321" s="13">
        <f>+[14]Result!$H$36</f>
        <v>19265.700209209666</v>
      </c>
      <c r="M321" s="13">
        <f>+[15]Result!$H$36</f>
        <v>9207.2636043798593</v>
      </c>
      <c r="N321" s="32">
        <f>+[16]Result!$H$36</f>
        <v>9411.4228988543327</v>
      </c>
      <c r="O321" s="13">
        <f>+[17]Result!$H$36</f>
        <v>9925.2822612944256</v>
      </c>
      <c r="P321" s="13">
        <f>+[18]Result!$H$36</f>
        <v>12027.041540367878</v>
      </c>
      <c r="Q321" s="32">
        <f>+[19]Result!$H$36</f>
        <v>11927.547698770672</v>
      </c>
      <c r="R321" s="32">
        <f>+[20]Result!$H$36</f>
        <v>11940.618434209675</v>
      </c>
      <c r="S321" s="70">
        <f>+[22]Result!$H$36</f>
        <v>12176.946579031122</v>
      </c>
    </row>
    <row r="322" spans="1:19" hidden="1" outlineLevel="2" x14ac:dyDescent="0.25">
      <c r="A322" s="16" t="s">
        <v>39</v>
      </c>
      <c r="B322" s="13">
        <f>+[1]Result!$H$37</f>
        <v>14721.29636560518</v>
      </c>
      <c r="C322" s="13">
        <f>+[5]Result!$H$37</f>
        <v>15252.819836328068</v>
      </c>
      <c r="D322" s="32">
        <f>+[6]Result!$H$37</f>
        <v>14366.982919392445</v>
      </c>
      <c r="E322" s="13">
        <f>+[7]Result!$H$37</f>
        <v>14860.597592956663</v>
      </c>
      <c r="F322" s="13">
        <f>+[8]Result!$H$37</f>
        <v>14267.007467643511</v>
      </c>
      <c r="G322" s="32">
        <f>+[9]Result!$H$37</f>
        <v>14297.592096626213</v>
      </c>
      <c r="H322" s="13">
        <f>+[10]Result!$H$37</f>
        <v>14015.523442736303</v>
      </c>
      <c r="I322" s="13">
        <f>+[11]Result!$H$37</f>
        <v>13690.280637022181</v>
      </c>
      <c r="J322" s="32">
        <f>+[12]Result!$H$37</f>
        <v>14859.671654841266</v>
      </c>
      <c r="K322" s="13">
        <f>+[13]Result!$H$37</f>
        <v>14854.860197097572</v>
      </c>
      <c r="L322" s="13">
        <f>+[14]Result!$H$37</f>
        <v>14164.798166516863</v>
      </c>
      <c r="M322" s="13">
        <f>+[15]Result!$H$37</f>
        <v>5622.8493500176537</v>
      </c>
      <c r="N322" s="32">
        <f>+[16]Result!$H$37</f>
        <v>5750.4654081466524</v>
      </c>
      <c r="O322" s="13">
        <f>+[17]Result!$H$37</f>
        <v>6068.4641377183871</v>
      </c>
      <c r="P322" s="13">
        <f>+[18]Result!$H$37</f>
        <v>8115.1660475827084</v>
      </c>
      <c r="Q322" s="32">
        <f>+[19]Result!$H$37</f>
        <v>8048.5769026361522</v>
      </c>
      <c r="R322" s="32">
        <f>+[20]Result!$H$37</f>
        <v>8055.0661137484421</v>
      </c>
      <c r="S322" s="70">
        <f>+[22]Result!$H$37</f>
        <v>8216.7876620518728</v>
      </c>
    </row>
    <row r="323" spans="1:19" hidden="1" outlineLevel="2" x14ac:dyDescent="0.25">
      <c r="A323" s="16" t="s">
        <v>40</v>
      </c>
      <c r="B323" s="13">
        <f>+[1]Result!$H$38</f>
        <v>12252.551760577109</v>
      </c>
      <c r="C323" s="13">
        <f>+[5]Result!$H$38</f>
        <v>12699.796565854325</v>
      </c>
      <c r="D323" s="32">
        <f>+[6]Result!$H$38</f>
        <v>12047.190397030474</v>
      </c>
      <c r="E323" s="13">
        <f>+[7]Result!$H$38</f>
        <v>12461.164730762634</v>
      </c>
      <c r="F323" s="13">
        <f>+[8]Result!$H$38</f>
        <v>11958.900224725676</v>
      </c>
      <c r="G323" s="32">
        <f>+[9]Result!$H$38</f>
        <v>12029.167951327312</v>
      </c>
      <c r="H323" s="13">
        <f>+[10]Result!$H$38</f>
        <v>11792.677860484815</v>
      </c>
      <c r="I323" s="13">
        <f>+[11]Result!$H$38</f>
        <v>11514.80444533925</v>
      </c>
      <c r="J323" s="32">
        <f>+[12]Result!$H$38</f>
        <v>12103.05537052725</v>
      </c>
      <c r="K323" s="13">
        <f>+[13]Result!$H$38</f>
        <v>12099.019791438688</v>
      </c>
      <c r="L323" s="13">
        <f>+[14]Result!$H$38</f>
        <v>11530.256856914006</v>
      </c>
      <c r="M323" s="13">
        <f>+[15]Result!$H$38</f>
        <v>4007.0011121732277</v>
      </c>
      <c r="N323" s="32">
        <f>+[16]Result!$H$38</f>
        <v>4099.3247966311501</v>
      </c>
      <c r="O323" s="13">
        <f>+[17]Result!$H$38</f>
        <v>4329.3668795015383</v>
      </c>
      <c r="P323" s="13">
        <f>+[18]Result!$H$38</f>
        <v>6008.4861973462048</v>
      </c>
      <c r="Q323" s="32">
        <f>+[19]Result!$H$38</f>
        <v>5959.7009481134883</v>
      </c>
      <c r="R323" s="32">
        <f>+[20]Result!$H$38</f>
        <v>5962.6656404896476</v>
      </c>
      <c r="S323" s="70">
        <f>+[22]Result!$H$38</f>
        <v>6083.9607889057988</v>
      </c>
    </row>
    <row r="324" spans="1:19" hidden="1" outlineLevel="2" x14ac:dyDescent="0.25">
      <c r="A324" s="16" t="s">
        <v>41</v>
      </c>
      <c r="B324" s="13">
        <f>+[1]Result!$H$39</f>
        <v>10007.806902473127</v>
      </c>
      <c r="C324" s="13">
        <f>+[5]Result!$H$39</f>
        <v>10378.487695637941</v>
      </c>
      <c r="D324" s="32">
        <f>+[6]Result!$H$39</f>
        <v>9591.2079791539982</v>
      </c>
      <c r="E324" s="13">
        <f>+[7]Result!$H$39</f>
        <v>9920.1821967517608</v>
      </c>
      <c r="F324" s="13">
        <f>+[8]Result!$H$39</f>
        <v>9518.894989380573</v>
      </c>
      <c r="G324" s="32">
        <f>+[9]Result!$H$39</f>
        <v>9458.7943313296419</v>
      </c>
      <c r="H324" s="13">
        <f>+[10]Result!$H$39</f>
        <v>9270.6985041980624</v>
      </c>
      <c r="I324" s="13">
        <f>+[11]Result!$H$39</f>
        <v>9050.6840221047678</v>
      </c>
      <c r="J324" s="32">
        <f>+[12]Result!$H$39</f>
        <v>9321.8322099306824</v>
      </c>
      <c r="K324" s="13">
        <f>+[13]Result!$H$39</f>
        <v>9318.6341191010179</v>
      </c>
      <c r="L324" s="13">
        <f>+[14]Result!$H$39</f>
        <v>8877.3344932760083</v>
      </c>
      <c r="M324" s="13">
        <f>+[15]Result!$H$39</f>
        <v>2603.1652330566558</v>
      </c>
      <c r="N324" s="32">
        <f>+[16]Result!$H$39</f>
        <v>2663.9899595949755</v>
      </c>
      <c r="O324" s="13">
        <f>+[17]Result!$H$39</f>
        <v>2815.518782918537</v>
      </c>
      <c r="P324" s="13">
        <f>+[18]Result!$H$39</f>
        <v>4150.7024543486041</v>
      </c>
      <c r="Q324" s="32">
        <f>+[19]Result!$H$39</f>
        <v>4116.7260108768933</v>
      </c>
      <c r="R324" s="32">
        <f>+[20]Result!$H$39</f>
        <v>4118.1359697931239</v>
      </c>
      <c r="S324" s="70">
        <f>+[22]Result!$H$39</f>
        <v>4202.9211894750351</v>
      </c>
    </row>
    <row r="325" spans="1:19" hidden="1" outlineLevel="2" x14ac:dyDescent="0.25">
      <c r="A325" s="16" t="s">
        <v>42</v>
      </c>
      <c r="B325" s="13">
        <f>+[1]Result!$H$40</f>
        <v>6898.8559660305473</v>
      </c>
      <c r="C325" s="13">
        <f>+[5]Result!$H$40</f>
        <v>7157.8552411683704</v>
      </c>
      <c r="D325" s="32">
        <f>+[6]Result!$H$40</f>
        <v>6667.3187784794445</v>
      </c>
      <c r="E325" s="13">
        <f>+[7]Result!$H$40</f>
        <v>6894.003010028584</v>
      </c>
      <c r="F325" s="13">
        <f>+[8]Result!$H$40</f>
        <v>6614.4641949973429</v>
      </c>
      <c r="G325" s="32">
        <f>+[9]Result!$H$40</f>
        <v>6655.609304248268</v>
      </c>
      <c r="H325" s="13">
        <f>+[10]Result!$H$40</f>
        <v>6521.8782062199007</v>
      </c>
      <c r="I325" s="13">
        <f>+[11]Result!$H$40</f>
        <v>6366.1583462738708</v>
      </c>
      <c r="J325" s="32">
        <f>+[12]Result!$H$40</f>
        <v>6752.1349987845715</v>
      </c>
      <c r="K325" s="13">
        <f>+[13]Result!$H$40</f>
        <v>6748.5514966847768</v>
      </c>
      <c r="L325" s="13">
        <f>+[14]Result!$H$40</f>
        <v>6426.9894887227601</v>
      </c>
      <c r="M325" s="13">
        <f>+[15]Result!$H$40</f>
        <v>1160.7825086792664</v>
      </c>
      <c r="N325" s="32">
        <f>+[16]Result!$H$40</f>
        <v>1188.2595489048435</v>
      </c>
      <c r="O325" s="13">
        <f>+[17]Result!$H$40</f>
        <v>1256.6996719418844</v>
      </c>
      <c r="P325" s="13">
        <f>+[18]Result!$H$40</f>
        <v>2488.4222166151849</v>
      </c>
      <c r="Q325" s="32">
        <f>+[19]Result!$H$40</f>
        <v>2467.9202257492325</v>
      </c>
      <c r="R325" s="32">
        <f>+[20]Result!$H$40</f>
        <v>2468.7892831925319</v>
      </c>
      <c r="S325" s="70">
        <f>+[22]Result!$H$40</f>
        <v>2519.7278843862814</v>
      </c>
    </row>
    <row r="326" spans="1:19" hidden="1" outlineLevel="2" x14ac:dyDescent="0.25">
      <c r="A326" s="16" t="s">
        <v>43</v>
      </c>
      <c r="B326" s="13">
        <f>+[1]Result!$H$41</f>
        <v>5038.4916534001222</v>
      </c>
      <c r="C326" s="13">
        <f>+[5]Result!$H$41</f>
        <v>5229.0902446583787</v>
      </c>
      <c r="D326" s="32">
        <f>+[6]Result!$H$41</f>
        <v>4950.20278297806</v>
      </c>
      <c r="E326" s="13">
        <f>+[7]Result!$H$41</f>
        <v>5117.594591496616</v>
      </c>
      <c r="F326" s="13">
        <f>+[8]Result!$H$41</f>
        <v>4909.0110103080897</v>
      </c>
      <c r="G326" s="32">
        <f>+[9]Result!$H$41</f>
        <v>4990.684963050684</v>
      </c>
      <c r="H326" s="13">
        <f>+[10]Result!$H$41</f>
        <v>4890.3625957519271</v>
      </c>
      <c r="I326" s="13">
        <f>+[11]Result!$H$41</f>
        <v>4772.1739490599757</v>
      </c>
      <c r="J326" s="32">
        <f>+[12]Result!$H$41</f>
        <v>5223.9970492551474</v>
      </c>
      <c r="K326" s="13">
        <f>+[13]Result!$H$41</f>
        <v>5221.1662082355288</v>
      </c>
      <c r="L326" s="13">
        <f>+[14]Result!$H$41</f>
        <v>4970.2360978014076</v>
      </c>
      <c r="M326" s="13">
        <f>+[15]Result!$H$41</f>
        <v>357.57281819055731</v>
      </c>
      <c r="N326" s="32">
        <f>+[16]Result!$H$41</f>
        <v>366.13922036486781</v>
      </c>
      <c r="O326" s="13">
        <f>+[17]Result!$H$41</f>
        <v>387.47039180669128</v>
      </c>
      <c r="P326" s="13">
        <f>+[18]Result!$H$41</f>
        <v>1537.1468705708189</v>
      </c>
      <c r="Q326" s="32">
        <f>+[19]Result!$H$41</f>
        <v>1524.6882914814432</v>
      </c>
      <c r="R326" s="32">
        <f>+[20]Result!$H$41</f>
        <v>1524.9616565035512</v>
      </c>
      <c r="S326" s="70">
        <f>+[22]Result!$H$41</f>
        <v>1556.73887944116</v>
      </c>
    </row>
    <row r="327" spans="1:19" hidden="1" outlineLevel="2" x14ac:dyDescent="0.25">
      <c r="A327" s="16" t="s">
        <v>44</v>
      </c>
      <c r="B327" s="13">
        <f>+[1]Result!$H$42</f>
        <v>3905.3990143078863</v>
      </c>
      <c r="C327" s="13">
        <f>+[5]Result!$H$42</f>
        <v>4054.0953900121494</v>
      </c>
      <c r="D327" s="32">
        <f>+[6]Result!$H$42</f>
        <v>3941.5474157937315</v>
      </c>
      <c r="E327" s="13">
        <f>+[7]Result!$H$42</f>
        <v>4074.6358191768268</v>
      </c>
      <c r="F327" s="13">
        <f>+[8]Result!$H$42</f>
        <v>3907.8814826727885</v>
      </c>
      <c r="G327" s="32">
        <f>+[9]Result!$H$42</f>
        <v>4037.09783339967</v>
      </c>
      <c r="H327" s="13">
        <f>+[10]Result!$H$42</f>
        <v>3956.010286185543</v>
      </c>
      <c r="I327" s="13">
        <f>+[11]Result!$H$42</f>
        <v>3859.3260748117627</v>
      </c>
      <c r="J327" s="32">
        <f>+[12]Result!$H$42</f>
        <v>4345.2873137579591</v>
      </c>
      <c r="K327" s="13">
        <f>+[13]Result!$H$42</f>
        <v>4342.8564142261075</v>
      </c>
      <c r="L327" s="13">
        <f>+[14]Result!$H$42</f>
        <v>4132.566120756137</v>
      </c>
      <c r="M327" s="13">
        <f>+[15]Result!$H$42</f>
        <v>88.404716249423217</v>
      </c>
      <c r="N327" s="32">
        <f>+[16]Result!$H$42</f>
        <v>90.56310839735221</v>
      </c>
      <c r="O327" s="13">
        <f>+[17]Result!$H$42</f>
        <v>95.877080859770615</v>
      </c>
      <c r="P327" s="13">
        <f>+[18]Result!$H$42</f>
        <v>1258.1181399323877</v>
      </c>
      <c r="Q327" s="32">
        <f>+[19]Result!$H$42</f>
        <v>1247.8801147075797</v>
      </c>
      <c r="R327" s="32">
        <f>+[20]Result!$H$42</f>
        <v>1247.8801147075797</v>
      </c>
      <c r="S327" s="70">
        <f>+[22]Result!$H$42</f>
        <v>1274.345188746739</v>
      </c>
    </row>
    <row r="328" spans="1:19" hidden="1" outlineLevel="2" x14ac:dyDescent="0.25">
      <c r="A328" s="16" t="s">
        <v>45</v>
      </c>
      <c r="B328" s="13">
        <f>+[1]Result!$H$43</f>
        <v>3535.9177233514301</v>
      </c>
      <c r="C328" s="13">
        <f>+[5]Result!$H$43</f>
        <v>3671.2743965216541</v>
      </c>
      <c r="D328" s="32">
        <f>+[6]Result!$H$43</f>
        <v>3592.1522053849731</v>
      </c>
      <c r="E328" s="13">
        <f>+[7]Result!$H$43</f>
        <v>3713.7898946932146</v>
      </c>
      <c r="F328" s="13">
        <f>+[8]Result!$H$43</f>
        <v>3560.6803632976198</v>
      </c>
      <c r="G328" s="32">
        <f>+[9]Result!$H$43</f>
        <v>3617.5051750697858</v>
      </c>
      <c r="H328" s="13">
        <f>+[10]Result!$H$43</f>
        <v>3544.335815425331</v>
      </c>
      <c r="I328" s="13">
        <f>+[11]Result!$H$43</f>
        <v>3456.8153807638391</v>
      </c>
      <c r="J328" s="32">
        <f>+[12]Result!$H$43</f>
        <v>3595.6315546692349</v>
      </c>
      <c r="K328" s="13">
        <f>+[13]Result!$H$43</f>
        <v>3592.8876425584876</v>
      </c>
      <c r="L328" s="13">
        <f>+[14]Result!$H$43</f>
        <v>3418.4235901996972</v>
      </c>
      <c r="M328" s="13">
        <f>+[15]Result!$H$43</f>
        <v>-16.231453353935187</v>
      </c>
      <c r="N328" s="32">
        <f>+[16]Result!$H$43</f>
        <v>-16.631780593671515</v>
      </c>
      <c r="O328" s="13">
        <f>+[17]Result!$H$43</f>
        <v>-17.616984697938534</v>
      </c>
      <c r="P328" s="13">
        <f>+[18]Result!$H$43</f>
        <v>823.61192349872886</v>
      </c>
      <c r="Q328" s="32">
        <f>+[19]Result!$H$43</f>
        <v>816.89321755130391</v>
      </c>
      <c r="R328" s="32">
        <f>+[20]Result!$H$43</f>
        <v>816.89321755130391</v>
      </c>
      <c r="S328" s="70">
        <f>+[22]Result!$H$43</f>
        <v>834.19438857370983</v>
      </c>
    </row>
    <row r="329" spans="1:19" hidden="1" outlineLevel="2" x14ac:dyDescent="0.25">
      <c r="A329" s="16" t="s">
        <v>46</v>
      </c>
      <c r="B329" s="13">
        <f>+[1]Result!$H$44</f>
        <v>2868.3358061243998</v>
      </c>
      <c r="C329" s="13">
        <f>+[5]Result!$H$44</f>
        <v>2978.612743104838</v>
      </c>
      <c r="D329" s="32">
        <f>+[6]Result!$H$44</f>
        <v>2655.4985366179208</v>
      </c>
      <c r="E329" s="13">
        <f>+[7]Result!$H$44</f>
        <v>2745.5691562860538</v>
      </c>
      <c r="F329" s="13">
        <f>+[8]Result!$H$44</f>
        <v>2631.6490634653946</v>
      </c>
      <c r="G329" s="32">
        <f>+[9]Result!$H$44</f>
        <v>2726.2495168928081</v>
      </c>
      <c r="H329" s="13">
        <f>+[10]Result!$H$44</f>
        <v>2671.3012394374728</v>
      </c>
      <c r="I329" s="13">
        <f>+[11]Result!$H$44</f>
        <v>2604.7124670299308</v>
      </c>
      <c r="J329" s="32">
        <f>+[12]Result!$H$44</f>
        <v>2450.3883332660907</v>
      </c>
      <c r="K329" s="13">
        <f>+[13]Result!$H$44</f>
        <v>2448.4711638180333</v>
      </c>
      <c r="L329" s="13">
        <f>+[14]Result!$H$44</f>
        <v>2328.921039093535</v>
      </c>
      <c r="M329" s="13">
        <f>+[15]Result!$H$44</f>
        <v>-89.792272450342779</v>
      </c>
      <c r="N329" s="32">
        <f>+[16]Result!$H$44</f>
        <v>-92.009866356693465</v>
      </c>
      <c r="O329" s="13">
        <f>+[17]Result!$H$44</f>
        <v>-97.525895502853956</v>
      </c>
      <c r="P329" s="13">
        <f>+[18]Result!$H$44</f>
        <v>599.98042883549988</v>
      </c>
      <c r="Q329" s="32">
        <f>+[19]Result!$H$44</f>
        <v>595.07806975635981</v>
      </c>
      <c r="R329" s="32">
        <f>+[20]Result!$H$44</f>
        <v>595.07806975635981</v>
      </c>
      <c r="S329" s="70">
        <f>+[22]Result!$H$44</f>
        <v>607.64835150587578</v>
      </c>
    </row>
    <row r="330" spans="1:19" hidden="1" outlineLevel="2" x14ac:dyDescent="0.25">
      <c r="A330" s="16" t="s">
        <v>47</v>
      </c>
      <c r="B330" s="13">
        <f>+[1]Result!$H$45</f>
        <v>1167.1393128902478</v>
      </c>
      <c r="C330" s="13">
        <f>+[5]Result!$H$45</f>
        <v>1212.158205807083</v>
      </c>
      <c r="D330" s="32">
        <f>+[6]Result!$H$45</f>
        <v>1101.9510138629248</v>
      </c>
      <c r="E330" s="13">
        <f>+[7]Result!$H$45</f>
        <v>1139.1152636557467</v>
      </c>
      <c r="F330" s="13">
        <f>+[8]Result!$H$45</f>
        <v>1091.8119283443634</v>
      </c>
      <c r="G330" s="32">
        <f>+[9]Result!$H$45</f>
        <v>1136.5343115142987</v>
      </c>
      <c r="H330" s="13">
        <f>+[10]Result!$H$45</f>
        <v>1113.7374168434867</v>
      </c>
      <c r="I330" s="13">
        <f>+[11]Result!$H$45</f>
        <v>1085.9537680658132</v>
      </c>
      <c r="J330" s="32">
        <f>+[12]Result!$H$45</f>
        <v>1018.6264983476799</v>
      </c>
      <c r="K330" s="13">
        <f>+[13]Result!$H$45</f>
        <v>1017.8098979473389</v>
      </c>
      <c r="L330" s="13">
        <f>+[14]Result!$H$45</f>
        <v>967.69489560350189</v>
      </c>
      <c r="M330" s="13">
        <f>+[15]Result!$H$45</f>
        <v>4709.2417732075519</v>
      </c>
      <c r="N330" s="32">
        <f>+[16]Result!$H$45</f>
        <v>4826.5218638408132</v>
      </c>
      <c r="O330" s="13">
        <f>+[17]Result!$H$45</f>
        <v>5118.0949519597107</v>
      </c>
      <c r="P330" s="13">
        <f>+[18]Result!$H$45</f>
        <v>7115.1487807517515</v>
      </c>
      <c r="Q330" s="32">
        <f>+[19]Result!$H$45</f>
        <v>7057.0040923837478</v>
      </c>
      <c r="R330" s="32">
        <f>+[20]Result!$H$45</f>
        <v>7055.5832289987156</v>
      </c>
      <c r="S330" s="70">
        <f>+[22]Result!$H$45</f>
        <v>7206.9074923718435</v>
      </c>
    </row>
    <row r="331" spans="1:19" hidden="1" outlineLevel="2" x14ac:dyDescent="0.25">
      <c r="A331" s="16" t="s">
        <v>48</v>
      </c>
      <c r="B331" s="13">
        <f>+[1]Result!$H$46</f>
        <v>485.15423341250971</v>
      </c>
      <c r="C331" s="13">
        <f>+[5]Result!$H$46</f>
        <v>504.01354240440946</v>
      </c>
      <c r="D331" s="32">
        <f>+[6]Result!$H$46</f>
        <v>464.82764808406682</v>
      </c>
      <c r="E331" s="13">
        <f>+[7]Result!$H$46</f>
        <v>480.49228792141287</v>
      </c>
      <c r="F331" s="13">
        <f>+[8]Result!$H$46</f>
        <v>460.54388370128254</v>
      </c>
      <c r="G331" s="32">
        <f>+[9]Result!$H$46</f>
        <v>479.7578865077071</v>
      </c>
      <c r="H331" s="13">
        <f>+[10]Result!$H$46</f>
        <v>470.0989632774224</v>
      </c>
      <c r="I331" s="13">
        <f>+[11]Result!$H$46</f>
        <v>458.37501926475579</v>
      </c>
      <c r="J331" s="32">
        <f>+[12]Result!$H$46</f>
        <v>435.81311918640313</v>
      </c>
      <c r="K331" s="13">
        <f>+[13]Result!$H$46</f>
        <v>435.45534440403117</v>
      </c>
      <c r="L331" s="13">
        <f>+[14]Result!$H$46</f>
        <v>413.93654279090515</v>
      </c>
      <c r="M331" s="13">
        <f>+[15]Result!$H$46</f>
        <v>1794.2865289049082</v>
      </c>
      <c r="N331" s="32">
        <f>+[16]Result!$H$46</f>
        <v>1839.3084626225191</v>
      </c>
      <c r="O331" s="13">
        <f>+[17]Result!$H$46</f>
        <v>1951.1795213996124</v>
      </c>
      <c r="P331" s="13">
        <f>+[18]Result!$H$46</f>
        <v>3366.2381275811686</v>
      </c>
      <c r="Q331" s="32">
        <f>+[19]Result!$H$46</f>
        <v>3338.7497726778647</v>
      </c>
      <c r="R331" s="32">
        <f>+[20]Result!$H$46</f>
        <v>3338.0692692776338</v>
      </c>
      <c r="S331" s="70">
        <f>+[22]Result!$H$46</f>
        <v>3409.9990798977533</v>
      </c>
    </row>
    <row r="332" spans="1:19" hidden="1" outlineLevel="2" x14ac:dyDescent="0.25">
      <c r="A332" s="16" t="s">
        <v>49</v>
      </c>
      <c r="B332" s="13">
        <f>+[1]Result!$H$47</f>
        <v>247.79382426257035</v>
      </c>
      <c r="C332" s="13">
        <f>+[5]Result!$H$47</f>
        <v>257.49276931680822</v>
      </c>
      <c r="D332" s="32">
        <f>+[6]Result!$H$47</f>
        <v>241.86155129452135</v>
      </c>
      <c r="E332" s="13">
        <f>+[7]Result!$H$47</f>
        <v>250.048100067306</v>
      </c>
      <c r="F332" s="13">
        <f>+[8]Result!$H$47</f>
        <v>239.6307930896088</v>
      </c>
      <c r="G332" s="32">
        <f>+[9]Result!$H$47</f>
        <v>247.20788043877656</v>
      </c>
      <c r="H332" s="13">
        <f>+[10]Result!$H$47</f>
        <v>242.21707373488198</v>
      </c>
      <c r="I332" s="13">
        <f>+[11]Result!$H$47</f>
        <v>236.13553352952965</v>
      </c>
      <c r="J332" s="32">
        <f>+[12]Result!$H$47</f>
        <v>227.06682651857363</v>
      </c>
      <c r="K332" s="13">
        <f>+[13]Result!$H$47</f>
        <v>226.87604352802873</v>
      </c>
      <c r="L332" s="13">
        <f>+[14]Result!$H$47</f>
        <v>215.633946685627</v>
      </c>
      <c r="M332" s="13">
        <f>+[15]Result!$H$47</f>
        <v>722.11749965859417</v>
      </c>
      <c r="N332" s="32">
        <f>+[16]Result!$H$47</f>
        <v>740.51396730404736</v>
      </c>
      <c r="O332" s="13">
        <f>+[17]Result!$H$47</f>
        <v>785.81938457606429</v>
      </c>
      <c r="P332" s="13">
        <f>+[18]Result!$H$47</f>
        <v>1296.8808777976174</v>
      </c>
      <c r="Q332" s="32">
        <f>+[19]Result!$H$47</f>
        <v>1286.0426100270183</v>
      </c>
      <c r="R332" s="32">
        <f>+[20]Result!$H$47</f>
        <v>1285.7715162630498</v>
      </c>
      <c r="S332" s="70">
        <f>+[22]Result!$H$47</f>
        <v>1313.3110076962266</v>
      </c>
    </row>
    <row r="333" spans="1:19" hidden="1" outlineLevel="2" x14ac:dyDescent="0.25">
      <c r="A333" s="16" t="s">
        <v>50</v>
      </c>
      <c r="B333" s="13">
        <f>+[1]Result!$H$48</f>
        <v>149.13361914827095</v>
      </c>
      <c r="C333" s="13">
        <f>+[5]Result!$H$48</f>
        <v>154.97315015491819</v>
      </c>
      <c r="D333" s="32">
        <f>+[6]Result!$H$48</f>
        <v>143.92294772082704</v>
      </c>
      <c r="E333" s="13">
        <f>+[7]Result!$H$48</f>
        <v>148.74738720914132</v>
      </c>
      <c r="F333" s="13">
        <f>+[8]Result!$H$48</f>
        <v>142.5652475184512</v>
      </c>
      <c r="G333" s="32">
        <f>+[9]Result!$H$48</f>
        <v>145.77658446511134</v>
      </c>
      <c r="H333" s="13">
        <f>+[10]Result!$H$48</f>
        <v>142.82817303806695</v>
      </c>
      <c r="I333" s="13">
        <f>+[11]Result!$H$48</f>
        <v>139.22069984651517</v>
      </c>
      <c r="J333" s="32">
        <f>+[12]Result!$H$48</f>
        <v>133.80530237196706</v>
      </c>
      <c r="K333" s="13">
        <f>+[13]Result!$H$48</f>
        <v>133.69029983950861</v>
      </c>
      <c r="L333" s="13">
        <f>+[14]Result!$H$48</f>
        <v>127.02664819236256</v>
      </c>
      <c r="M333" s="13">
        <f>+[15]Result!$H$48</f>
        <v>354.58613810045063</v>
      </c>
      <c r="N333" s="32">
        <f>+[16]Result!$H$48</f>
        <v>363.67312829120374</v>
      </c>
      <c r="O333" s="13">
        <f>+[17]Result!$H$48</f>
        <v>386.11896117464232</v>
      </c>
      <c r="P333" s="13">
        <f>+[18]Result!$H$48</f>
        <v>546.65688003376818</v>
      </c>
      <c r="Q333" s="32">
        <f>+[19]Result!$H$48</f>
        <v>541.98384646277782</v>
      </c>
      <c r="R333" s="32">
        <f>+[20]Result!$H$48</f>
        <v>541.86805505778057</v>
      </c>
      <c r="S333" s="70">
        <f>+[22]Result!$H$48</f>
        <v>553.50607725540067</v>
      </c>
    </row>
    <row r="334" spans="1:19" hidden="1" outlineLevel="2" x14ac:dyDescent="0.25">
      <c r="A334" s="16" t="s">
        <v>51</v>
      </c>
      <c r="B334" s="13">
        <f>+[1]Result!$H$49</f>
        <v>84.026847033720145</v>
      </c>
      <c r="C334" s="13">
        <f>+[5]Result!$H$49</f>
        <v>87.314938241126612</v>
      </c>
      <c r="D334" s="32">
        <f>+[6]Result!$H$49</f>
        <v>82.031407720646712</v>
      </c>
      <c r="E334" s="13">
        <f>+[7]Result!$H$49</f>
        <v>84.769181485436491</v>
      </c>
      <c r="F334" s="13">
        <f>+[8]Result!$H$49</f>
        <v>81.258288194546708</v>
      </c>
      <c r="G334" s="32">
        <f>+[9]Result!$H$49</f>
        <v>83.684700732033861</v>
      </c>
      <c r="H334" s="13">
        <f>+[10]Result!$H$49</f>
        <v>81.990633554580199</v>
      </c>
      <c r="I334" s="13">
        <f>+[11]Result!$H$49</f>
        <v>79.926669183635425</v>
      </c>
      <c r="J334" s="32">
        <f>+[12]Result!$H$49</f>
        <v>77.023209761982997</v>
      </c>
      <c r="K334" s="13">
        <f>+[13]Result!$H$49</f>
        <v>76.955525992761153</v>
      </c>
      <c r="L334" s="13">
        <f>+[14]Result!$H$49</f>
        <v>73.116213218548552</v>
      </c>
      <c r="M334" s="13">
        <f>+[15]Result!$H$49</f>
        <v>189.52272708410692</v>
      </c>
      <c r="N334" s="32">
        <f>+[16]Result!$H$49</f>
        <v>194.40525650353078</v>
      </c>
      <c r="O334" s="13">
        <f>+[17]Result!$H$49</f>
        <v>206.49996872851494</v>
      </c>
      <c r="P334" s="13">
        <f>+[18]Result!$H$49</f>
        <v>269.286155849583</v>
      </c>
      <c r="Q334" s="32">
        <f>+[19]Result!$H$49</f>
        <v>266.99152711732904</v>
      </c>
      <c r="R334" s="32">
        <f>+[20]Result!$H$49</f>
        <v>266.93272156736509</v>
      </c>
      <c r="S334" s="70">
        <f>+[22]Result!$H$49</f>
        <v>272.73636555008233</v>
      </c>
    </row>
    <row r="335" spans="1:19" hidden="1" outlineLevel="2" x14ac:dyDescent="0.25">
      <c r="A335" s="16" t="s">
        <v>52</v>
      </c>
      <c r="B335" s="13">
        <f>+[1]Result!$H$50</f>
        <v>46.494440723590429</v>
      </c>
      <c r="C335" s="13">
        <f>+[5]Result!$H$50</f>
        <v>48.321746306269162</v>
      </c>
      <c r="D335" s="32">
        <f>+[6]Result!$H$50</f>
        <v>45.251028855665695</v>
      </c>
      <c r="E335" s="13">
        <f>+[7]Result!$H$50</f>
        <v>46.763245448188911</v>
      </c>
      <c r="F335" s="13">
        <f>+[8]Result!$H$50</f>
        <v>44.825308320159735</v>
      </c>
      <c r="G335" s="32">
        <f>+[9]Result!$H$50</f>
        <v>46.218270834378558</v>
      </c>
      <c r="H335" s="13">
        <f>+[10]Result!$H$50</f>
        <v>45.292911800767115</v>
      </c>
      <c r="I335" s="13">
        <f>+[11]Result!$H$50</f>
        <v>44.147811234757413</v>
      </c>
      <c r="J335" s="32">
        <f>+[12]Result!$H$50</f>
        <v>42.106052947002652</v>
      </c>
      <c r="K335" s="13">
        <f>+[13]Result!$H$50</f>
        <v>42.068241216673044</v>
      </c>
      <c r="L335" s="13">
        <f>+[14]Result!$H$50</f>
        <v>39.969378523120326</v>
      </c>
      <c r="M335" s="13">
        <f>+[15]Result!$H$50</f>
        <v>97.68525832048644</v>
      </c>
      <c r="N335" s="32">
        <f>+[16]Result!$H$50</f>
        <v>100.21280753528382</v>
      </c>
      <c r="O335" s="13">
        <f>+[17]Result!$H$50</f>
        <v>106.46924057338086</v>
      </c>
      <c r="P335" s="13">
        <f>+[18]Result!$H$50</f>
        <v>138.54557573319599</v>
      </c>
      <c r="Q335" s="32">
        <f>+[19]Result!$H$50</f>
        <v>137.40078470619881</v>
      </c>
      <c r="R335" s="32">
        <f>+[20]Result!$H$50</f>
        <v>137.33917434656107</v>
      </c>
      <c r="S335" s="70">
        <f>+[22]Result!$H$50</f>
        <v>140.32833249037722</v>
      </c>
    </row>
    <row r="336" spans="1:19" hidden="1" outlineLevel="2" x14ac:dyDescent="0.25">
      <c r="A336" s="16" t="s">
        <v>53</v>
      </c>
      <c r="B336" s="13">
        <f>+[1]Result!$H$51</f>
        <v>24.415518685820139</v>
      </c>
      <c r="C336" s="13">
        <f>+[5]Result!$H$51</f>
        <v>25.372606495116692</v>
      </c>
      <c r="D336" s="32">
        <f>+[6]Result!$H$51</f>
        <v>23.817094859653622</v>
      </c>
      <c r="E336" s="13">
        <f>+[7]Result!$H$51</f>
        <v>24.61339149927614</v>
      </c>
      <c r="F336" s="13">
        <f>+[8]Result!$H$51</f>
        <v>23.588247213418171</v>
      </c>
      <c r="G336" s="32">
        <f>+[9]Result!$H$51</f>
        <v>24.591040943949608</v>
      </c>
      <c r="H336" s="13">
        <f>+[10]Result!$H$51</f>
        <v>24.099261909568341</v>
      </c>
      <c r="I336" s="13">
        <f>+[11]Result!$H$51</f>
        <v>23.487882311684956</v>
      </c>
      <c r="J336" s="32">
        <f>+[12]Result!$H$51</f>
        <v>22.059392138900513</v>
      </c>
      <c r="K336" s="13">
        <f>+[13]Result!$H$51</f>
        <v>22.039157575783292</v>
      </c>
      <c r="L336" s="13">
        <f>+[14]Result!$H$51</f>
        <v>20.935772603717318</v>
      </c>
      <c r="M336" s="13">
        <f>+[15]Result!$H$51</f>
        <v>42.551249288197511</v>
      </c>
      <c r="N336" s="32">
        <f>+[16]Result!$H$51</f>
        <v>43.656293706399907</v>
      </c>
      <c r="O336" s="13">
        <f>+[17]Result!$H$51</f>
        <v>46.399683781680565</v>
      </c>
      <c r="P336" s="13">
        <f>+[18]Result!$H$51</f>
        <v>65.710032683113795</v>
      </c>
      <c r="Q336" s="32">
        <f>+[19]Result!$H$51</f>
        <v>65.170332293278463</v>
      </c>
      <c r="R336" s="32">
        <f>+[20]Result!$H$51</f>
        <v>65.155448706158211</v>
      </c>
      <c r="S336" s="70">
        <f>+[22]Result!$H$51</f>
        <v>66.558654553271651</v>
      </c>
    </row>
    <row r="337" spans="1:37" hidden="1" outlineLevel="2" x14ac:dyDescent="0.25">
      <c r="A337" s="16" t="s">
        <v>54</v>
      </c>
      <c r="B337" s="13">
        <f>+[1]Result!$H$52</f>
        <v>11.16180563053658</v>
      </c>
      <c r="C337" s="13">
        <f>+[5]Result!$H$52</f>
        <v>11.597798271815559</v>
      </c>
      <c r="D337" s="32">
        <f>+[6]Result!$H$52</f>
        <v>10.541396807450397</v>
      </c>
      <c r="E337" s="13">
        <f>+[7]Result!$H$52</f>
        <v>10.896232823922595</v>
      </c>
      <c r="F337" s="13">
        <f>+[8]Result!$H$52</f>
        <v>10.44045163267273</v>
      </c>
      <c r="G337" s="32">
        <f>+[9]Result!$H$52</f>
        <v>11.225341181665474</v>
      </c>
      <c r="H337" s="13">
        <f>+[10]Result!$H$52</f>
        <v>10.998770896766086</v>
      </c>
      <c r="I337" s="13">
        <f>+[11]Result!$H$52</f>
        <v>10.721477940053937</v>
      </c>
      <c r="J337" s="32">
        <f>+[12]Result!$H$52</f>
        <v>9.9664562376232233</v>
      </c>
      <c r="K337" s="13">
        <f>+[13]Result!$H$52</f>
        <v>9.9571222576344596</v>
      </c>
      <c r="L337" s="13">
        <f>+[14]Result!$H$52</f>
        <v>9.4594839929070957</v>
      </c>
      <c r="M337" s="13">
        <f>+[15]Result!$H$52</f>
        <v>11.881075847328944</v>
      </c>
      <c r="N337" s="32">
        <f>+[16]Result!$H$52</f>
        <v>12.1933486257537</v>
      </c>
      <c r="O337" s="13">
        <f>+[17]Result!$H$52</f>
        <v>12.964080805824526</v>
      </c>
      <c r="P337" s="13">
        <f>+[18]Result!$H$52</f>
        <v>24.624985768989497</v>
      </c>
      <c r="Q337" s="32">
        <f>+[19]Result!$H$52</f>
        <v>24.418492796989874</v>
      </c>
      <c r="R337" s="32">
        <f>+[20]Result!$H$52</f>
        <v>24.412768203558002</v>
      </c>
      <c r="S337" s="70">
        <f>+[22]Result!$H$52</f>
        <v>24.943893199646617</v>
      </c>
    </row>
    <row r="338" spans="1:37" hidden="1" outlineLevel="2" x14ac:dyDescent="0.25">
      <c r="A338" s="16" t="s">
        <v>55</v>
      </c>
      <c r="B338" s="13">
        <f>+[1]Result!$H$53</f>
        <v>4.1621593816993459</v>
      </c>
      <c r="C338" s="13">
        <f>+[5]Result!$H$53</f>
        <v>4.32502247283269</v>
      </c>
      <c r="D338" s="32">
        <f>+[6]Result!$H$53</f>
        <v>3.8289992392438235</v>
      </c>
      <c r="E338" s="13">
        <f>+[7]Result!$H$53</f>
        <v>3.9577318158470902</v>
      </c>
      <c r="F338" s="13">
        <f>+[8]Result!$H$53</f>
        <v>3.7924888626105915</v>
      </c>
      <c r="G338" s="32">
        <f>+[9]Result!$H$53</f>
        <v>3.8889710542435347</v>
      </c>
      <c r="H338" s="13">
        <f>+[10]Result!$H$53</f>
        <v>3.8107009542152266</v>
      </c>
      <c r="I338" s="13">
        <f>+[11]Result!$H$53</f>
        <v>3.7135625946439292</v>
      </c>
      <c r="J338" s="32">
        <f>+[12]Result!$H$53</f>
        <v>3.380183237604566</v>
      </c>
      <c r="K338" s="13">
        <f>+[13]Result!$H$53</f>
        <v>3.3769524329095697</v>
      </c>
      <c r="L338" s="13">
        <f>+[14]Result!$H$53</f>
        <v>3.2078539427956256</v>
      </c>
      <c r="M338" s="13">
        <f>+[15]Result!$H$53</f>
        <v>0.3573749130031717</v>
      </c>
      <c r="N338" s="32">
        <f>+[16]Result!$H$53</f>
        <v>0.36670146915914881</v>
      </c>
      <c r="O338" s="13">
        <f>+[17]Result!$H$53</f>
        <v>0.39000041203471569</v>
      </c>
      <c r="P338" s="13">
        <f>+[18]Result!$H$53</f>
        <v>5.0619364563093825</v>
      </c>
      <c r="Q338" s="32">
        <f>+[19]Result!$H$53</f>
        <v>5.0198191147325542</v>
      </c>
      <c r="R338" s="32">
        <f>+[20]Result!$H$53</f>
        <v>5.0174230929231936</v>
      </c>
      <c r="S338" s="70">
        <f>+[22]Result!$H$53</f>
        <v>5.1264029692057722</v>
      </c>
    </row>
    <row r="339" spans="1:37" hidden="1" outlineLevel="2" x14ac:dyDescent="0.25">
      <c r="A339" s="16" t="s">
        <v>56</v>
      </c>
      <c r="B339" s="13">
        <f>+[1]Result!$H$54</f>
        <v>1.0951755724599892</v>
      </c>
      <c r="C339" s="13">
        <f>+[5]Result!$H$54</f>
        <v>1.1380720622133182</v>
      </c>
      <c r="D339" s="32">
        <f>+[6]Result!$H$54</f>
        <v>0.94043473605268035</v>
      </c>
      <c r="E339" s="13">
        <f>+[7]Result!$H$54</f>
        <v>0.97174907811630806</v>
      </c>
      <c r="F339" s="13">
        <f>+[8]Result!$H$54</f>
        <v>0.93128785022031857</v>
      </c>
      <c r="G339" s="32">
        <f>+[9]Result!$H$54</f>
        <v>1.0068090593369776</v>
      </c>
      <c r="H339" s="13">
        <f>+[10]Result!$H$54</f>
        <v>0.98662295413950485</v>
      </c>
      <c r="I339" s="13">
        <f>+[11]Result!$H$54</f>
        <v>0.96144216593022902</v>
      </c>
      <c r="J339" s="32">
        <f>+[12]Result!$H$54</f>
        <v>0.86714286458888323</v>
      </c>
      <c r="K339" s="13">
        <f>+[13]Result!$H$54</f>
        <v>0.86629733403709408</v>
      </c>
      <c r="L339" s="13">
        <f>+[14]Result!$H$54</f>
        <v>0.82266718202653033</v>
      </c>
      <c r="M339" s="13">
        <f>+[15]Result!$H$54</f>
        <v>-7.3106443538134558E-4</v>
      </c>
      <c r="N339" s="32">
        <f>+[16]Result!$H$54</f>
        <v>-7.4998646657693725E-4</v>
      </c>
      <c r="O339" s="13">
        <f>+[17]Result!$H$54</f>
        <v>-7.9785282842965381E-4</v>
      </c>
      <c r="P339" s="13">
        <f>+[18]Result!$H$54</f>
        <v>-7.7584542425020598E-4</v>
      </c>
      <c r="Q339" s="32">
        <f>+[19]Result!$H$54</f>
        <v>-7.6944728919154108E-4</v>
      </c>
      <c r="R339" s="32">
        <f>+[20]Result!$H$54</f>
        <v>-7.6907260841626852E-4</v>
      </c>
      <c r="S339" s="70">
        <f>+[22]Result!$H$54</f>
        <v>-7.8573593978587984E-4</v>
      </c>
    </row>
    <row r="340" spans="1:37" collapsed="1" x14ac:dyDescent="0.25">
      <c r="A340" s="12" t="s">
        <v>62</v>
      </c>
      <c r="B340" s="13" cm="1">
        <f t="array" ref="B340">+[1]!DELTA1PERC</f>
        <v>-265032.76380415505</v>
      </c>
      <c r="C340" s="13" cm="1">
        <f t="array" ref="C340">+[5]!DELTA1PERC</f>
        <v>-267276.14800729218</v>
      </c>
      <c r="D340" s="32" cm="1">
        <f t="array" ref="D340">+[6]!DELTA1PERC</f>
        <v>-259754.72190271452</v>
      </c>
      <c r="E340" s="13" cm="1">
        <f t="array" ref="E340">+[7]!DELTA1PERC</f>
        <v>-264663.42950019619</v>
      </c>
      <c r="F340" s="13" cm="1">
        <f t="array" ref="F340">+[8]!DELTA1PERC</f>
        <v>-262598.27534711722</v>
      </c>
      <c r="G340" s="32" cm="1">
        <f t="array" ref="G340">+[9]!DELTA1PERC</f>
        <v>-259830.97519437835</v>
      </c>
      <c r="H340" s="13" cm="1">
        <f t="array" ref="H340">+[10]!DELTA1PERC</f>
        <v>-258099.13559649407</v>
      </c>
      <c r="I340" s="13" cm="1">
        <f t="array" ref="I340">+[11]!DELTA1PERC</f>
        <v>-257908.29129251678</v>
      </c>
      <c r="J340" s="32" cm="1">
        <f t="array" ref="J340">+[12]!DELTA1PERC</f>
        <v>-263106.75999635109</v>
      </c>
      <c r="K340" s="13" cm="1">
        <f t="array" ref="K340">+[13]!DELTA1PERC</f>
        <v>-263706.79008734855</v>
      </c>
      <c r="L340" s="13" cm="1">
        <f t="array" ref="L340">+[14]!DELTA1PERC</f>
        <v>-261145.66163963135</v>
      </c>
      <c r="M340" s="32" cm="1">
        <f t="array" ref="M340">+[15]!DELTA1PERC</f>
        <v>-215672.89341494438</v>
      </c>
      <c r="N340" s="13" cm="1">
        <f t="array" ref="N340">+[16]!DELTA1PERC</f>
        <v>-216633.52366354264</v>
      </c>
      <c r="O340" s="13" cm="1">
        <f t="array" ref="O340">+[17]!DELTA1PERC</f>
        <v>-219579.83971134364</v>
      </c>
      <c r="P340" s="32" cm="1">
        <f t="array" ref="P340">+[18]!DELTA1PERC</f>
        <v>-230971.5185437015</v>
      </c>
      <c r="Q340" s="13" cm="1">
        <f t="array" ref="Q340">+[19]!DELTA1PERC</f>
        <v>-230622.24525733554</v>
      </c>
      <c r="R340" s="13" cm="1">
        <f t="array" ref="R340">+[20]!DELTA1PERC</f>
        <v>-231893.05226856651</v>
      </c>
      <c r="S340" s="70" cm="1">
        <f t="array" ref="S340">+[22]!DELTA1PERC</f>
        <v>-232857.52145026793</v>
      </c>
      <c r="T340" s="13">
        <f>+SUM(B341:B345)-B340</f>
        <v>0</v>
      </c>
      <c r="U340" s="13">
        <f t="shared" ref="U340:W340" si="252">+SUM(C341:C345)-C340</f>
        <v>0</v>
      </c>
      <c r="V340" s="13">
        <f t="shared" si="252"/>
        <v>0</v>
      </c>
      <c r="W340" s="13">
        <f t="shared" si="252"/>
        <v>0</v>
      </c>
      <c r="X340" s="13">
        <f t="shared" ref="X340" si="253">+SUM(F341:F345)-F340</f>
        <v>0</v>
      </c>
      <c r="Y340" s="13">
        <f t="shared" ref="Y340:AE340" si="254">+SUM(G341:G345)-G340</f>
        <v>0</v>
      </c>
      <c r="Z340" s="13">
        <f t="shared" si="254"/>
        <v>0</v>
      </c>
      <c r="AA340" s="13">
        <f t="shared" si="254"/>
        <v>0</v>
      </c>
      <c r="AB340" s="13">
        <f t="shared" si="254"/>
        <v>0</v>
      </c>
      <c r="AC340" s="13">
        <f t="shared" si="254"/>
        <v>0</v>
      </c>
      <c r="AD340" s="13">
        <f t="shared" si="254"/>
        <v>0</v>
      </c>
      <c r="AE340" s="13">
        <f t="shared" si="254"/>
        <v>0</v>
      </c>
      <c r="AF340" s="13">
        <f t="shared" ref="AF340" si="255">+SUM(N341:N345)-N340</f>
        <v>0</v>
      </c>
      <c r="AG340" s="13">
        <f t="shared" ref="AG340:AH340" si="256">+SUM(O341:O345)-O340</f>
        <v>0</v>
      </c>
      <c r="AH340" s="13">
        <f t="shared" si="256"/>
        <v>0</v>
      </c>
      <c r="AI340" s="13">
        <f t="shared" ref="AI340" si="257">+SUM(Q341:Q345)-Q340</f>
        <v>0</v>
      </c>
      <c r="AJ340" s="13">
        <f t="shared" ref="AJ340:AK340" si="258">+SUM(R341:R345)-R340</f>
        <v>0</v>
      </c>
      <c r="AK340" s="13">
        <f t="shared" si="258"/>
        <v>0</v>
      </c>
    </row>
    <row r="341" spans="1:37" hidden="1" outlineLevel="1" x14ac:dyDescent="0.25">
      <c r="A341" s="15" t="s">
        <v>2</v>
      </c>
      <c r="B341" s="13" cm="1">
        <f t="array" ref="B341">+[1]!DV01_1_5</f>
        <v>-114853.78374200441</v>
      </c>
      <c r="C341" s="13" cm="1">
        <f t="array" ref="C341">+[5]!DV01_1_5</f>
        <v>-115330.41091961565</v>
      </c>
      <c r="D341" s="32" cm="1">
        <f t="array" ref="D341">+[6]!DV01_1_5</f>
        <v>-121328.45494246425</v>
      </c>
      <c r="E341" s="13" cm="1">
        <f t="array" ref="E341">+[7]!DV01_1_5</f>
        <v>-122431.29569334075</v>
      </c>
      <c r="F341" s="13" cm="1">
        <f t="array" ref="F341">+[8]!DV01_1_5</f>
        <v>-122217.69178463142</v>
      </c>
      <c r="G341" s="32" cm="1">
        <f t="array" ref="G341">+[9]!DV01_1_5</f>
        <v>-121010.27987877329</v>
      </c>
      <c r="H341" s="13" cm="1">
        <f t="array" ref="H341">+[10]!DV01_1_5</f>
        <v>-120652.72129249778</v>
      </c>
      <c r="I341" s="13" cm="1">
        <f t="array" ref="I341">+[11]!DV01_1_5</f>
        <v>-120819.32005241723</v>
      </c>
      <c r="J341" s="32" cm="1">
        <f t="array" ref="J341">+[12]!DV01_1_5</f>
        <v>-124363.15204169319</v>
      </c>
      <c r="K341" s="13" cm="1">
        <f t="array" ref="K341">+[13]!DV01_1_5</f>
        <v>-124499.23092760614</v>
      </c>
      <c r="L341" s="13" cm="1">
        <f t="array" ref="L341">+[14]!DV01_1_5</f>
        <v>-124299.92806970765</v>
      </c>
      <c r="M341" s="32" cm="1">
        <f t="array" ref="M341">+[15]!DV01_1_5</f>
        <v>-112288.70832456533</v>
      </c>
      <c r="N341" s="13" cm="1">
        <f t="array" ref="N341">+[16]!DV01_1_5</f>
        <v>-112441.818649831</v>
      </c>
      <c r="O341" s="13" cm="1">
        <f t="array" ref="O341">+[17]!DV01_1_5</f>
        <v>-112817.5662980809</v>
      </c>
      <c r="P341" s="13" cm="1">
        <f t="array" ref="P341">+[18]!DV01_1_5</f>
        <v>-122127.08228927435</v>
      </c>
      <c r="Q341" s="13" cm="1">
        <f t="array" ref="Q341">+[19]!DV01_1_5</f>
        <v>-122044.4144587756</v>
      </c>
      <c r="R341" s="13" cm="1">
        <f t="array" ref="R341">+[20]!DV01_1_5</f>
        <v>-122465.37720491539</v>
      </c>
      <c r="S341" s="70" cm="1">
        <f t="array" ref="S341">+[22]!DV01_1_5</f>
        <v>-122537.2542181554</v>
      </c>
    </row>
    <row r="342" spans="1:37" hidden="1" outlineLevel="1" x14ac:dyDescent="0.25">
      <c r="A342" s="15" t="s">
        <v>8</v>
      </c>
      <c r="B342" s="13" cm="1">
        <f t="array" ref="B342">+[1]!DV01_6_10</f>
        <v>-69626.009493683057</v>
      </c>
      <c r="C342" s="13" cm="1">
        <f t="array" ref="C342">+[5]!DV01_6_10</f>
        <v>-70253.500062941457</v>
      </c>
      <c r="D342" s="32" cm="1">
        <f t="array" ref="D342">+[6]!DV01_6_10</f>
        <v>-66851.79049853317</v>
      </c>
      <c r="E342" s="13" cm="1">
        <f t="array" ref="E342">+[7]!DV01_6_10</f>
        <v>-68269.683287668144</v>
      </c>
      <c r="F342" s="13" cm="1">
        <f t="array" ref="F342">+[8]!DV01_6_10</f>
        <v>-67868.659169573773</v>
      </c>
      <c r="G342" s="32" cm="1">
        <f t="array" ref="G342">+[9]!DV01_6_10</f>
        <v>-67862.211269007545</v>
      </c>
      <c r="H342" s="13" cm="1">
        <f t="array" ref="H342">+[10]!DV01_6_10</f>
        <v>-67408.743843574717</v>
      </c>
      <c r="I342" s="13" cm="1">
        <f t="array" ref="I342">+[11]!DV01_6_10</f>
        <v>-67570.089066686851</v>
      </c>
      <c r="J342" s="32" cm="1">
        <f t="array" ref="J342">+[12]!DV01_6_10</f>
        <v>-67615.54874568386</v>
      </c>
      <c r="K342" s="13" cm="1">
        <f t="array" ref="K342">+[13]!DV01_6_10</f>
        <v>-67861.13755013996</v>
      </c>
      <c r="L342" s="13" cm="1">
        <f t="array" ref="L342">+[14]!DV01_6_10</f>
        <v>-67314.304875595786</v>
      </c>
      <c r="M342" s="32" cm="1">
        <f t="array" ref="M342">+[15]!DV01_6_10</f>
        <v>-52366.605398948363</v>
      </c>
      <c r="N342" s="13" cm="1">
        <f t="array" ref="N342">+[16]!DV01_6_10</f>
        <v>-52625.170956097601</v>
      </c>
      <c r="O342" s="13" cm="1">
        <f t="array" ref="O342">+[17]!DV01_6_10</f>
        <v>-53415.796243479504</v>
      </c>
      <c r="P342" s="13" cm="1">
        <f t="array" ref="P342">+[18]!DV01_6_10</f>
        <v>-55149.356301422871</v>
      </c>
      <c r="Q342" s="13" cm="1">
        <f t="array" ref="Q342">+[19]!DV01_6_10</f>
        <v>-55131.471817210644</v>
      </c>
      <c r="R342" s="13" cm="1">
        <f t="array" ref="R342">+[20]!DV01_6_10</f>
        <v>-55589.993672739365</v>
      </c>
      <c r="S342" s="70" cm="1">
        <f t="array" ref="S342">+[22]!DV01_6_10</f>
        <v>-55819.746093925132</v>
      </c>
    </row>
    <row r="343" spans="1:37" hidden="1" outlineLevel="1" x14ac:dyDescent="0.25">
      <c r="A343" s="15" t="s">
        <v>14</v>
      </c>
      <c r="B343" s="13" cm="1">
        <f t="array" ref="B343">+[1]!DV01_11_20</f>
        <v>-61627.092688356184</v>
      </c>
      <c r="C343" s="13" cm="1">
        <f t="array" ref="C343">+[5]!DV01_11_20</f>
        <v>-62307.384591273934</v>
      </c>
      <c r="D343" s="32" cm="1">
        <f t="array" ref="D343">+[6]!DV01_11_20</f>
        <v>-54395.574619738749</v>
      </c>
      <c r="E343" s="13" cm="1">
        <f t="array" ref="E343">+[7]!DV01_11_20</f>
        <v>-56129.750198825823</v>
      </c>
      <c r="F343" s="13" cm="1">
        <f t="array" ref="F343">+[8]!DV01_11_20</f>
        <v>-55281.004895292222</v>
      </c>
      <c r="G343" s="32" cm="1">
        <f t="array" ref="G343">+[9]!DV01_11_20</f>
        <v>-54295.714918078229</v>
      </c>
      <c r="H343" s="13" cm="1">
        <f t="array" ref="H343">+[10]!DV01_11_20</f>
        <v>-53681.165252472696</v>
      </c>
      <c r="I343" s="13" cm="1">
        <f t="array" ref="I343">+[11]!DV01_11_20</f>
        <v>-53453.394404204228</v>
      </c>
      <c r="J343" s="32" cm="1">
        <f t="array" ref="J343">+[12]!DV01_11_20</f>
        <v>-54000.997430571842</v>
      </c>
      <c r="K343" s="13" cm="1">
        <f t="array" ref="K343">+[13]!DV01_11_20</f>
        <v>-54204.056643210206</v>
      </c>
      <c r="L343" s="13" cm="1">
        <f t="array" ref="L343">+[14]!DV01_11_20</f>
        <v>-53070.360994201161</v>
      </c>
      <c r="M343" s="32" cm="1">
        <f t="array" ref="M343">+[15]!DV01_11_20</f>
        <v>-39581.718293792364</v>
      </c>
      <c r="N343" s="13" cm="1">
        <f t="array" ref="N343">+[16]!DV01_11_20</f>
        <v>-39938.881492619163</v>
      </c>
      <c r="O343" s="13" cm="1">
        <f t="array" ref="O343">+[17]!DV01_11_20</f>
        <v>-41173.984182876171</v>
      </c>
      <c r="P343" s="13" cm="1">
        <f t="array" ref="P343">+[18]!DV01_11_20</f>
        <v>-41185.370020234608</v>
      </c>
      <c r="Q343" s="13" cm="1">
        <f t="array" ref="Q343">+[19]!DV01_11_20</f>
        <v>-41039.248252516009</v>
      </c>
      <c r="R343" s="13" cm="1">
        <f t="array" ref="R343">+[20]!DV01_11_20</f>
        <v>-41393.642251204546</v>
      </c>
      <c r="S343" s="70" cm="1">
        <f t="array" ref="S343">+[22]!DV01_11_20</f>
        <v>-41844.894853747523</v>
      </c>
    </row>
    <row r="344" spans="1:37" hidden="1" outlineLevel="1" x14ac:dyDescent="0.25">
      <c r="A344" s="15" t="s">
        <v>25</v>
      </c>
      <c r="B344" s="13" cm="1">
        <f t="array" ref="B344">+[1]!DV01_21_30</f>
        <v>-17558.256878699991</v>
      </c>
      <c r="C344" s="13" cm="1">
        <f t="array" ref="C344">+[5]!DV01_21_30</f>
        <v>-17967.615750039258</v>
      </c>
      <c r="D344" s="32" cm="1">
        <f t="array" ref="D344">+[6]!DV01_21_30</f>
        <v>-15842.806445676726</v>
      </c>
      <c r="E344" s="13" cm="1">
        <f t="array" ref="E344">+[7]!DV01_21_30</f>
        <v>-16450.314000970026</v>
      </c>
      <c r="F344" s="13" cm="1">
        <f t="array" ref="F344">+[8]!DV01_21_30</f>
        <v>-15904.033237854923</v>
      </c>
      <c r="G344" s="32" cm="1">
        <f t="array" ref="G344">+[9]!DV01_21_30</f>
        <v>-15321.763155946701</v>
      </c>
      <c r="H344" s="13" cm="1">
        <f t="array" ref="H344">+[10]!DV01_21_30</f>
        <v>-15042.148230914587</v>
      </c>
      <c r="I344" s="13" cm="1">
        <f t="array" ref="I344">+[11]!DV01_21_30</f>
        <v>-14781.807656239647</v>
      </c>
      <c r="J344" s="32" cm="1">
        <f t="array" ref="J344">+[12]!DV01_21_30</f>
        <v>-15785.576646525224</v>
      </c>
      <c r="K344" s="13" cm="1">
        <f t="array" ref="K344">+[13]!DV01_21_30</f>
        <v>-15801.337721581334</v>
      </c>
      <c r="L344" s="13" cm="1">
        <f t="array" ref="L344">+[14]!DV01_21_30</f>
        <v>-15182.719865522526</v>
      </c>
      <c r="M344" s="32" cm="1">
        <f t="array" ref="M344">+[15]!DV01_21_30</f>
        <v>-10855.756813422782</v>
      </c>
      <c r="N344" s="13" cm="1">
        <f t="array" ref="N344">+[16]!DV01_21_30</f>
        <v>-11034.327518713921</v>
      </c>
      <c r="O344" s="13" cm="1">
        <f t="array" ref="O344">+[17]!DV01_21_30</f>
        <v>-11545.94855887013</v>
      </c>
      <c r="P344" s="13" cm="1">
        <f t="array" ref="P344">+[18]!DV01_21_30</f>
        <v>-11661.229139538702</v>
      </c>
      <c r="Q344" s="13" cm="1">
        <f t="array" ref="Q344">+[19]!DV01_21_30</f>
        <v>-11565.651699186727</v>
      </c>
      <c r="R344" s="13" cm="1">
        <f t="array" ref="R344">+[20]!DV01_21_30</f>
        <v>-11602.005789938878</v>
      </c>
      <c r="S344" s="70" cm="1">
        <f t="array" ref="S344">+[22]!DV01_21_30</f>
        <v>-11796.441319921536</v>
      </c>
    </row>
    <row r="345" spans="1:37" hidden="1" outlineLevel="1" x14ac:dyDescent="0.25">
      <c r="A345" s="15" t="s">
        <v>36</v>
      </c>
      <c r="B345" s="13" cm="1">
        <f t="array" ref="B345">+[1]!DV01_31_50</f>
        <v>-1367.6210014114072</v>
      </c>
      <c r="C345" s="13" cm="1">
        <f t="array" ref="C345">+[5]!DV01_31_50</f>
        <v>-1417.2366834219506</v>
      </c>
      <c r="D345" s="32" cm="1">
        <f t="array" ref="D345">+[6]!DV01_31_50</f>
        <v>-1336.0953963016243</v>
      </c>
      <c r="E345" s="13" cm="1">
        <f t="array" ref="E345">+[7]!DV01_31_50</f>
        <v>-1382.3863193914528</v>
      </c>
      <c r="F345" s="13" cm="1">
        <f t="array" ref="F345">+[8]!DV01_31_50</f>
        <v>-1326.8862597649036</v>
      </c>
      <c r="G345" s="32" cm="1">
        <f t="array" ref="G345">+[9]!DV01_31_50</f>
        <v>-1341.0059725725832</v>
      </c>
      <c r="H345" s="13" cm="1">
        <f t="array" ref="H345">+[10]!DV01_31_50</f>
        <v>-1314.356977034322</v>
      </c>
      <c r="I345" s="13" cm="1">
        <f t="array" ref="I345">+[11]!DV01_31_50</f>
        <v>-1283.6801129687904</v>
      </c>
      <c r="J345" s="32" cm="1">
        <f t="array" ref="J345">+[12]!DV01_31_50</f>
        <v>-1341.4851318769634</v>
      </c>
      <c r="K345" s="13" cm="1">
        <f t="array" ref="K345">+[13]!DV01_31_50</f>
        <v>-1341.0272448108374</v>
      </c>
      <c r="L345" s="13" cm="1">
        <f t="array" ref="L345">+[14]!DV01_31_50</f>
        <v>-1278.3478346042641</v>
      </c>
      <c r="M345" s="32" cm="1">
        <f t="array" ref="M345">+[15]!DV01_31_50</f>
        <v>-580.10458421554097</v>
      </c>
      <c r="N345" s="13" cm="1">
        <f t="array" ref="N345">+[16]!DV01_31_50</f>
        <v>-593.32504628091885</v>
      </c>
      <c r="O345" s="13" cm="1">
        <f t="array" ref="O345">+[17]!DV01_31_50</f>
        <v>-626.54442803690881</v>
      </c>
      <c r="P345" s="13" cm="1">
        <f t="array" ref="P345">+[18]!DV01_31_50</f>
        <v>-848.48079323099557</v>
      </c>
      <c r="Q345" s="13" cm="1">
        <f t="array" ref="Q345">+[19]!DV01_31_50</f>
        <v>-841.45902964654124</v>
      </c>
      <c r="R345" s="13" cm="1">
        <f t="array" ref="R345">+[20]!DV01_31_50</f>
        <v>-842.0333497683273</v>
      </c>
      <c r="S345" s="70" cm="1">
        <f t="array" ref="S345">+[22]!DV01_31_50</f>
        <v>-859.18496451838791</v>
      </c>
    </row>
    <row r="346" spans="1:37" ht="14.25" collapsed="1" thickBot="1" x14ac:dyDescent="0.3">
      <c r="A346" s="17" t="s">
        <v>63</v>
      </c>
      <c r="B346" s="18" cm="1">
        <f t="array" ref="B346">+[1]!DURATION</f>
        <v>2.7631233276737537</v>
      </c>
      <c r="C346" s="18" cm="1">
        <f t="array" ref="C346">+[5]!DURATION</f>
        <v>2.7753077540930295</v>
      </c>
      <c r="D346" s="31" cm="1">
        <f t="array" ref="D346">+[6]!DURATION</f>
        <v>2.6214552953640671</v>
      </c>
      <c r="E346" s="18" cm="1">
        <f t="array" ref="E346">+[7]!DURATION</f>
        <v>2.6473572386580559</v>
      </c>
      <c r="F346" s="18" cm="1">
        <f t="array" ref="F346">+[8]!DURATION</f>
        <v>2.6332351865040566</v>
      </c>
      <c r="G346" s="31" cm="1">
        <f t="array" ref="G346">+[9]!DURATION</f>
        <v>2.694947099391463</v>
      </c>
      <c r="H346" s="18" cm="1">
        <f t="array" ref="H346">+[10]!DURATION</f>
        <v>2.6849560816031026</v>
      </c>
      <c r="I346" s="18" cm="1">
        <f t="array" ref="I346">+[11]!DURATION</f>
        <v>2.6814297491280494</v>
      </c>
      <c r="J346" s="31" cm="1">
        <f t="array" ref="J346">+[12]!DURATION</f>
        <v>2.7314885683699024</v>
      </c>
      <c r="K346" s="18" cm="1">
        <f t="array" ref="K346">+[13]!DURATION</f>
        <v>2.7347200632056343</v>
      </c>
      <c r="L346" s="18" cm="1">
        <f t="array" ref="L346">+[14]!DURATION</f>
        <v>2.7163299489247752</v>
      </c>
      <c r="M346" s="31" cm="1">
        <f t="array" ref="M346">+[15]!DURATION</f>
        <v>2.5013372763392465</v>
      </c>
      <c r="N346" s="18" cm="1">
        <f t="array" ref="N346">+[16]!DURATION</f>
        <v>2.5084281410794032</v>
      </c>
      <c r="O346" s="18" cm="1">
        <f t="array" ref="O346">+[17]!DURATION</f>
        <v>2.5307302572328965</v>
      </c>
      <c r="P346" s="31" cm="1">
        <f t="array" ref="P346">+[18]!DURATION</f>
        <v>2.4086365353934549</v>
      </c>
      <c r="Q346" s="18" cm="1">
        <f t="array" ref="Q346">+[19]!DURATION</f>
        <v>2.40685479791685</v>
      </c>
      <c r="R346" s="18" cm="1">
        <f t="array" ref="R346">+[20]!DURATION</f>
        <v>2.4127878714670352</v>
      </c>
      <c r="S346" s="68" cm="1">
        <f t="array" ref="S346">+[22]!DURATION</f>
        <v>2.4198950521970328</v>
      </c>
    </row>
    <row r="347" spans="1:37" ht="14.25" thickBot="1" x14ac:dyDescent="0.3"/>
    <row r="348" spans="1:37" ht="15.75" customHeight="1" thickBot="1" x14ac:dyDescent="0.3">
      <c r="A348" s="78" t="s">
        <v>64</v>
      </c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80"/>
      <c r="S348" s="77"/>
    </row>
    <row r="349" spans="1:37" x14ac:dyDescent="0.25">
      <c r="A349" s="49"/>
      <c r="B349" s="19" t="s">
        <v>97</v>
      </c>
      <c r="C349" s="19" t="s">
        <v>109</v>
      </c>
      <c r="D349" s="20" t="s">
        <v>110</v>
      </c>
      <c r="E349" s="19" t="s">
        <v>111</v>
      </c>
      <c r="F349" s="19" t="s">
        <v>112</v>
      </c>
      <c r="G349" s="20" t="s">
        <v>113</v>
      </c>
      <c r="H349" s="19" t="s">
        <v>114</v>
      </c>
      <c r="I349" s="19" t="s">
        <v>115</v>
      </c>
      <c r="J349" s="20" t="s">
        <v>116</v>
      </c>
      <c r="K349" s="21" t="s">
        <v>117</v>
      </c>
      <c r="L349" s="19" t="s">
        <v>118</v>
      </c>
      <c r="M349" s="20" t="s">
        <v>119</v>
      </c>
      <c r="N349" s="19" t="s">
        <v>122</v>
      </c>
      <c r="O349" s="19" t="s">
        <v>127</v>
      </c>
      <c r="P349" s="19" t="s">
        <v>130</v>
      </c>
      <c r="Q349" s="19" t="s">
        <v>135</v>
      </c>
      <c r="R349" s="19" t="s">
        <v>138</v>
      </c>
      <c r="S349" s="71" t="s">
        <v>141</v>
      </c>
    </row>
    <row r="350" spans="1:37" x14ac:dyDescent="0.25">
      <c r="A350" s="12" t="s">
        <v>88</v>
      </c>
      <c r="B350" s="13">
        <f>+SUM([1]Pricing_BEL!$L$5:$L$54)-SUM([21]Pricing_BEL!$L$5:$L$54)</f>
        <v>0</v>
      </c>
      <c r="C350" s="13">
        <f>+SUM([5]Pricing_BEL!$L$5:$L$54)-SUM([1]Pricing_BEL!$L$5:$L$54)</f>
        <v>0</v>
      </c>
      <c r="D350" s="32">
        <f>+SUM([6]Pricing_BEL!$L$5:$L$54)-SUM([5]Pricing_BEL!$L$5:$L$54)</f>
        <v>-35647752.818717957</v>
      </c>
      <c r="E350" s="13">
        <f>+SUM([7]Pricing_BEL!$L$5:$L$54)-SUM([6]Pricing_BEL!$L$5:$L$54)</f>
        <v>0</v>
      </c>
      <c r="F350" s="13">
        <f>+SUM([8]Pricing_BEL!$L$5:$L$54)-SUM([7]Pricing_BEL!$L$5:$L$54)</f>
        <v>0</v>
      </c>
      <c r="G350" s="32">
        <f>+SUM([9]Pricing_BEL!$L$5:$L$54)-SUM([8]Pricing_BEL!$L$5:$L$54)</f>
        <v>30793870.04016912</v>
      </c>
      <c r="H350" s="13">
        <f>+SUM([10]Pricing_BEL!$L$5:$L$54)-SUM([9]Pricing_BEL!$L$5:$L$54)</f>
        <v>0</v>
      </c>
      <c r="I350" s="13">
        <f>+SUM([11]Pricing_BEL!$L$5:$L$54)-SUM([10]Pricing_BEL!$L$5:$L$54)</f>
        <v>0</v>
      </c>
      <c r="J350" s="32">
        <f>+SUM([12]Pricing_BEL!$L$5:$L$54)-SUM([11]Pricing_BEL!$L$5:$L$54)</f>
        <v>-4501156.3884005547</v>
      </c>
      <c r="K350" s="13">
        <f>+SUM([13]Pricing_BEL!$L$5:$L$54)-SUM([12]Pricing_BEL!$L$5:$L$54)</f>
        <v>0</v>
      </c>
      <c r="L350" s="13">
        <f>+SUM([14]Pricing_BEL!$L$5:$L$54)-SUM([13]Pricing_BEL!$L$5:$L$54)</f>
        <v>0</v>
      </c>
      <c r="M350" s="32">
        <f>+SUM([15]Pricing_BEL!$L$5:$L$54)-SUM([14]Pricing_BEL!$L$5:$L$54)</f>
        <v>110829250.13889837</v>
      </c>
      <c r="N350" s="13">
        <f>+SUM([16]Pricing_BEL!$L$5:$L$54)-SUM([15]Pricing_BEL!$L$5:$L$54)</f>
        <v>0</v>
      </c>
      <c r="O350" s="13">
        <f>+SUM([17]Pricing_BEL!$L$5:$L$54)-SUM([16]Pricing_BEL!$L$5:$L$54)</f>
        <v>0</v>
      </c>
      <c r="P350" s="32">
        <f>+SUM([18]Pricing_BEL!$L$5:$L$54)-SUM([17]Pricing_BEL!$L$5:$L$54)</f>
        <v>-112798794.36717176</v>
      </c>
      <c r="Q350" s="13">
        <f>+SUM([19]Pricing_BEL!$L$5:$L$54)-SUM([18]Pricing_BEL!$L$5:$L$54)</f>
        <v>0</v>
      </c>
      <c r="R350" s="13">
        <f>+SUM([20]Pricing_BEL!$L$5:$L$54)-SUM([19]Pricing_BEL!$L$5:$L$54)</f>
        <v>0</v>
      </c>
      <c r="S350" s="70">
        <f>+SUM([22]Pricing_BEL!$L$5:$L$54)-SUM([20]Pricing_BEL!$L$5:$L$54)</f>
        <v>0</v>
      </c>
      <c r="T350" s="13">
        <f>+B350-(B351+B357+B363+B374+B385)</f>
        <v>0</v>
      </c>
      <c r="U350" s="13">
        <f t="shared" ref="U350:W350" si="259">+C350-(C351+C357+C363+C374+C385)</f>
        <v>0</v>
      </c>
      <c r="V350" s="13">
        <f t="shared" si="259"/>
        <v>-1.7136335372924805E-7</v>
      </c>
      <c r="W350" s="13">
        <f t="shared" si="259"/>
        <v>0</v>
      </c>
      <c r="X350" s="13">
        <f t="shared" ref="X350" si="260">+F350-(F351+F357+F363+F374+F385)</f>
        <v>0</v>
      </c>
      <c r="Y350" s="13">
        <f t="shared" ref="Y350:AE350" si="261">+G350-(G351+G357+G363+G374+G385)</f>
        <v>-2.8312206268310547E-7</v>
      </c>
      <c r="Z350" s="13">
        <f t="shared" si="261"/>
        <v>0</v>
      </c>
      <c r="AA350" s="13">
        <f t="shared" si="261"/>
        <v>0</v>
      </c>
      <c r="AB350" s="13">
        <f t="shared" si="261"/>
        <v>-6.0535967350006104E-8</v>
      </c>
      <c r="AC350" s="13">
        <f t="shared" si="261"/>
        <v>0</v>
      </c>
      <c r="AD350" s="13">
        <f t="shared" si="261"/>
        <v>0</v>
      </c>
      <c r="AE350" s="13">
        <f t="shared" si="261"/>
        <v>4.4703483581542969E-7</v>
      </c>
      <c r="AF350" s="13">
        <f t="shared" ref="AF350" si="262">+N350-(N351+N357+N363+N374+N385)</f>
        <v>0</v>
      </c>
      <c r="AG350" s="13">
        <f t="shared" ref="AG350:AH350" si="263">+O350-(O351+O357+O363+O374+O385)</f>
        <v>0</v>
      </c>
      <c r="AH350" s="13">
        <f t="shared" si="263"/>
        <v>0</v>
      </c>
      <c r="AI350" s="73">
        <f t="shared" ref="AI350" si="264">+Q350-(Q351+Q357+Q363+Q374+Q385)</f>
        <v>0</v>
      </c>
      <c r="AJ350" s="73">
        <f t="shared" ref="AJ350:AK350" si="265">+R350-(R351+R357+R363+R374+R385)</f>
        <v>0</v>
      </c>
      <c r="AK350" s="73">
        <f t="shared" si="265"/>
        <v>0</v>
      </c>
    </row>
    <row r="351" spans="1:37" hidden="1" outlineLevel="1" x14ac:dyDescent="0.25">
      <c r="A351" s="15" t="s">
        <v>2</v>
      </c>
      <c r="B351" s="13">
        <f>'[1]Stat by Mat'!$D$3-'[21]Stat by Mat'!$D$3</f>
        <v>0</v>
      </c>
      <c r="C351" s="13">
        <f>'[5]Stat by Mat'!$D$3-'[1]Stat by Mat'!$D$3</f>
        <v>0</v>
      </c>
      <c r="D351" s="32">
        <f>'[6]Stat by Mat'!$D$3-'[5]Stat by Mat'!$D$3</f>
        <v>-43694455.30928421</v>
      </c>
      <c r="E351" s="13">
        <f>'[7]Stat by Mat'!$D$3-'[6]Stat by Mat'!$D$3</f>
        <v>0</v>
      </c>
      <c r="F351" s="13">
        <f>'[8]Stat by Mat'!$D$3-'[7]Stat by Mat'!$D$3</f>
        <v>0</v>
      </c>
      <c r="G351" s="32">
        <f>'[9]Stat by Mat'!$D$3-'[8]Stat by Mat'!$D$3</f>
        <v>31591265.032512188</v>
      </c>
      <c r="H351" s="13">
        <f>'[10]Stat by Mat'!$D$3-'[9]Stat by Mat'!$D$3</f>
        <v>0</v>
      </c>
      <c r="I351" s="13">
        <f>'[11]Stat by Mat'!$D$3-'[10]Stat by Mat'!$D$3</f>
        <v>0</v>
      </c>
      <c r="J351" s="32">
        <f>'[12]Stat by Mat'!$D$3-'[11]Stat by Mat'!$D$3</f>
        <v>-2692073.1261308193</v>
      </c>
      <c r="K351" s="13">
        <f>'[13]Stat by Mat'!$D$3-'[12]Stat by Mat'!$D$3</f>
        <v>0</v>
      </c>
      <c r="L351" s="13">
        <f>'[14]Stat by Mat'!$D$3-'[13]Stat by Mat'!$D$3</f>
        <v>0</v>
      </c>
      <c r="M351" s="13">
        <f>'[15]Stat by Mat'!$D$3-'[14]Stat by Mat'!$D$3</f>
        <v>68565977.299781322</v>
      </c>
      <c r="N351" s="32">
        <f>'[16]Stat by Mat'!$D$3-'[15]Stat by Mat'!$D$3</f>
        <v>0</v>
      </c>
      <c r="O351" s="13">
        <f>'[17]Stat by Mat'!$D$3-'[16]Stat by Mat'!$D$3</f>
        <v>0</v>
      </c>
      <c r="P351" s="13">
        <f>'[18]Stat by Mat'!$D$3-'[17]Stat by Mat'!$D$3</f>
        <v>-103505194.79936874</v>
      </c>
      <c r="Q351" s="32">
        <f>'[19]Stat by Mat'!$D$3-'[18]Stat by Mat'!$D$3</f>
        <v>0</v>
      </c>
      <c r="R351" s="32">
        <f>'[20]Stat by Mat'!$D$3-'[19]Stat by Mat'!$D$3</f>
        <v>0</v>
      </c>
      <c r="S351" s="70">
        <f>'[22]Stat by Mat'!$D$3-'[20]Stat by Mat'!$D$3</f>
        <v>0</v>
      </c>
      <c r="T351" s="13">
        <f>+B351-SUM(B352:B356)</f>
        <v>0</v>
      </c>
      <c r="U351" s="13">
        <f t="shared" ref="U351:W351" si="266">+C351-SUM(C352:C356)</f>
        <v>0</v>
      </c>
      <c r="V351" s="13">
        <f t="shared" si="266"/>
        <v>0</v>
      </c>
      <c r="W351" s="13">
        <f t="shared" si="266"/>
        <v>0</v>
      </c>
      <c r="X351" s="13">
        <f t="shared" ref="X351" si="267">+F351-SUM(F352:F356)</f>
        <v>0</v>
      </c>
      <c r="Y351" s="13">
        <f t="shared" ref="Y351:AE351" si="268">+G351-SUM(G352:G356)</f>
        <v>0</v>
      </c>
      <c r="Z351" s="13">
        <f t="shared" si="268"/>
        <v>0</v>
      </c>
      <c r="AA351" s="13">
        <f t="shared" si="268"/>
        <v>0</v>
      </c>
      <c r="AB351" s="13">
        <f t="shared" si="268"/>
        <v>1.1175870895385742E-7</v>
      </c>
      <c r="AC351" s="13">
        <f t="shared" si="268"/>
        <v>0</v>
      </c>
      <c r="AD351" s="13">
        <f t="shared" si="268"/>
        <v>0</v>
      </c>
      <c r="AE351" s="13">
        <f t="shared" si="268"/>
        <v>0</v>
      </c>
      <c r="AF351" s="13">
        <f t="shared" ref="AF351" si="269">+N351-SUM(N352:N356)</f>
        <v>0</v>
      </c>
      <c r="AG351" s="13">
        <f t="shared" ref="AG351:AH351" si="270">+O351-SUM(O352:O356)</f>
        <v>0</v>
      </c>
      <c r="AH351" s="13">
        <f t="shared" si="270"/>
        <v>-1.7881393432617188E-7</v>
      </c>
      <c r="AI351" s="73">
        <f t="shared" ref="AI351" si="271">+Q351-SUM(Q352:Q356)</f>
        <v>0</v>
      </c>
      <c r="AJ351" s="73">
        <f t="shared" ref="AJ351:AK351" si="272">+R351-SUM(R352:R356)</f>
        <v>0</v>
      </c>
      <c r="AK351" s="73">
        <f t="shared" si="272"/>
        <v>0</v>
      </c>
    </row>
    <row r="352" spans="1:37" hidden="1" outlineLevel="2" x14ac:dyDescent="0.25">
      <c r="A352" s="16" t="s">
        <v>3</v>
      </c>
      <c r="B352" s="13">
        <f>+[1]Pricing_BEL!$L$5-[21]Pricing_BEL!$L$5</f>
        <v>0</v>
      </c>
      <c r="C352" s="13">
        <f>+[5]Pricing_BEL!$L$5-[1]Pricing_BEL!$L$5</f>
        <v>0</v>
      </c>
      <c r="D352" s="32">
        <f>+[6]Pricing_BEL!$L$5-[5]Pricing_BEL!$L$5</f>
        <v>-1016467.3202769756</v>
      </c>
      <c r="E352" s="13">
        <f>+[7]Pricing_BEL!$L$5-[6]Pricing_BEL!$L$5</f>
        <v>0</v>
      </c>
      <c r="F352" s="13">
        <f>+[8]Pricing_BEL!$L$5-[7]Pricing_BEL!$L$5</f>
        <v>0</v>
      </c>
      <c r="G352" s="32">
        <f>+[9]Pricing_BEL!$L$5-[8]Pricing_BEL!$L$5</f>
        <v>37564980.799788594</v>
      </c>
      <c r="H352" s="13">
        <f>+[10]Pricing_BEL!$L$5-[9]Pricing_BEL!$L$5</f>
        <v>0</v>
      </c>
      <c r="I352" s="13">
        <f>+[11]Pricing_BEL!$L$5-[10]Pricing_BEL!$L$5</f>
        <v>0</v>
      </c>
      <c r="J352" s="32">
        <f>+[12]Pricing_BEL!$L$5-[11]Pricing_BEL!$L$5</f>
        <v>19961395.620846748</v>
      </c>
      <c r="K352" s="13">
        <f>+[13]Pricing_BEL!$L$5-[12]Pricing_BEL!$L$5</f>
        <v>0</v>
      </c>
      <c r="L352" s="13">
        <f>+[14]Pricing_BEL!$L$5-[13]Pricing_BEL!$L$5</f>
        <v>0</v>
      </c>
      <c r="M352" s="13">
        <f>+[15]Pricing_BEL!$L$5-[14]Pricing_BEL!$L$5</f>
        <v>21923513.808804989</v>
      </c>
      <c r="N352" s="32">
        <f>+[16]Pricing_BEL!$L$5-[15]Pricing_BEL!$L$5</f>
        <v>0</v>
      </c>
      <c r="O352" s="13">
        <f>+[17]Pricing_BEL!$L$5-[16]Pricing_BEL!$L$5</f>
        <v>0</v>
      </c>
      <c r="P352" s="13">
        <f>+[18]Pricing_BEL!$L$5-[17]Pricing_BEL!$L$5</f>
        <v>-56845831.373141885</v>
      </c>
      <c r="Q352" s="32">
        <f>+[19]Pricing_BEL!$L$5-[18]Pricing_BEL!$L$5</f>
        <v>0</v>
      </c>
      <c r="R352" s="32">
        <f>+[20]Pricing_BEL!$L$5-[19]Pricing_BEL!$L$5</f>
        <v>0</v>
      </c>
      <c r="S352" s="70">
        <f>+[22]Pricing_BEL!$L$5-[20]Pricing_BEL!$L$5</f>
        <v>0</v>
      </c>
      <c r="AI352" s="73"/>
      <c r="AJ352" s="73"/>
      <c r="AK352" s="73"/>
    </row>
    <row r="353" spans="1:37" hidden="1" outlineLevel="2" x14ac:dyDescent="0.25">
      <c r="A353" s="16" t="s">
        <v>4</v>
      </c>
      <c r="B353" s="13">
        <f>+[1]Pricing_BEL!$L$6-[21]Pricing_BEL!$L$6</f>
        <v>0</v>
      </c>
      <c r="C353" s="13">
        <f>+[5]Pricing_BEL!$L$6-[1]Pricing_BEL!$L$6</f>
        <v>0</v>
      </c>
      <c r="D353" s="32">
        <f>+[6]Pricing_BEL!$L$6-[5]Pricing_BEL!$L$6</f>
        <v>-40444397.525750697</v>
      </c>
      <c r="E353" s="13">
        <f>+[7]Pricing_BEL!$L$6-[6]Pricing_BEL!$L$6</f>
        <v>0</v>
      </c>
      <c r="F353" s="13">
        <f>+[8]Pricing_BEL!$L$6-[7]Pricing_BEL!$L$6</f>
        <v>0</v>
      </c>
      <c r="G353" s="32">
        <f>+[9]Pricing_BEL!$L$6-[8]Pricing_BEL!$L$6</f>
        <v>-6143832.6138676405</v>
      </c>
      <c r="H353" s="13">
        <f>+[10]Pricing_BEL!$L$6-[9]Pricing_BEL!$L$6</f>
        <v>0</v>
      </c>
      <c r="I353" s="13">
        <f>+[11]Pricing_BEL!$L$6-[10]Pricing_BEL!$L$6</f>
        <v>0</v>
      </c>
      <c r="J353" s="32">
        <f>+[12]Pricing_BEL!$L$6-[11]Pricing_BEL!$L$6</f>
        <v>-9762412.2446053028</v>
      </c>
      <c r="K353" s="13">
        <f>+[13]Pricing_BEL!$L$6-[12]Pricing_BEL!$L$6</f>
        <v>0</v>
      </c>
      <c r="L353" s="13">
        <f>+[14]Pricing_BEL!$L$6-[13]Pricing_BEL!$L$6</f>
        <v>0</v>
      </c>
      <c r="M353" s="13">
        <f>+[15]Pricing_BEL!$L$6-[14]Pricing_BEL!$L$6</f>
        <v>23472327.912603736</v>
      </c>
      <c r="N353" s="32">
        <f>+[16]Pricing_BEL!$L$6-[15]Pricing_BEL!$L$6</f>
        <v>0</v>
      </c>
      <c r="O353" s="13">
        <f>+[17]Pricing_BEL!$L$6-[16]Pricing_BEL!$L$6</f>
        <v>0</v>
      </c>
      <c r="P353" s="13">
        <f>+[18]Pricing_BEL!$L$6-[17]Pricing_BEL!$L$6</f>
        <v>-32523833.58112216</v>
      </c>
      <c r="Q353" s="32">
        <f>+[19]Pricing_BEL!$L$6-[18]Pricing_BEL!$L$6</f>
        <v>0</v>
      </c>
      <c r="R353" s="32">
        <f>+[20]Pricing_BEL!$L$6-[19]Pricing_BEL!$L$6</f>
        <v>0</v>
      </c>
      <c r="S353" s="70">
        <f>+[22]Pricing_BEL!$L$6-[20]Pricing_BEL!$L$6</f>
        <v>0</v>
      </c>
      <c r="AI353" s="73"/>
      <c r="AJ353" s="73"/>
      <c r="AK353" s="73"/>
    </row>
    <row r="354" spans="1:37" hidden="1" outlineLevel="2" x14ac:dyDescent="0.25">
      <c r="A354" s="16" t="s">
        <v>5</v>
      </c>
      <c r="B354" s="13">
        <f>+[1]Pricing_BEL!$L$7-[21]Pricing_BEL!$L$7</f>
        <v>0</v>
      </c>
      <c r="C354" s="13">
        <f>+[5]Pricing_BEL!$L$7-[1]Pricing_BEL!$L$7</f>
        <v>0</v>
      </c>
      <c r="D354" s="32">
        <f>+[6]Pricing_BEL!$L$7-[5]Pricing_BEL!$L$7</f>
        <v>-988767.80121046305</v>
      </c>
      <c r="E354" s="13">
        <f>+[7]Pricing_BEL!$L$7-[6]Pricing_BEL!$L$7</f>
        <v>0</v>
      </c>
      <c r="F354" s="13">
        <f>+[8]Pricing_BEL!$L$7-[7]Pricing_BEL!$L$7</f>
        <v>0</v>
      </c>
      <c r="G354" s="32">
        <f>+[9]Pricing_BEL!$L$7-[8]Pricing_BEL!$L$7</f>
        <v>511062.90140284598</v>
      </c>
      <c r="H354" s="13">
        <f>+[10]Pricing_BEL!$L$7-[9]Pricing_BEL!$L$7</f>
        <v>0</v>
      </c>
      <c r="I354" s="13">
        <f>+[11]Pricing_BEL!$L$7-[10]Pricing_BEL!$L$7</f>
        <v>0</v>
      </c>
      <c r="J354" s="32">
        <f>+[12]Pricing_BEL!$L$7-[11]Pricing_BEL!$L$7</f>
        <v>-8904502.6248304397</v>
      </c>
      <c r="K354" s="13">
        <f>+[13]Pricing_BEL!$L$7-[12]Pricing_BEL!$L$7</f>
        <v>0</v>
      </c>
      <c r="L354" s="13">
        <f>+[14]Pricing_BEL!$L$7-[13]Pricing_BEL!$L$7</f>
        <v>0</v>
      </c>
      <c r="M354" s="13">
        <f>+[15]Pricing_BEL!$L$7-[14]Pricing_BEL!$L$7</f>
        <v>8928449.3022389263</v>
      </c>
      <c r="N354" s="32">
        <f>+[16]Pricing_BEL!$L$7-[15]Pricing_BEL!$L$7</f>
        <v>0</v>
      </c>
      <c r="O354" s="13">
        <f>+[17]Pricing_BEL!$L$7-[16]Pricing_BEL!$L$7</f>
        <v>0</v>
      </c>
      <c r="P354" s="13">
        <f>+[18]Pricing_BEL!$L$7-[17]Pricing_BEL!$L$7</f>
        <v>-7795003.4391536713</v>
      </c>
      <c r="Q354" s="32">
        <f>+[19]Pricing_BEL!$L$7-[18]Pricing_BEL!$L$7</f>
        <v>0</v>
      </c>
      <c r="R354" s="32">
        <f>+[20]Pricing_BEL!$L$7-[19]Pricing_BEL!$L$7</f>
        <v>0</v>
      </c>
      <c r="S354" s="70">
        <f>+[22]Pricing_BEL!$L$7-[20]Pricing_BEL!$L$7</f>
        <v>0</v>
      </c>
      <c r="AI354" s="73"/>
      <c r="AJ354" s="73"/>
      <c r="AK354" s="73"/>
    </row>
    <row r="355" spans="1:37" hidden="1" outlineLevel="2" x14ac:dyDescent="0.25">
      <c r="A355" s="16" t="s">
        <v>6</v>
      </c>
      <c r="B355" s="13">
        <f>+[1]Pricing_BEL!$L$8-[21]Pricing_BEL!$L$8</f>
        <v>0</v>
      </c>
      <c r="C355" s="13">
        <f>+[5]Pricing_BEL!$L$8-[1]Pricing_BEL!$L$8</f>
        <v>0</v>
      </c>
      <c r="D355" s="32">
        <f>+[6]Pricing_BEL!$L$8-[5]Pricing_BEL!$L$8</f>
        <v>-1436476.9813208804</v>
      </c>
      <c r="E355" s="13">
        <f>+[7]Pricing_BEL!$L$8-[6]Pricing_BEL!$L$8</f>
        <v>0</v>
      </c>
      <c r="F355" s="13">
        <f>+[8]Pricing_BEL!$L$8-[7]Pricing_BEL!$L$8</f>
        <v>0</v>
      </c>
      <c r="G355" s="32">
        <f>+[9]Pricing_BEL!$L$8-[8]Pricing_BEL!$L$8</f>
        <v>-133342.85437842458</v>
      </c>
      <c r="H355" s="13">
        <f>+[10]Pricing_BEL!$L$8-[9]Pricing_BEL!$L$8</f>
        <v>0</v>
      </c>
      <c r="I355" s="13">
        <f>+[11]Pricing_BEL!$L$8-[10]Pricing_BEL!$L$8</f>
        <v>0</v>
      </c>
      <c r="J355" s="32">
        <f>+[12]Pricing_BEL!$L$8-[11]Pricing_BEL!$L$8</f>
        <v>-2871764.2401293069</v>
      </c>
      <c r="K355" s="13">
        <f>+[13]Pricing_BEL!$L$8-[12]Pricing_BEL!$L$8</f>
        <v>0</v>
      </c>
      <c r="L355" s="13">
        <f>+[14]Pricing_BEL!$L$8-[13]Pricing_BEL!$L$8</f>
        <v>0</v>
      </c>
      <c r="M355" s="13">
        <f>+[15]Pricing_BEL!$L$8-[14]Pricing_BEL!$L$8</f>
        <v>7223041.9475004897</v>
      </c>
      <c r="N355" s="32">
        <f>+[16]Pricing_BEL!$L$8-[15]Pricing_BEL!$L$8</f>
        <v>0</v>
      </c>
      <c r="O355" s="13">
        <f>+[17]Pricing_BEL!$L$8-[16]Pricing_BEL!$L$8</f>
        <v>0</v>
      </c>
      <c r="P355" s="13">
        <f>+[18]Pricing_BEL!$L$8-[17]Pricing_BEL!$L$8</f>
        <v>-3493346.5199788436</v>
      </c>
      <c r="Q355" s="32">
        <f>+[19]Pricing_BEL!$L$8-[18]Pricing_BEL!$L$8</f>
        <v>0</v>
      </c>
      <c r="R355" s="32">
        <f>+[20]Pricing_BEL!$L$8-[19]Pricing_BEL!$L$8</f>
        <v>0</v>
      </c>
      <c r="S355" s="70">
        <f>+[22]Pricing_BEL!$L$8-[20]Pricing_BEL!$L$8</f>
        <v>0</v>
      </c>
      <c r="AI355" s="73"/>
      <c r="AJ355" s="73"/>
      <c r="AK355" s="73"/>
    </row>
    <row r="356" spans="1:37" hidden="1" outlineLevel="2" x14ac:dyDescent="0.25">
      <c r="A356" s="16" t="s">
        <v>7</v>
      </c>
      <c r="B356" s="13">
        <f>+[1]Pricing_BEL!$L$9-[21]Pricing_BEL!$L$9</f>
        <v>0</v>
      </c>
      <c r="C356" s="13">
        <f>+[5]Pricing_BEL!$L$9-[1]Pricing_BEL!$L$9</f>
        <v>0</v>
      </c>
      <c r="D356" s="32">
        <f>+[6]Pricing_BEL!$L$9-[5]Pricing_BEL!$L$9</f>
        <v>191654.31927482039</v>
      </c>
      <c r="E356" s="13">
        <f>+[7]Pricing_BEL!$L$9-[6]Pricing_BEL!$L$9</f>
        <v>0</v>
      </c>
      <c r="F356" s="13">
        <f>+[8]Pricing_BEL!$L$9-[7]Pricing_BEL!$L$9</f>
        <v>0</v>
      </c>
      <c r="G356" s="32">
        <f>+[9]Pricing_BEL!$L$9-[8]Pricing_BEL!$L$9</f>
        <v>-207603.20043318719</v>
      </c>
      <c r="H356" s="13">
        <f>+[10]Pricing_BEL!$L$9-[9]Pricing_BEL!$L$9</f>
        <v>0</v>
      </c>
      <c r="I356" s="13">
        <f>+[11]Pricing_BEL!$L$9-[10]Pricing_BEL!$L$9</f>
        <v>0</v>
      </c>
      <c r="J356" s="32">
        <f>+[12]Pricing_BEL!$L$9-[11]Pricing_BEL!$L$9</f>
        <v>-1114789.63741263</v>
      </c>
      <c r="K356" s="13">
        <f>+[13]Pricing_BEL!$L$9-[12]Pricing_BEL!$L$9</f>
        <v>0</v>
      </c>
      <c r="L356" s="13">
        <f>+[14]Pricing_BEL!$L$9-[13]Pricing_BEL!$L$9</f>
        <v>0</v>
      </c>
      <c r="M356" s="13">
        <f>+[15]Pricing_BEL!$L$9-[14]Pricing_BEL!$L$9</f>
        <v>7018644.3286331221</v>
      </c>
      <c r="N356" s="32">
        <f>+[16]Pricing_BEL!$L$9-[15]Pricing_BEL!$L$9</f>
        <v>0</v>
      </c>
      <c r="O356" s="13">
        <f>+[17]Pricing_BEL!$L$9-[16]Pricing_BEL!$L$9</f>
        <v>0</v>
      </c>
      <c r="P356" s="13">
        <f>+[18]Pricing_BEL!$L$9-[17]Pricing_BEL!$L$9</f>
        <v>-2847179.8859720007</v>
      </c>
      <c r="Q356" s="32">
        <f>+[19]Pricing_BEL!$L$9-[18]Pricing_BEL!$L$9</f>
        <v>0</v>
      </c>
      <c r="R356" s="32">
        <f>+[20]Pricing_BEL!$L$9-[19]Pricing_BEL!$L$9</f>
        <v>0</v>
      </c>
      <c r="S356" s="70">
        <f>+[22]Pricing_BEL!$L$9-[20]Pricing_BEL!$L$9</f>
        <v>0</v>
      </c>
      <c r="AI356" s="73"/>
      <c r="AJ356" s="73"/>
      <c r="AK356" s="73"/>
    </row>
    <row r="357" spans="1:37" hidden="1" outlineLevel="1" x14ac:dyDescent="0.25">
      <c r="A357" s="15" t="s">
        <v>8</v>
      </c>
      <c r="B357" s="13">
        <f>'[1]Stat by Mat'!$D$4-'[21]Stat by Mat'!$D$4</f>
        <v>0</v>
      </c>
      <c r="C357" s="13">
        <f>'[5]Stat by Mat'!$D$4-'[1]Stat by Mat'!$D$4</f>
        <v>0</v>
      </c>
      <c r="D357" s="32">
        <f>'[6]Stat by Mat'!$D$4-'[5]Stat by Mat'!$D$4</f>
        <v>2671026.6091557443</v>
      </c>
      <c r="E357" s="13">
        <f>'[7]Stat by Mat'!$D$4-'[6]Stat by Mat'!$D$4</f>
        <v>0</v>
      </c>
      <c r="F357" s="13">
        <f>'[8]Stat by Mat'!$D$4-'[7]Stat by Mat'!$D$4</f>
        <v>0</v>
      </c>
      <c r="G357" s="32">
        <f>'[9]Stat by Mat'!$D$4-'[8]Stat by Mat'!$D$4</f>
        <v>-767944.5235851258</v>
      </c>
      <c r="H357" s="13">
        <f>'[10]Stat by Mat'!$D$4-'[9]Stat by Mat'!$D$4</f>
        <v>0</v>
      </c>
      <c r="I357" s="13">
        <f>'[11]Stat by Mat'!$D$4-'[10]Stat by Mat'!$D$4</f>
        <v>0</v>
      </c>
      <c r="J357" s="32">
        <f>'[12]Stat by Mat'!$D$4-'[11]Stat by Mat'!$D$4</f>
        <v>-546559.00327372551</v>
      </c>
      <c r="K357" s="13">
        <f>'[13]Stat by Mat'!$D$4-'[12]Stat by Mat'!$D$4</f>
        <v>0</v>
      </c>
      <c r="L357" s="13">
        <f>'[14]Stat by Mat'!$D$4-'[13]Stat by Mat'!$D$4</f>
        <v>0</v>
      </c>
      <c r="M357" s="13">
        <f>'[15]Stat by Mat'!$D$4-'[14]Stat by Mat'!$D$4</f>
        <v>23951816.323191106</v>
      </c>
      <c r="N357" s="32">
        <f>'[16]Stat by Mat'!$D$4-'[15]Stat by Mat'!$D$4</f>
        <v>0</v>
      </c>
      <c r="O357" s="13">
        <f>'[17]Stat by Mat'!$D$4-'[16]Stat by Mat'!$D$4</f>
        <v>0</v>
      </c>
      <c r="P357" s="13">
        <f>'[18]Stat by Mat'!$D$4-'[17]Stat by Mat'!$D$4</f>
        <v>-6462783.9695457518</v>
      </c>
      <c r="Q357" s="32">
        <f>'[19]Stat by Mat'!$D$4-'[18]Stat by Mat'!$D$4</f>
        <v>0</v>
      </c>
      <c r="R357" s="32">
        <f>'[20]Stat by Mat'!$D$4-'[19]Stat by Mat'!$D$4</f>
        <v>0</v>
      </c>
      <c r="S357" s="70">
        <f>'[22]Stat by Mat'!$D$4-'[20]Stat by Mat'!$D$4</f>
        <v>0</v>
      </c>
      <c r="T357" s="13">
        <f>+B357-SUM(B358:B362)</f>
        <v>0</v>
      </c>
      <c r="U357" s="13">
        <f t="shared" ref="U357:W357" si="273">+C357-SUM(C358:C362)</f>
        <v>0</v>
      </c>
      <c r="V357" s="13">
        <f t="shared" si="273"/>
        <v>0</v>
      </c>
      <c r="W357" s="13">
        <f t="shared" si="273"/>
        <v>0</v>
      </c>
      <c r="X357" s="13">
        <f t="shared" ref="X357" si="274">+F357-SUM(F358:F362)</f>
        <v>0</v>
      </c>
      <c r="Y357" s="13">
        <f t="shared" ref="Y357:AE357" si="275">+G357-SUM(G358:G362)</f>
        <v>-1.862645149230957E-9</v>
      </c>
      <c r="Z357" s="13">
        <f t="shared" si="275"/>
        <v>0</v>
      </c>
      <c r="AA357" s="13">
        <f t="shared" si="275"/>
        <v>0</v>
      </c>
      <c r="AB357" s="13">
        <f t="shared" si="275"/>
        <v>1.862645149230957E-9</v>
      </c>
      <c r="AC357" s="13">
        <f t="shared" si="275"/>
        <v>0</v>
      </c>
      <c r="AD357" s="13">
        <f t="shared" si="275"/>
        <v>0</v>
      </c>
      <c r="AE357" s="13">
        <f t="shared" si="275"/>
        <v>0</v>
      </c>
      <c r="AF357" s="13">
        <f t="shared" ref="AF357" si="276">+N357-SUM(N358:N362)</f>
        <v>0</v>
      </c>
      <c r="AG357" s="13">
        <f t="shared" ref="AG357:AH357" si="277">+O357-SUM(O358:O362)</f>
        <v>0</v>
      </c>
      <c r="AH357" s="13">
        <f t="shared" si="277"/>
        <v>0</v>
      </c>
      <c r="AI357" s="73">
        <f t="shared" ref="AI357" si="278">+Q357-SUM(Q358:Q362)</f>
        <v>1247090.2884180173</v>
      </c>
      <c r="AJ357" s="73">
        <f t="shared" ref="AJ357:AK357" si="279">+R357-SUM(R358:R362)</f>
        <v>1247090.2884180173</v>
      </c>
      <c r="AK357" s="73">
        <f t="shared" si="279"/>
        <v>1247090.2884180173</v>
      </c>
    </row>
    <row r="358" spans="1:37" hidden="1" outlineLevel="2" x14ac:dyDescent="0.25">
      <c r="A358" s="16" t="s">
        <v>9</v>
      </c>
      <c r="B358" s="13">
        <f>+[1]Pricing_BEL!$L$10-[21]Pricing_BEL!$L$10</f>
        <v>0</v>
      </c>
      <c r="C358" s="13">
        <f>+[5]Pricing_BEL!$L$10-[1]Pricing_BEL!$L$10</f>
        <v>0</v>
      </c>
      <c r="D358" s="32">
        <f>+[6]Pricing_BEL!$L$10-[5]Pricing_BEL!$L$10</f>
        <v>455202.48820608854</v>
      </c>
      <c r="E358" s="13">
        <f>+[7]Pricing_BEL!$L$10-[6]Pricing_BEL!$L$10</f>
        <v>0</v>
      </c>
      <c r="F358" s="13">
        <f>+[8]Pricing_BEL!$L$10-[7]Pricing_BEL!$L$10</f>
        <v>0</v>
      </c>
      <c r="G358" s="32">
        <f>+[9]Pricing_BEL!$L$10-[8]Pricing_BEL!$L$10</f>
        <v>-35165.384636849165</v>
      </c>
      <c r="H358" s="13">
        <f>+[10]Pricing_BEL!$L$10-[9]Pricing_BEL!$L$10</f>
        <v>0</v>
      </c>
      <c r="I358" s="13">
        <f>+[11]Pricing_BEL!$L$10-[10]Pricing_BEL!$L$10</f>
        <v>0</v>
      </c>
      <c r="J358" s="32">
        <f>+[12]Pricing_BEL!$L$10-[11]Pricing_BEL!$L$10</f>
        <v>-359287.57776067406</v>
      </c>
      <c r="K358" s="13">
        <f>+[13]Pricing_BEL!$L$10-[12]Pricing_BEL!$L$10</f>
        <v>0</v>
      </c>
      <c r="L358" s="13">
        <f>+[14]Pricing_BEL!$L$10-[13]Pricing_BEL!$L$10</f>
        <v>0</v>
      </c>
      <c r="M358" s="13">
        <f>+[15]Pricing_BEL!$L$10-[14]Pricing_BEL!$L$10</f>
        <v>5902783.6793067604</v>
      </c>
      <c r="N358" s="32">
        <f>+[16]Pricing_BEL!$L$10-[15]Pricing_BEL!$L$10</f>
        <v>0</v>
      </c>
      <c r="O358" s="13">
        <f>+[17]Pricing_BEL!$L$10-[16]Pricing_BEL!$L$10</f>
        <v>0</v>
      </c>
      <c r="P358" s="13">
        <f>+[18]Pricing_BEL!$L$10-[17]Pricing_BEL!$L$10</f>
        <v>-1925530.7823076583</v>
      </c>
      <c r="Q358" s="32">
        <f>+[19]Pricing_BEL!$L$10-[18]Pricing_BEL!$L$10</f>
        <v>0</v>
      </c>
      <c r="R358" s="32">
        <f>+[20]Pricing_BEL!$L$10-[19]Pricing_BEL!$L$10</f>
        <v>0</v>
      </c>
      <c r="S358" s="70">
        <f>+[22]Pricing_BEL!$L$10-[20]Pricing_BEL!$L$10</f>
        <v>0</v>
      </c>
      <c r="AI358" s="73"/>
      <c r="AJ358" s="73"/>
      <c r="AK358" s="73"/>
    </row>
    <row r="359" spans="1:37" hidden="1" outlineLevel="2" x14ac:dyDescent="0.25">
      <c r="A359" s="16" t="s">
        <v>10</v>
      </c>
      <c r="B359" s="13">
        <f>+[1]Pricing_BEL!$L$11-[21]Pricing_BEL!$L$11</f>
        <v>0</v>
      </c>
      <c r="C359" s="13">
        <f>+[5]Pricing_BEL!$L$11-[1]Pricing_BEL!$L$11</f>
        <v>0</v>
      </c>
      <c r="D359" s="32">
        <f>+[6]Pricing_BEL!$L$11-[5]Pricing_BEL!$L$11</f>
        <v>373996.98563934863</v>
      </c>
      <c r="E359" s="13">
        <f>+[7]Pricing_BEL!$L$11-[6]Pricing_BEL!$L$11</f>
        <v>0</v>
      </c>
      <c r="F359" s="13">
        <f>+[8]Pricing_BEL!$L$11-[7]Pricing_BEL!$L$11</f>
        <v>0</v>
      </c>
      <c r="G359" s="32">
        <f>+[9]Pricing_BEL!$L$11-[8]Pricing_BEL!$L$11</f>
        <v>-177675.50177592039</v>
      </c>
      <c r="H359" s="13">
        <f>+[10]Pricing_BEL!$L$11-[9]Pricing_BEL!$L$11</f>
        <v>0</v>
      </c>
      <c r="I359" s="13">
        <f>+[11]Pricing_BEL!$L$11-[10]Pricing_BEL!$L$11</f>
        <v>0</v>
      </c>
      <c r="J359" s="32">
        <f>+[12]Pricing_BEL!$L$11-[11]Pricing_BEL!$L$11</f>
        <v>-200027.76527502388</v>
      </c>
      <c r="K359" s="13">
        <f>+[13]Pricing_BEL!$L$11-[12]Pricing_BEL!$L$11</f>
        <v>0</v>
      </c>
      <c r="L359" s="13">
        <f>+[14]Pricing_BEL!$L$11-[13]Pricing_BEL!$L$11</f>
        <v>0</v>
      </c>
      <c r="M359" s="13">
        <f>+[15]Pricing_BEL!$L$11-[14]Pricing_BEL!$L$11</f>
        <v>5082822.8345969357</v>
      </c>
      <c r="N359" s="32">
        <f>+[16]Pricing_BEL!$L$11-[15]Pricing_BEL!$L$11</f>
        <v>0</v>
      </c>
      <c r="O359" s="13">
        <f>+[17]Pricing_BEL!$L$11-[16]Pricing_BEL!$L$11</f>
        <v>0</v>
      </c>
      <c r="P359" s="13">
        <f>+[18]Pricing_BEL!$L$11-[17]Pricing_BEL!$L$11</f>
        <v>-1606244.3871047385</v>
      </c>
      <c r="Q359" s="32">
        <f>+[19]Pricing_BEL!$L$11-[18]Pricing_BEL!$L$11</f>
        <v>0</v>
      </c>
      <c r="R359" s="32">
        <f>+[20]Pricing_BEL!$L$11-[19]Pricing_BEL!$L$11</f>
        <v>0</v>
      </c>
      <c r="S359" s="70">
        <f>+[22]Pricing_BEL!$L$11-[20]Pricing_BEL!$L$11</f>
        <v>0</v>
      </c>
      <c r="AI359" s="73"/>
      <c r="AJ359" s="73"/>
      <c r="AK359" s="73"/>
    </row>
    <row r="360" spans="1:37" hidden="1" outlineLevel="2" x14ac:dyDescent="0.25">
      <c r="A360" s="16" t="s">
        <v>11</v>
      </c>
      <c r="B360" s="13">
        <f>+[1]Pricing_BEL!$L$12-[21]Pricing_BEL!$L$12</f>
        <v>0</v>
      </c>
      <c r="C360" s="13">
        <f>+[5]Pricing_BEL!$L$12-[1]Pricing_BEL!$L$12</f>
        <v>0</v>
      </c>
      <c r="D360" s="32">
        <f>+[6]Pricing_BEL!$L$12-[5]Pricing_BEL!$L$12</f>
        <v>349413.94661094621</v>
      </c>
      <c r="E360" s="13">
        <f>+[7]Pricing_BEL!$L$12-[6]Pricing_BEL!$L$12</f>
        <v>0</v>
      </c>
      <c r="F360" s="13">
        <f>+[8]Pricing_BEL!$L$12-[7]Pricing_BEL!$L$12</f>
        <v>0</v>
      </c>
      <c r="G360" s="32">
        <f>+[9]Pricing_BEL!$L$12-[8]Pricing_BEL!$L$12</f>
        <v>-240216.72769823298</v>
      </c>
      <c r="H360" s="13">
        <f>+[10]Pricing_BEL!$L$12-[9]Pricing_BEL!$L$12</f>
        <v>0</v>
      </c>
      <c r="I360" s="13">
        <f>+[11]Pricing_BEL!$L$12-[10]Pricing_BEL!$L$12</f>
        <v>0</v>
      </c>
      <c r="J360" s="32">
        <f>+[12]Pricing_BEL!$L$12-[11]Pricing_BEL!$L$12</f>
        <v>-114045.25563834608</v>
      </c>
      <c r="K360" s="13">
        <f>+[13]Pricing_BEL!$L$12-[12]Pricing_BEL!$L$12</f>
        <v>0</v>
      </c>
      <c r="L360" s="13">
        <f>+[14]Pricing_BEL!$L$12-[13]Pricing_BEL!$L$12</f>
        <v>0</v>
      </c>
      <c r="M360" s="13">
        <f>+[15]Pricing_BEL!$L$12-[14]Pricing_BEL!$L$12</f>
        <v>4410312.0047092363</v>
      </c>
      <c r="N360" s="32">
        <f>+[16]Pricing_BEL!$L$12-[15]Pricing_BEL!$L$12</f>
        <v>0</v>
      </c>
      <c r="O360" s="13">
        <f>+[17]Pricing_BEL!$L$12-[16]Pricing_BEL!$L$12</f>
        <v>0</v>
      </c>
      <c r="P360" s="13">
        <f>+[18]Pricing_BEL!$L$12-[16]Pricing_BEL!$L$12</f>
        <v>-1247090.2884180173</v>
      </c>
      <c r="Q360" s="32">
        <f>+[19]Pricing_BEL!$L$12-[16]Pricing_BEL!$L$12</f>
        <v>-1247090.2884180173</v>
      </c>
      <c r="R360" s="32">
        <f>+[20]Pricing_BEL!$L$12-[16]Pricing_BEL!$L$12</f>
        <v>-1247090.2884180173</v>
      </c>
      <c r="S360" s="70">
        <f>+[22]Pricing_BEL!$L$12-[16]Pricing_BEL!$L$12</f>
        <v>-1247090.2884180173</v>
      </c>
      <c r="AI360" s="73"/>
      <c r="AJ360" s="73"/>
      <c r="AK360" s="73"/>
    </row>
    <row r="361" spans="1:37" hidden="1" outlineLevel="2" x14ac:dyDescent="0.25">
      <c r="A361" s="16" t="s">
        <v>12</v>
      </c>
      <c r="B361" s="13">
        <f>+[1]Pricing_BEL!$L$13-[21]Pricing_BEL!$L$13</f>
        <v>0</v>
      </c>
      <c r="C361" s="13">
        <f>+[5]Pricing_BEL!$L$13-[1]Pricing_BEL!$L$13</f>
        <v>0</v>
      </c>
      <c r="D361" s="32">
        <f>+[6]Pricing_BEL!$L$13-[5]Pricing_BEL!$L$13</f>
        <v>917171.40858770162</v>
      </c>
      <c r="E361" s="13">
        <f>+[7]Pricing_BEL!$L$13-[6]Pricing_BEL!$L$13</f>
        <v>0</v>
      </c>
      <c r="F361" s="13">
        <f>+[8]Pricing_BEL!$L$13-[7]Pricing_BEL!$L$13</f>
        <v>0</v>
      </c>
      <c r="G361" s="32">
        <f>+[9]Pricing_BEL!$L$13-[8]Pricing_BEL!$L$13</f>
        <v>-66866.041795343161</v>
      </c>
      <c r="H361" s="13">
        <f>+[10]Pricing_BEL!$L$13-[9]Pricing_BEL!$L$13</f>
        <v>0</v>
      </c>
      <c r="I361" s="13">
        <f>+[11]Pricing_BEL!$L$13-[10]Pricing_BEL!$L$13</f>
        <v>0</v>
      </c>
      <c r="J361" s="32">
        <f>+[12]Pricing_BEL!$L$13-[11]Pricing_BEL!$L$13</f>
        <v>11711.029126461595</v>
      </c>
      <c r="K361" s="13">
        <f>+[13]Pricing_BEL!$L$13-[12]Pricing_BEL!$L$13</f>
        <v>0</v>
      </c>
      <c r="L361" s="13">
        <f>+[14]Pricing_BEL!$L$13-[13]Pricing_BEL!$L$13</f>
        <v>0</v>
      </c>
      <c r="M361" s="13">
        <f>+[15]Pricing_BEL!$L$13-[14]Pricing_BEL!$L$13</f>
        <v>3455322.4580862112</v>
      </c>
      <c r="N361" s="32">
        <f>+[16]Pricing_BEL!$L$13-[15]Pricing_BEL!$L$13</f>
        <v>0</v>
      </c>
      <c r="O361" s="13">
        <f>+[17]Pricing_BEL!$L$13-[16]Pricing_BEL!$L$13</f>
        <v>0</v>
      </c>
      <c r="P361" s="13">
        <f>+[18]Pricing_BEL!$L$13-[17]Pricing_BEL!$L$13</f>
        <v>-956459.32257547975</v>
      </c>
      <c r="Q361" s="32">
        <f>+[19]Pricing_BEL!$L$13-[18]Pricing_BEL!$L$13</f>
        <v>0</v>
      </c>
      <c r="R361" s="32">
        <f>+[20]Pricing_BEL!$L$13-[19]Pricing_BEL!$L$13</f>
        <v>0</v>
      </c>
      <c r="S361" s="70">
        <f>+[22]Pricing_BEL!$L$13-[20]Pricing_BEL!$L$13</f>
        <v>0</v>
      </c>
      <c r="AI361" s="73"/>
      <c r="AJ361" s="73"/>
      <c r="AK361" s="73"/>
    </row>
    <row r="362" spans="1:37" hidden="1" outlineLevel="2" x14ac:dyDescent="0.25">
      <c r="A362" s="16" t="s">
        <v>13</v>
      </c>
      <c r="B362" s="13">
        <f>+[1]Pricing_BEL!$L$14-[21]Pricing_BEL!$L$14</f>
        <v>0</v>
      </c>
      <c r="C362" s="13">
        <f>+[5]Pricing_BEL!$L$14-[1]Pricing_BEL!$L$14</f>
        <v>0</v>
      </c>
      <c r="D362" s="32">
        <f>+[6]Pricing_BEL!$L$14-[5]Pricing_BEL!$L$14</f>
        <v>575241.78011165746</v>
      </c>
      <c r="E362" s="13">
        <f>+[7]Pricing_BEL!$L$14-[6]Pricing_BEL!$L$14</f>
        <v>0</v>
      </c>
      <c r="F362" s="13">
        <f>+[8]Pricing_BEL!$L$14-[7]Pricing_BEL!$L$14</f>
        <v>0</v>
      </c>
      <c r="G362" s="32">
        <f>+[9]Pricing_BEL!$L$14-[8]Pricing_BEL!$L$14</f>
        <v>-248020.86767877825</v>
      </c>
      <c r="H362" s="13">
        <f>+[10]Pricing_BEL!$L$14-[9]Pricing_BEL!$L$14</f>
        <v>0</v>
      </c>
      <c r="I362" s="13">
        <f>+[11]Pricing_BEL!$L$14-[10]Pricing_BEL!$L$14</f>
        <v>0</v>
      </c>
      <c r="J362" s="32">
        <f>+[12]Pricing_BEL!$L$14-[11]Pricing_BEL!$L$14</f>
        <v>115090.56627385505</v>
      </c>
      <c r="K362" s="13">
        <f>+[13]Pricing_BEL!$L$14-[12]Pricing_BEL!$L$14</f>
        <v>0</v>
      </c>
      <c r="L362" s="13">
        <f>+[14]Pricing_BEL!$L$14-[13]Pricing_BEL!$L$14</f>
        <v>0</v>
      </c>
      <c r="M362" s="13">
        <f>+[15]Pricing_BEL!$L$14-[14]Pricing_BEL!$L$14</f>
        <v>5100575.3464919589</v>
      </c>
      <c r="N362" s="32">
        <f>+[16]Pricing_BEL!$L$14-[15]Pricing_BEL!$L$14</f>
        <v>0</v>
      </c>
      <c r="O362" s="13">
        <f>+[17]Pricing_BEL!$L$14-[16]Pricing_BEL!$L$14</f>
        <v>0</v>
      </c>
      <c r="P362" s="13">
        <f>+[18]Pricing_BEL!$L$14-[17]Pricing_BEL!$L$14</f>
        <v>-727459.1891398523</v>
      </c>
      <c r="Q362" s="32">
        <f>+[19]Pricing_BEL!$L$14-[18]Pricing_BEL!$L$14</f>
        <v>0</v>
      </c>
      <c r="R362" s="32">
        <f>+[20]Pricing_BEL!$L$14-[19]Pricing_BEL!$L$14</f>
        <v>0</v>
      </c>
      <c r="S362" s="70">
        <f>+[22]Pricing_BEL!$L$14-[20]Pricing_BEL!$L$14</f>
        <v>0</v>
      </c>
      <c r="AI362" s="73"/>
      <c r="AJ362" s="73"/>
      <c r="AK362" s="73"/>
    </row>
    <row r="363" spans="1:37" hidden="1" outlineLevel="1" x14ac:dyDescent="0.25">
      <c r="A363" s="15" t="s">
        <v>14</v>
      </c>
      <c r="B363" s="13">
        <f>'[1]Stat by Mat'!$D$5-'[21]Stat by Mat'!$D$5</f>
        <v>0</v>
      </c>
      <c r="C363" s="13">
        <f>'[5]Stat by Mat'!$D$5-'[1]Stat by Mat'!$D$5</f>
        <v>0</v>
      </c>
      <c r="D363" s="32">
        <f>'[6]Stat by Mat'!$D$5-'[5]Stat by Mat'!$D$5</f>
        <v>4877014.3732751682</v>
      </c>
      <c r="E363" s="13">
        <f>'[7]Stat by Mat'!$D$5-'[6]Stat by Mat'!$D$5</f>
        <v>0</v>
      </c>
      <c r="F363" s="13">
        <f>'[8]Stat by Mat'!$D$5-'[7]Stat by Mat'!$D$5</f>
        <v>0</v>
      </c>
      <c r="G363" s="32">
        <f>'[9]Stat by Mat'!$D$5-'[8]Stat by Mat'!$D$5</f>
        <v>25003.657499723136</v>
      </c>
      <c r="H363" s="13">
        <f>'[10]Stat by Mat'!$D$5-'[9]Stat by Mat'!$D$5</f>
        <v>0</v>
      </c>
      <c r="I363" s="13">
        <f>'[11]Stat by Mat'!$D$5-'[10]Stat by Mat'!$D$5</f>
        <v>0</v>
      </c>
      <c r="J363" s="32">
        <f>'[12]Stat by Mat'!$D$5-'[11]Stat by Mat'!$D$5</f>
        <v>-453843.52824870497</v>
      </c>
      <c r="K363" s="13">
        <f>'[13]Stat by Mat'!$D$5-'[12]Stat by Mat'!$D$5</f>
        <v>0</v>
      </c>
      <c r="L363" s="13">
        <f>'[14]Stat by Mat'!$D$5-'[13]Stat by Mat'!$D$5</f>
        <v>0</v>
      </c>
      <c r="M363" s="13">
        <f>'[15]Stat by Mat'!$D$5-'[14]Stat by Mat'!$D$5</f>
        <v>14331460.463493198</v>
      </c>
      <c r="N363" s="32">
        <f>'[16]Stat by Mat'!$D$5-'[15]Stat by Mat'!$D$5</f>
        <v>0</v>
      </c>
      <c r="O363" s="13">
        <f>'[17]Stat by Mat'!$D$5-'[16]Stat by Mat'!$D$5</f>
        <v>0</v>
      </c>
      <c r="P363" s="13">
        <f>'[18]Stat by Mat'!$D$5-'[17]Stat by Mat'!$D$5</f>
        <v>-2103390.2701541111</v>
      </c>
      <c r="Q363" s="32">
        <f>'[19]Stat by Mat'!$D$5-'[18]Stat by Mat'!$D$5</f>
        <v>0</v>
      </c>
      <c r="R363" s="32">
        <f>'[20]Stat by Mat'!$D$5-'[19]Stat by Mat'!$D$5</f>
        <v>0</v>
      </c>
      <c r="S363" s="70">
        <f>'[22]Stat by Mat'!$D$5-'[20]Stat by Mat'!$D$5</f>
        <v>0</v>
      </c>
      <c r="T363" s="13">
        <f>+B363-SUM(B364:B373)</f>
        <v>0</v>
      </c>
      <c r="U363" s="13">
        <f t="shared" ref="U363:W363" si="280">+C363-SUM(C364:C373)</f>
        <v>0</v>
      </c>
      <c r="V363" s="13">
        <f t="shared" si="280"/>
        <v>0</v>
      </c>
      <c r="W363" s="13">
        <f t="shared" si="280"/>
        <v>0</v>
      </c>
      <c r="X363" s="13">
        <f t="shared" ref="X363" si="281">+F363-SUM(F364:F373)</f>
        <v>0</v>
      </c>
      <c r="Y363" s="13">
        <f t="shared" ref="Y363:AE363" si="282">+G363-SUM(G364:G373)</f>
        <v>2.7939677238464355E-9</v>
      </c>
      <c r="Z363" s="13">
        <f t="shared" si="282"/>
        <v>0</v>
      </c>
      <c r="AA363" s="13">
        <f t="shared" si="282"/>
        <v>0</v>
      </c>
      <c r="AB363" s="13">
        <f t="shared" si="282"/>
        <v>-2.3283064365386963E-9</v>
      </c>
      <c r="AC363" s="13">
        <f t="shared" si="282"/>
        <v>0</v>
      </c>
      <c r="AD363" s="13">
        <f t="shared" si="282"/>
        <v>0</v>
      </c>
      <c r="AE363" s="13">
        <f t="shared" si="282"/>
        <v>0</v>
      </c>
      <c r="AF363" s="13">
        <f t="shared" ref="AF363" si="283">+N363-SUM(N364:N373)</f>
        <v>0</v>
      </c>
      <c r="AG363" s="13">
        <f t="shared" ref="AG363:AH363" si="284">+O363-SUM(O364:O373)</f>
        <v>0</v>
      </c>
      <c r="AH363" s="13">
        <f t="shared" si="284"/>
        <v>0</v>
      </c>
      <c r="AI363" s="73">
        <f t="shared" ref="AI363" si="285">+Q363-SUM(Q364:Q373)</f>
        <v>0</v>
      </c>
      <c r="AJ363" s="73">
        <f t="shared" ref="AJ363:AK363" si="286">+R363-SUM(R364:R373)</f>
        <v>0</v>
      </c>
      <c r="AK363" s="73">
        <f t="shared" si="286"/>
        <v>0</v>
      </c>
    </row>
    <row r="364" spans="1:37" hidden="1" outlineLevel="2" x14ac:dyDescent="0.25">
      <c r="A364" s="16" t="s">
        <v>15</v>
      </c>
      <c r="B364" s="13">
        <f>+[1]Pricing_BEL!$L$15-[21]Pricing_BEL!$L$15</f>
        <v>0</v>
      </c>
      <c r="C364" s="13">
        <f>+[5]Pricing_BEL!$L$15-[1]Pricing_BEL!$L$15</f>
        <v>0</v>
      </c>
      <c r="D364" s="32">
        <f>+[6]Pricing_BEL!$L$15-[5]Pricing_BEL!$L$15</f>
        <v>735391.11316909641</v>
      </c>
      <c r="E364" s="13">
        <f>+[7]Pricing_BEL!$L$15-[6]Pricing_BEL!$L$15</f>
        <v>0</v>
      </c>
      <c r="F364" s="13">
        <f>+[8]Pricing_BEL!$L$15-[7]Pricing_BEL!$L$15</f>
        <v>0</v>
      </c>
      <c r="G364" s="32">
        <f>+[9]Pricing_BEL!$L$15-[8]Pricing_BEL!$L$15</f>
        <v>-166009.98993048072</v>
      </c>
      <c r="H364" s="13">
        <f>+[10]Pricing_BEL!$L$15-[9]Pricing_BEL!$L$15</f>
        <v>0</v>
      </c>
      <c r="I364" s="13">
        <f>+[11]Pricing_BEL!$L$15-[10]Pricing_BEL!$L$15</f>
        <v>0</v>
      </c>
      <c r="J364" s="32">
        <f>+[12]Pricing_BEL!$L$15-[11]Pricing_BEL!$L$15</f>
        <v>10366.291819518432</v>
      </c>
      <c r="K364" s="13">
        <f>+[13]Pricing_BEL!$L$15-[12]Pricing_BEL!$L$15</f>
        <v>0</v>
      </c>
      <c r="L364" s="13">
        <f>+[14]Pricing_BEL!$L$15-[13]Pricing_BEL!$L$15</f>
        <v>0</v>
      </c>
      <c r="M364" s="13">
        <f>+[15]Pricing_BEL!$L$15-[14]Pricing_BEL!$L$15</f>
        <v>4423412.4096284062</v>
      </c>
      <c r="N364" s="32">
        <f>+[16]Pricing_BEL!$L$15-[15]Pricing_BEL!$L$15</f>
        <v>0</v>
      </c>
      <c r="O364" s="13">
        <f>+[17]Pricing_BEL!$L$15-[16]Pricing_BEL!$L$15</f>
        <v>0</v>
      </c>
      <c r="P364" s="13">
        <f>+[18]Pricing_BEL!$L$15-[17]Pricing_BEL!$L$15</f>
        <v>-552197.20528643485</v>
      </c>
      <c r="Q364" s="32">
        <f>+[19]Pricing_BEL!$L$15-[18]Pricing_BEL!$L$15</f>
        <v>0</v>
      </c>
      <c r="R364" s="32">
        <f>+[20]Pricing_BEL!$L$15-[19]Pricing_BEL!$L$15</f>
        <v>0</v>
      </c>
      <c r="S364" s="70">
        <f>+[22]Pricing_BEL!$L$15-[20]Pricing_BEL!$L$15</f>
        <v>0</v>
      </c>
      <c r="AI364" s="73"/>
      <c r="AJ364" s="73"/>
      <c r="AK364" s="73"/>
    </row>
    <row r="365" spans="1:37" hidden="1" outlineLevel="2" x14ac:dyDescent="0.25">
      <c r="A365" s="16" t="s">
        <v>16</v>
      </c>
      <c r="B365" s="13">
        <f>+[1]Pricing_BEL!$L$16-[21]Pricing_BEL!$L$16</f>
        <v>0</v>
      </c>
      <c r="C365" s="13">
        <f>+[5]Pricing_BEL!$L$16-[1]Pricing_BEL!$L$16</f>
        <v>0</v>
      </c>
      <c r="D365" s="32">
        <f>+[6]Pricing_BEL!$L$16-[5]Pricing_BEL!$L$16</f>
        <v>893157.19221591577</v>
      </c>
      <c r="E365" s="13">
        <f>+[7]Pricing_BEL!$L$16-[6]Pricing_BEL!$L$16</f>
        <v>0</v>
      </c>
      <c r="F365" s="13">
        <f>+[8]Pricing_BEL!$L$16-[7]Pricing_BEL!$L$16</f>
        <v>0</v>
      </c>
      <c r="G365" s="32">
        <f>+[9]Pricing_BEL!$L$16-[8]Pricing_BEL!$L$16</f>
        <v>-18132.781336480752</v>
      </c>
      <c r="H365" s="13">
        <f>+[10]Pricing_BEL!$L$16-[9]Pricing_BEL!$L$16</f>
        <v>0</v>
      </c>
      <c r="I365" s="13">
        <f>+[11]Pricing_BEL!$L$16-[10]Pricing_BEL!$L$16</f>
        <v>0</v>
      </c>
      <c r="J365" s="32">
        <f>+[12]Pricing_BEL!$L$16-[11]Pricing_BEL!$L$16</f>
        <v>-62629.515538025647</v>
      </c>
      <c r="K365" s="13">
        <f>+[13]Pricing_BEL!$L$16-[12]Pricing_BEL!$L$16</f>
        <v>0</v>
      </c>
      <c r="L365" s="13">
        <f>+[14]Pricing_BEL!$L$16-[13]Pricing_BEL!$L$16</f>
        <v>0</v>
      </c>
      <c r="M365" s="13">
        <f>+[15]Pricing_BEL!$L$16-[14]Pricing_BEL!$L$16</f>
        <v>2247109.0587506033</v>
      </c>
      <c r="N365" s="32">
        <f>+[16]Pricing_BEL!$L$16-[15]Pricing_BEL!$L$16</f>
        <v>0</v>
      </c>
      <c r="O365" s="13">
        <f>+[17]Pricing_BEL!$L$16-[16]Pricing_BEL!$L$16</f>
        <v>0</v>
      </c>
      <c r="P365" s="13">
        <f>+[18]Pricing_BEL!$L$16-[17]Pricing_BEL!$L$16</f>
        <v>-264234.36622510012</v>
      </c>
      <c r="Q365" s="32">
        <f>+[19]Pricing_BEL!$L$16-[18]Pricing_BEL!$L$16</f>
        <v>0</v>
      </c>
      <c r="R365" s="32">
        <f>+[20]Pricing_BEL!$L$16-[19]Pricing_BEL!$L$16</f>
        <v>0</v>
      </c>
      <c r="S365" s="70">
        <f>+[22]Pricing_BEL!$L$16-[20]Pricing_BEL!$L$16</f>
        <v>0</v>
      </c>
      <c r="AI365" s="73"/>
      <c r="AJ365" s="73"/>
      <c r="AK365" s="73"/>
    </row>
    <row r="366" spans="1:37" hidden="1" outlineLevel="2" x14ac:dyDescent="0.25">
      <c r="A366" s="16" t="s">
        <v>17</v>
      </c>
      <c r="B366" s="13">
        <f>+[1]Pricing_BEL!$L$17-[21]Pricing_BEL!$L$17</f>
        <v>0</v>
      </c>
      <c r="C366" s="13">
        <f>+[5]Pricing_BEL!$L$17-[1]Pricing_BEL!$L$17</f>
        <v>0</v>
      </c>
      <c r="D366" s="32">
        <f>+[6]Pricing_BEL!$L$17-[5]Pricing_BEL!$L$17</f>
        <v>750178.10824672133</v>
      </c>
      <c r="E366" s="13">
        <f>+[7]Pricing_BEL!$L$17-[6]Pricing_BEL!$L$17</f>
        <v>0</v>
      </c>
      <c r="F366" s="13">
        <f>+[8]Pricing_BEL!$L$17-[7]Pricing_BEL!$L$17</f>
        <v>0</v>
      </c>
      <c r="G366" s="32">
        <f>+[9]Pricing_BEL!$L$17-[8]Pricing_BEL!$L$17</f>
        <v>11708.563740540296</v>
      </c>
      <c r="H366" s="13">
        <f>+[10]Pricing_BEL!$L$17-[9]Pricing_BEL!$L$17</f>
        <v>0</v>
      </c>
      <c r="I366" s="13">
        <f>+[11]Pricing_BEL!$L$17-[10]Pricing_BEL!$L$17</f>
        <v>0</v>
      </c>
      <c r="J366" s="32">
        <f>+[12]Pricing_BEL!$L$17-[11]Pricing_BEL!$L$17</f>
        <v>-40500.883573835716</v>
      </c>
      <c r="K366" s="13">
        <f>+[13]Pricing_BEL!$L$17-[12]Pricing_BEL!$L$17</f>
        <v>0</v>
      </c>
      <c r="L366" s="13">
        <f>+[14]Pricing_BEL!$L$17-[13]Pricing_BEL!$L$17</f>
        <v>0</v>
      </c>
      <c r="M366" s="13">
        <f>+[15]Pricing_BEL!$L$17-[14]Pricing_BEL!$L$17</f>
        <v>1765183.9934893344</v>
      </c>
      <c r="N366" s="32">
        <f>+[16]Pricing_BEL!$L$17-[15]Pricing_BEL!$L$17</f>
        <v>0</v>
      </c>
      <c r="O366" s="13">
        <f>+[17]Pricing_BEL!$L$17-[16]Pricing_BEL!$L$17</f>
        <v>0</v>
      </c>
      <c r="P366" s="13">
        <f>+[18]Pricing_BEL!$L$17-[17]Pricing_BEL!$L$17</f>
        <v>-255644.12181296106</v>
      </c>
      <c r="Q366" s="32">
        <f>+[19]Pricing_BEL!$L$17-[18]Pricing_BEL!$L$17</f>
        <v>0</v>
      </c>
      <c r="R366" s="32">
        <f>+[20]Pricing_BEL!$L$17-[19]Pricing_BEL!$L$17</f>
        <v>0</v>
      </c>
      <c r="S366" s="70">
        <f>+[22]Pricing_BEL!$L$17-[20]Pricing_BEL!$L$17</f>
        <v>0</v>
      </c>
      <c r="AI366" s="73"/>
      <c r="AJ366" s="73"/>
      <c r="AK366" s="73"/>
    </row>
    <row r="367" spans="1:37" hidden="1" outlineLevel="2" x14ac:dyDescent="0.25">
      <c r="A367" s="16" t="s">
        <v>18</v>
      </c>
      <c r="B367" s="13">
        <f>+[1]Pricing_BEL!$L$18-[21]Pricing_BEL!$L$18</f>
        <v>0</v>
      </c>
      <c r="C367" s="13">
        <f>+[5]Pricing_BEL!$L$18-[1]Pricing_BEL!$L$18</f>
        <v>0</v>
      </c>
      <c r="D367" s="32">
        <f>+[6]Pricing_BEL!$L$18-[5]Pricing_BEL!$L$18</f>
        <v>612556.98416872602</v>
      </c>
      <c r="E367" s="13">
        <f>+[7]Pricing_BEL!$L$18-[6]Pricing_BEL!$L$18</f>
        <v>0</v>
      </c>
      <c r="F367" s="13">
        <f>+[8]Pricing_BEL!$L$18-[7]Pricing_BEL!$L$18</f>
        <v>0</v>
      </c>
      <c r="G367" s="32">
        <f>+[9]Pricing_BEL!$L$18-[8]Pricing_BEL!$L$18</f>
        <v>-24770.401560698636</v>
      </c>
      <c r="H367" s="13">
        <f>+[10]Pricing_BEL!$L$18-[9]Pricing_BEL!$L$18</f>
        <v>0</v>
      </c>
      <c r="I367" s="13">
        <f>+[11]Pricing_BEL!$L$18-[10]Pricing_BEL!$L$18</f>
        <v>0</v>
      </c>
      <c r="J367" s="32">
        <f>+[12]Pricing_BEL!$L$18-[11]Pricing_BEL!$L$18</f>
        <v>-45031.664120562375</v>
      </c>
      <c r="K367" s="13">
        <f>+[13]Pricing_BEL!$L$18-[12]Pricing_BEL!$L$18</f>
        <v>0</v>
      </c>
      <c r="L367" s="13">
        <f>+[14]Pricing_BEL!$L$18-[13]Pricing_BEL!$L$18</f>
        <v>0</v>
      </c>
      <c r="M367" s="13">
        <f>+[15]Pricing_BEL!$L$18-[14]Pricing_BEL!$L$18</f>
        <v>1412363.0724553671</v>
      </c>
      <c r="N367" s="32">
        <f>+[16]Pricing_BEL!$L$18-[15]Pricing_BEL!$L$18</f>
        <v>0</v>
      </c>
      <c r="O367" s="13">
        <f>+[17]Pricing_BEL!$L$18-[16]Pricing_BEL!$L$18</f>
        <v>0</v>
      </c>
      <c r="P367" s="13">
        <f>+[18]Pricing_BEL!$L$18-[17]Pricing_BEL!$L$18</f>
        <v>-238135.86353793927</v>
      </c>
      <c r="Q367" s="32">
        <f>+[19]Pricing_BEL!$L$18-[18]Pricing_BEL!$L$18</f>
        <v>0</v>
      </c>
      <c r="R367" s="32">
        <f>+[20]Pricing_BEL!$L$18-[19]Pricing_BEL!$L$18</f>
        <v>0</v>
      </c>
      <c r="S367" s="70">
        <f>+[22]Pricing_BEL!$L$18-[20]Pricing_BEL!$L$18</f>
        <v>0</v>
      </c>
      <c r="AI367" s="73"/>
      <c r="AJ367" s="73"/>
      <c r="AK367" s="73"/>
    </row>
    <row r="368" spans="1:37" hidden="1" outlineLevel="2" x14ac:dyDescent="0.25">
      <c r="A368" s="16" t="s">
        <v>19</v>
      </c>
      <c r="B368" s="13">
        <f>+[1]Pricing_BEL!$L$19-[21]Pricing_BEL!$L$19</f>
        <v>0</v>
      </c>
      <c r="C368" s="13">
        <f>+[5]Pricing_BEL!$L$19-[1]Pricing_BEL!$L$19</f>
        <v>0</v>
      </c>
      <c r="D368" s="32">
        <f>+[6]Pricing_BEL!$L$19-[5]Pricing_BEL!$L$19</f>
        <v>516071.69698422495</v>
      </c>
      <c r="E368" s="13">
        <f>+[7]Pricing_BEL!$L$19-[6]Pricing_BEL!$L$19</f>
        <v>0</v>
      </c>
      <c r="F368" s="13">
        <f>+[8]Pricing_BEL!$L$19-[7]Pricing_BEL!$L$19</f>
        <v>0</v>
      </c>
      <c r="G368" s="32">
        <f>+[9]Pricing_BEL!$L$19-[8]Pricing_BEL!$L$19</f>
        <v>21823.55141571071</v>
      </c>
      <c r="H368" s="13">
        <f>+[10]Pricing_BEL!$L$19-[9]Pricing_BEL!$L$19</f>
        <v>0</v>
      </c>
      <c r="I368" s="13">
        <f>+[11]Pricing_BEL!$L$19-[10]Pricing_BEL!$L$19</f>
        <v>0</v>
      </c>
      <c r="J368" s="32">
        <f>+[12]Pricing_BEL!$L$19-[11]Pricing_BEL!$L$19</f>
        <v>4111.0173129886389</v>
      </c>
      <c r="K368" s="13">
        <f>+[13]Pricing_BEL!$L$19-[12]Pricing_BEL!$L$19</f>
        <v>0</v>
      </c>
      <c r="L368" s="13">
        <f>+[14]Pricing_BEL!$L$19-[13]Pricing_BEL!$L$19</f>
        <v>0</v>
      </c>
      <c r="M368" s="13">
        <f>+[15]Pricing_BEL!$L$19-[14]Pricing_BEL!$L$19</f>
        <v>1175034.0395069784</v>
      </c>
      <c r="N368" s="32">
        <f>+[16]Pricing_BEL!$L$19-[15]Pricing_BEL!$L$19</f>
        <v>0</v>
      </c>
      <c r="O368" s="13">
        <f>+[17]Pricing_BEL!$L$19-[16]Pricing_BEL!$L$19</f>
        <v>0</v>
      </c>
      <c r="P368" s="13">
        <f>+[18]Pricing_BEL!$L$19-[17]Pricing_BEL!$L$19</f>
        <v>-170207.88581879809</v>
      </c>
      <c r="Q368" s="32">
        <f>+[19]Pricing_BEL!$L$19-[18]Pricing_BEL!$L$19</f>
        <v>0</v>
      </c>
      <c r="R368" s="32">
        <f>+[20]Pricing_BEL!$L$19-[19]Pricing_BEL!$L$19</f>
        <v>0</v>
      </c>
      <c r="S368" s="70">
        <f>+[22]Pricing_BEL!$L$19-[20]Pricing_BEL!$L$19</f>
        <v>0</v>
      </c>
      <c r="AI368" s="73"/>
      <c r="AJ368" s="73"/>
      <c r="AK368" s="73"/>
    </row>
    <row r="369" spans="1:37" hidden="1" outlineLevel="2" x14ac:dyDescent="0.25">
      <c r="A369" s="16" t="s">
        <v>20</v>
      </c>
      <c r="B369" s="13">
        <f>+[1]Pricing_BEL!$L$20-[21]Pricing_BEL!$L$20</f>
        <v>0</v>
      </c>
      <c r="C369" s="13">
        <f>+[5]Pricing_BEL!$L$20-[1]Pricing_BEL!$L$20</f>
        <v>0</v>
      </c>
      <c r="D369" s="32">
        <f>+[6]Pricing_BEL!$L$20-[5]Pricing_BEL!$L$20</f>
        <v>429675.03693817277</v>
      </c>
      <c r="E369" s="13">
        <f>+[7]Pricing_BEL!$L$20-[6]Pricing_BEL!$L$20</f>
        <v>0</v>
      </c>
      <c r="F369" s="13">
        <f>+[8]Pricing_BEL!$L$20-[7]Pricing_BEL!$L$20</f>
        <v>0</v>
      </c>
      <c r="G369" s="32">
        <f>+[9]Pricing_BEL!$L$20-[8]Pricing_BEL!$L$20</f>
        <v>48150.612361242995</v>
      </c>
      <c r="H369" s="13">
        <f>+[10]Pricing_BEL!$L$20-[9]Pricing_BEL!$L$20</f>
        <v>0</v>
      </c>
      <c r="I369" s="13">
        <f>+[11]Pricing_BEL!$L$20-[10]Pricing_BEL!$L$20</f>
        <v>0</v>
      </c>
      <c r="J369" s="32">
        <f>+[12]Pricing_BEL!$L$20-[11]Pricing_BEL!$L$20</f>
        <v>-20048.62233164534</v>
      </c>
      <c r="K369" s="13">
        <f>+[13]Pricing_BEL!$L$20-[12]Pricing_BEL!$L$20</f>
        <v>0</v>
      </c>
      <c r="L369" s="13">
        <f>+[14]Pricing_BEL!$L$20-[13]Pricing_BEL!$L$20</f>
        <v>0</v>
      </c>
      <c r="M369" s="13">
        <f>+[15]Pricing_BEL!$L$20-[14]Pricing_BEL!$L$20</f>
        <v>953477.9401139454</v>
      </c>
      <c r="N369" s="32">
        <f>+[16]Pricing_BEL!$L$20-[15]Pricing_BEL!$L$20</f>
        <v>0</v>
      </c>
      <c r="O369" s="13">
        <f>+[17]Pricing_BEL!$L$20-[16]Pricing_BEL!$L$20</f>
        <v>0</v>
      </c>
      <c r="P369" s="13">
        <f>+[18]Pricing_BEL!$L$20-[17]Pricing_BEL!$L$20</f>
        <v>-143795.50546150422</v>
      </c>
      <c r="Q369" s="32">
        <f>+[19]Pricing_BEL!$L$20-[18]Pricing_BEL!$L$20</f>
        <v>0</v>
      </c>
      <c r="R369" s="32">
        <f>+[20]Pricing_BEL!$L$20-[19]Pricing_BEL!$L$20</f>
        <v>0</v>
      </c>
      <c r="S369" s="70">
        <f>+[22]Pricing_BEL!$L$20-[20]Pricing_BEL!$L$20</f>
        <v>0</v>
      </c>
      <c r="AI369" s="73"/>
      <c r="AJ369" s="73"/>
      <c r="AK369" s="73"/>
    </row>
    <row r="370" spans="1:37" hidden="1" outlineLevel="2" x14ac:dyDescent="0.25">
      <c r="A370" s="16" t="s">
        <v>21</v>
      </c>
      <c r="B370" s="13">
        <f>+[1]Pricing_BEL!$L$21-[21]Pricing_BEL!$L$21</f>
        <v>0</v>
      </c>
      <c r="C370" s="13">
        <f>+[5]Pricing_BEL!$L$21-[1]Pricing_BEL!$L$21</f>
        <v>0</v>
      </c>
      <c r="D370" s="32">
        <f>+[6]Pricing_BEL!$L$21-[5]Pricing_BEL!$L$21</f>
        <v>350703.25362720899</v>
      </c>
      <c r="E370" s="13">
        <f>+[7]Pricing_BEL!$L$21-[6]Pricing_BEL!$L$21</f>
        <v>0</v>
      </c>
      <c r="F370" s="13">
        <f>+[8]Pricing_BEL!$L$21-[7]Pricing_BEL!$L$21</f>
        <v>0</v>
      </c>
      <c r="G370" s="32">
        <f>+[9]Pricing_BEL!$L$21-[8]Pricing_BEL!$L$21</f>
        <v>48787.902769573033</v>
      </c>
      <c r="H370" s="13">
        <f>+[10]Pricing_BEL!$L$21-[9]Pricing_BEL!$L$21</f>
        <v>0</v>
      </c>
      <c r="I370" s="13">
        <f>+[11]Pricing_BEL!$L$21-[10]Pricing_BEL!$L$21</f>
        <v>0</v>
      </c>
      <c r="J370" s="32">
        <f>+[12]Pricing_BEL!$L$21-[11]Pricing_BEL!$L$21</f>
        <v>-37662.803427423351</v>
      </c>
      <c r="K370" s="13">
        <f>+[13]Pricing_BEL!$L$21-[12]Pricing_BEL!$L$21</f>
        <v>0</v>
      </c>
      <c r="L370" s="13">
        <f>+[14]Pricing_BEL!$L$21-[13]Pricing_BEL!$L$21</f>
        <v>0</v>
      </c>
      <c r="M370" s="13">
        <f>+[15]Pricing_BEL!$L$21-[14]Pricing_BEL!$L$21</f>
        <v>790157.42668265011</v>
      </c>
      <c r="N370" s="32">
        <f>+[16]Pricing_BEL!$L$21-[15]Pricing_BEL!$L$21</f>
        <v>0</v>
      </c>
      <c r="O370" s="13">
        <f>+[17]Pricing_BEL!$L$21-[16]Pricing_BEL!$L$21</f>
        <v>0</v>
      </c>
      <c r="P370" s="13">
        <f>+[18]Pricing_BEL!$L$21-[17]Pricing_BEL!$L$21</f>
        <v>-127712.52867853269</v>
      </c>
      <c r="Q370" s="32">
        <f>+[19]Pricing_BEL!$L$21-[18]Pricing_BEL!$L$21</f>
        <v>0</v>
      </c>
      <c r="R370" s="32">
        <f>+[20]Pricing_BEL!$L$21-[19]Pricing_BEL!$L$21</f>
        <v>0</v>
      </c>
      <c r="S370" s="70">
        <f>+[22]Pricing_BEL!$L$21-[20]Pricing_BEL!$L$21</f>
        <v>0</v>
      </c>
      <c r="AI370" s="73"/>
      <c r="AJ370" s="73"/>
      <c r="AK370" s="73"/>
    </row>
    <row r="371" spans="1:37" hidden="1" outlineLevel="2" x14ac:dyDescent="0.25">
      <c r="A371" s="16" t="s">
        <v>22</v>
      </c>
      <c r="B371" s="13">
        <f>+[1]Pricing_BEL!$L$22-[21]Pricing_BEL!$L$22</f>
        <v>0</v>
      </c>
      <c r="C371" s="13">
        <f>+[5]Pricing_BEL!$L$22-[1]Pricing_BEL!$L$22</f>
        <v>0</v>
      </c>
      <c r="D371" s="32">
        <f>+[6]Pricing_BEL!$L$22-[5]Pricing_BEL!$L$22</f>
        <v>260972.4419694664</v>
      </c>
      <c r="E371" s="13">
        <f>+[7]Pricing_BEL!$L$22-[6]Pricing_BEL!$L$22</f>
        <v>0</v>
      </c>
      <c r="F371" s="13">
        <f>+[8]Pricing_BEL!$L$22-[7]Pricing_BEL!$L$22</f>
        <v>0</v>
      </c>
      <c r="G371" s="32">
        <f>+[9]Pricing_BEL!$L$22-[8]Pricing_BEL!$L$22</f>
        <v>46362.52213836927</v>
      </c>
      <c r="H371" s="13">
        <f>+[10]Pricing_BEL!$L$22-[9]Pricing_BEL!$L$22</f>
        <v>0</v>
      </c>
      <c r="I371" s="13">
        <f>+[11]Pricing_BEL!$L$22-[10]Pricing_BEL!$L$22</f>
        <v>0</v>
      </c>
      <c r="J371" s="32">
        <f>+[12]Pricing_BEL!$L$22-[11]Pricing_BEL!$L$22</f>
        <v>-75767.292985167354</v>
      </c>
      <c r="K371" s="13">
        <f>+[13]Pricing_BEL!$L$22-[12]Pricing_BEL!$L$22</f>
        <v>0</v>
      </c>
      <c r="L371" s="13">
        <f>+[14]Pricing_BEL!$L$22-[13]Pricing_BEL!$L$22</f>
        <v>0</v>
      </c>
      <c r="M371" s="13">
        <f>+[15]Pricing_BEL!$L$22-[14]Pricing_BEL!$L$22</f>
        <v>635671.4777640528</v>
      </c>
      <c r="N371" s="32">
        <f>+[16]Pricing_BEL!$L$22-[15]Pricing_BEL!$L$22</f>
        <v>0</v>
      </c>
      <c r="O371" s="13">
        <f>+[17]Pricing_BEL!$L$22-[16]Pricing_BEL!$L$22</f>
        <v>0</v>
      </c>
      <c r="P371" s="13">
        <f>+[18]Pricing_BEL!$L$22-[17]Pricing_BEL!$L$22</f>
        <v>-131294.89190463861</v>
      </c>
      <c r="Q371" s="32">
        <f>+[19]Pricing_BEL!$L$22-[18]Pricing_BEL!$L$22</f>
        <v>0</v>
      </c>
      <c r="R371" s="32">
        <f>+[20]Pricing_BEL!$L$22-[19]Pricing_BEL!$L$22</f>
        <v>0</v>
      </c>
      <c r="S371" s="70">
        <f>+[22]Pricing_BEL!$L$22-[20]Pricing_BEL!$L$22</f>
        <v>0</v>
      </c>
      <c r="AI371" s="73"/>
      <c r="AJ371" s="73"/>
      <c r="AK371" s="73"/>
    </row>
    <row r="372" spans="1:37" hidden="1" outlineLevel="2" x14ac:dyDescent="0.25">
      <c r="A372" s="16" t="s">
        <v>23</v>
      </c>
      <c r="B372" s="13">
        <f>+[1]Pricing_BEL!$L$23-[21]Pricing_BEL!$L$23</f>
        <v>0</v>
      </c>
      <c r="C372" s="13">
        <f>+[5]Pricing_BEL!$L$23-[1]Pricing_BEL!$L$23</f>
        <v>0</v>
      </c>
      <c r="D372" s="32">
        <f>+[6]Pricing_BEL!$L$23-[5]Pricing_BEL!$L$23</f>
        <v>171693.77536615171</v>
      </c>
      <c r="E372" s="13">
        <f>+[7]Pricing_BEL!$L$23-[6]Pricing_BEL!$L$23</f>
        <v>0</v>
      </c>
      <c r="F372" s="13">
        <f>+[8]Pricing_BEL!$L$23-[7]Pricing_BEL!$L$23</f>
        <v>0</v>
      </c>
      <c r="G372" s="32">
        <f>+[9]Pricing_BEL!$L$23-[8]Pricing_BEL!$L$23</f>
        <v>22080.411089051981</v>
      </c>
      <c r="H372" s="13">
        <f>+[10]Pricing_BEL!$L$23-[9]Pricing_BEL!$L$23</f>
        <v>0</v>
      </c>
      <c r="I372" s="13">
        <f>+[11]Pricing_BEL!$L$23-[10]Pricing_BEL!$L$23</f>
        <v>0</v>
      </c>
      <c r="J372" s="32">
        <f>+[12]Pricing_BEL!$L$23-[11]Pricing_BEL!$L$23</f>
        <v>-107450.97715783445</v>
      </c>
      <c r="K372" s="13">
        <f>+[13]Pricing_BEL!$L$23-[12]Pricing_BEL!$L$23</f>
        <v>0</v>
      </c>
      <c r="L372" s="13">
        <f>+[14]Pricing_BEL!$L$23-[13]Pricing_BEL!$L$23</f>
        <v>0</v>
      </c>
      <c r="M372" s="13">
        <f>+[15]Pricing_BEL!$L$23-[14]Pricing_BEL!$L$23</f>
        <v>501162.01495157322</v>
      </c>
      <c r="N372" s="32">
        <f>+[16]Pricing_BEL!$L$23-[15]Pricing_BEL!$L$23</f>
        <v>0</v>
      </c>
      <c r="O372" s="13">
        <f>+[17]Pricing_BEL!$L$23-[16]Pricing_BEL!$L$23</f>
        <v>0</v>
      </c>
      <c r="P372" s="13">
        <f>+[18]Pricing_BEL!$L$23-[17]Pricing_BEL!$L$23</f>
        <v>-124121.53975126287</v>
      </c>
      <c r="Q372" s="32">
        <f>+[19]Pricing_BEL!$L$23-[18]Pricing_BEL!$L$23</f>
        <v>0</v>
      </c>
      <c r="R372" s="32">
        <f>+[20]Pricing_BEL!$L$23-[19]Pricing_BEL!$L$23</f>
        <v>0</v>
      </c>
      <c r="S372" s="70">
        <f>+[22]Pricing_BEL!$L$23-[20]Pricing_BEL!$L$23</f>
        <v>0</v>
      </c>
      <c r="AI372" s="73"/>
      <c r="AJ372" s="73"/>
      <c r="AK372" s="73"/>
    </row>
    <row r="373" spans="1:37" hidden="1" outlineLevel="2" x14ac:dyDescent="0.25">
      <c r="A373" s="16" t="s">
        <v>24</v>
      </c>
      <c r="B373" s="13">
        <f>+[1]Pricing_BEL!$L$24-[21]Pricing_BEL!$L$24</f>
        <v>0</v>
      </c>
      <c r="C373" s="13">
        <f>+[5]Pricing_BEL!$L$24-[1]Pricing_BEL!$L$24</f>
        <v>0</v>
      </c>
      <c r="D373" s="32">
        <f>+[6]Pricing_BEL!$L$24-[5]Pricing_BEL!$L$24</f>
        <v>156614.7705894853</v>
      </c>
      <c r="E373" s="13">
        <f>+[7]Pricing_BEL!$L$24-[6]Pricing_BEL!$L$24</f>
        <v>0</v>
      </c>
      <c r="F373" s="13">
        <f>+[8]Pricing_BEL!$L$24-[7]Pricing_BEL!$L$24</f>
        <v>0</v>
      </c>
      <c r="G373" s="32">
        <f>+[9]Pricing_BEL!$L$24-[8]Pricing_BEL!$L$24</f>
        <v>35003.266812892165</v>
      </c>
      <c r="H373" s="13">
        <f>+[10]Pricing_BEL!$L$24-[9]Pricing_BEL!$L$24</f>
        <v>0</v>
      </c>
      <c r="I373" s="13">
        <f>+[11]Pricing_BEL!$L$24-[10]Pricing_BEL!$L$24</f>
        <v>0</v>
      </c>
      <c r="J373" s="32">
        <f>+[12]Pricing_BEL!$L$24-[11]Pricing_BEL!$L$24</f>
        <v>-79229.078246715479</v>
      </c>
      <c r="K373" s="13">
        <f>+[13]Pricing_BEL!$L$24-[12]Pricing_BEL!$L$24</f>
        <v>0</v>
      </c>
      <c r="L373" s="13">
        <f>+[14]Pricing_BEL!$L$24-[13]Pricing_BEL!$L$24</f>
        <v>0</v>
      </c>
      <c r="M373" s="13">
        <f>+[15]Pricing_BEL!$L$24-[14]Pricing_BEL!$L$24</f>
        <v>427889.03015028732</v>
      </c>
      <c r="N373" s="32">
        <f>+[16]Pricing_BEL!$L$24-[15]Pricing_BEL!$L$24</f>
        <v>0</v>
      </c>
      <c r="O373" s="13">
        <f>+[17]Pricing_BEL!$L$24-[16]Pricing_BEL!$L$24</f>
        <v>0</v>
      </c>
      <c r="P373" s="13">
        <f>+[18]Pricing_BEL!$L$24-[17]Pricing_BEL!$L$24</f>
        <v>-96046.3616769379</v>
      </c>
      <c r="Q373" s="32">
        <f>+[19]Pricing_BEL!$L$24-[18]Pricing_BEL!$L$24</f>
        <v>0</v>
      </c>
      <c r="R373" s="32">
        <f>+[20]Pricing_BEL!$L$24-[19]Pricing_BEL!$L$24</f>
        <v>0</v>
      </c>
      <c r="S373" s="70">
        <f>+[22]Pricing_BEL!$L$24-[20]Pricing_BEL!$L$24</f>
        <v>0</v>
      </c>
      <c r="AI373" s="73"/>
      <c r="AJ373" s="73"/>
      <c r="AK373" s="73"/>
    </row>
    <row r="374" spans="1:37" hidden="1" outlineLevel="1" x14ac:dyDescent="0.25">
      <c r="A374" s="15" t="s">
        <v>25</v>
      </c>
      <c r="B374" s="13">
        <f>'[1]Stat by Mat'!$D$6-'[21]Stat by Mat'!$D$6</f>
        <v>0</v>
      </c>
      <c r="C374" s="13">
        <f>'[5]Stat by Mat'!$D$6-'[1]Stat by Mat'!$D$6</f>
        <v>0</v>
      </c>
      <c r="D374" s="32">
        <f>'[6]Stat by Mat'!$D$6-'[5]Stat by Mat'!$D$6</f>
        <v>530991.98636597767</v>
      </c>
      <c r="E374" s="13">
        <f>'[7]Stat by Mat'!$D$6-'[6]Stat by Mat'!$D$6</f>
        <v>0</v>
      </c>
      <c r="F374" s="13">
        <f>'[8]Stat by Mat'!$D$6-'[7]Stat by Mat'!$D$6</f>
        <v>0</v>
      </c>
      <c r="G374" s="32">
        <f>'[9]Stat by Mat'!$D$6-'[8]Stat by Mat'!$D$6</f>
        <v>7136.3994855992496</v>
      </c>
      <c r="H374" s="13">
        <f>'[10]Stat by Mat'!$D$6-'[9]Stat by Mat'!$D$6</f>
        <v>0</v>
      </c>
      <c r="I374" s="13">
        <f>'[11]Stat by Mat'!$D$6-'[10]Stat by Mat'!$D$6</f>
        <v>0</v>
      </c>
      <c r="J374" s="32">
        <f>'[12]Stat by Mat'!$D$6-'[11]Stat by Mat'!$D$6</f>
        <v>-770125.49159192108</v>
      </c>
      <c r="K374" s="13">
        <f>'[13]Stat by Mat'!$D$6-'[12]Stat by Mat'!$D$6</f>
        <v>0</v>
      </c>
      <c r="L374" s="13">
        <f>'[14]Stat by Mat'!$D$6-'[13]Stat by Mat'!$D$6</f>
        <v>0</v>
      </c>
      <c r="M374" s="13">
        <f>'[15]Stat by Mat'!$D$6-'[14]Stat by Mat'!$D$6</f>
        <v>3409000.3669402562</v>
      </c>
      <c r="N374" s="32">
        <f>'[16]Stat by Mat'!$D$6-'[15]Stat by Mat'!$D$6</f>
        <v>0</v>
      </c>
      <c r="O374" s="13">
        <f>'[17]Stat by Mat'!$D$6-'[16]Stat by Mat'!$D$6</f>
        <v>0</v>
      </c>
      <c r="P374" s="13">
        <f>'[18]Stat by Mat'!$D$6-'[17]Stat by Mat'!$D$6</f>
        <v>-511681.20755518042</v>
      </c>
      <c r="Q374" s="32">
        <f>'[19]Stat by Mat'!$D$6-'[18]Stat by Mat'!$D$6</f>
        <v>0</v>
      </c>
      <c r="R374" s="32">
        <f>'[20]Stat by Mat'!$D$6-'[19]Stat by Mat'!$D$6</f>
        <v>0</v>
      </c>
      <c r="S374" s="70">
        <f>'[22]Stat by Mat'!$D$6-'[20]Stat by Mat'!$D$6</f>
        <v>0</v>
      </c>
      <c r="T374" s="13">
        <f>+B374-SUM(B375:B384)</f>
        <v>0</v>
      </c>
      <c r="U374" s="13">
        <f t="shared" ref="U374:W374" si="287">+C374-SUM(C375:C384)</f>
        <v>0</v>
      </c>
      <c r="V374" s="13">
        <f t="shared" si="287"/>
        <v>0</v>
      </c>
      <c r="W374" s="13">
        <f t="shared" si="287"/>
        <v>0</v>
      </c>
      <c r="X374" s="13">
        <f t="shared" ref="X374" si="288">+F374-SUM(F375:F384)</f>
        <v>0</v>
      </c>
      <c r="Y374" s="13">
        <f t="shared" ref="Y374:AE374" si="289">+G374-SUM(G375:G384)</f>
        <v>1.7462298274040222E-9</v>
      </c>
      <c r="Z374" s="13">
        <f t="shared" si="289"/>
        <v>0</v>
      </c>
      <c r="AA374" s="13">
        <f t="shared" si="289"/>
        <v>0</v>
      </c>
      <c r="AB374" s="13">
        <f t="shared" si="289"/>
        <v>-1.1641532182693481E-9</v>
      </c>
      <c r="AC374" s="13">
        <f t="shared" si="289"/>
        <v>0</v>
      </c>
      <c r="AD374" s="13">
        <f t="shared" si="289"/>
        <v>0</v>
      </c>
      <c r="AE374" s="13">
        <f t="shared" si="289"/>
        <v>320812.02243208932</v>
      </c>
      <c r="AF374" s="13">
        <f t="shared" ref="AF374" si="290">+N374-SUM(N375:N384)</f>
        <v>0</v>
      </c>
      <c r="AG374" s="13">
        <f t="shared" ref="AG374:AH374" si="291">+O374-SUM(O375:O384)</f>
        <v>0</v>
      </c>
      <c r="AH374" s="13">
        <f t="shared" si="291"/>
        <v>-41488.01047432248</v>
      </c>
      <c r="AI374" s="73">
        <f t="shared" ref="AI374" si="292">+Q374-SUM(Q375:Q384)</f>
        <v>0</v>
      </c>
      <c r="AJ374" s="73">
        <f t="shared" ref="AJ374:AK374" si="293">+R374-SUM(R375:R384)</f>
        <v>0</v>
      </c>
      <c r="AK374" s="73">
        <f t="shared" si="293"/>
        <v>0</v>
      </c>
    </row>
    <row r="375" spans="1:37" hidden="1" outlineLevel="2" x14ac:dyDescent="0.25">
      <c r="A375" s="16" t="s">
        <v>26</v>
      </c>
      <c r="B375" s="13">
        <f>+[1]Pricing_BEL!$L$25-[21]Pricing_BEL!$L$25</f>
        <v>0</v>
      </c>
      <c r="C375" s="13">
        <f>+[5]Pricing_BEL!$L$25-[1]Pricing_BEL!$L$25</f>
        <v>0</v>
      </c>
      <c r="D375" s="32">
        <f>+[6]Pricing_BEL!$L$25-[5]Pricing_BEL!$L$25</f>
        <v>139711.09885725239</v>
      </c>
      <c r="E375" s="13">
        <f>+[7]Pricing_BEL!$L$25-[6]Pricing_BEL!$L$25</f>
        <v>0</v>
      </c>
      <c r="F375" s="13">
        <f>+[8]Pricing_BEL!$L$25-[7]Pricing_BEL!$L$25</f>
        <v>0</v>
      </c>
      <c r="G375" s="32">
        <f>+[9]Pricing_BEL!$L$25-[8]Pricing_BEL!$L$25</f>
        <v>35584.414066019934</v>
      </c>
      <c r="H375" s="13">
        <f>+[10]Pricing_BEL!$L$25-[9]Pricing_BEL!$L$25</f>
        <v>0</v>
      </c>
      <c r="I375" s="13">
        <f>+[11]Pricing_BEL!$L$25-[10]Pricing_BEL!$L$25</f>
        <v>0</v>
      </c>
      <c r="J375" s="32">
        <f>+[12]Pricing_BEL!$L$25-[11]Pricing_BEL!$L$25</f>
        <v>-82503.398579550441</v>
      </c>
      <c r="K375" s="13">
        <f>+[13]Pricing_BEL!$L$25-[12]Pricing_BEL!$L$25</f>
        <v>0</v>
      </c>
      <c r="L375" s="13">
        <f>+[14]Pricing_BEL!$L$25-[13]Pricing_BEL!$L$25</f>
        <v>0</v>
      </c>
      <c r="M375" s="13">
        <f>+[15]Pricing_BEL!$L$25-[14]Pricing_BEL!$L$25</f>
        <v>411406.01701614656</v>
      </c>
      <c r="N375" s="32">
        <f>+[16]Pricing_BEL!$L$25-[15]Pricing_BEL!$L$25</f>
        <v>0</v>
      </c>
      <c r="O375" s="13">
        <f>+[17]Pricing_BEL!$L$25-[16]Pricing_BEL!$L$25</f>
        <v>0</v>
      </c>
      <c r="P375" s="13">
        <f>+[18]Pricing_BEL!$L$25-[17]Pricing_BEL!$L$25</f>
        <v>-78723.233454135479</v>
      </c>
      <c r="Q375" s="32">
        <f>+[19]Pricing_BEL!$L$25-[18]Pricing_BEL!$L$25</f>
        <v>0</v>
      </c>
      <c r="R375" s="32">
        <f>+[20]Pricing_BEL!$L$25-[19]Pricing_BEL!$L$25</f>
        <v>0</v>
      </c>
      <c r="S375" s="70">
        <f>+[22]Pricing_BEL!$L$25-[20]Pricing_BEL!$L$25</f>
        <v>0</v>
      </c>
      <c r="AI375" s="73"/>
      <c r="AJ375" s="73"/>
      <c r="AK375" s="73"/>
    </row>
    <row r="376" spans="1:37" hidden="1" outlineLevel="2" x14ac:dyDescent="0.25">
      <c r="A376" s="16" t="s">
        <v>27</v>
      </c>
      <c r="B376" s="13">
        <f>+[1]Pricing_BEL!$L$26-[21]Pricing_BEL!$L$26</f>
        <v>0</v>
      </c>
      <c r="C376" s="13">
        <f>+[5]Pricing_BEL!$L$26-[1]Pricing_BEL!$L$26</f>
        <v>0</v>
      </c>
      <c r="D376" s="32">
        <f>+[6]Pricing_BEL!$L$26-[5]Pricing_BEL!$L$26</f>
        <v>122958.86710502161</v>
      </c>
      <c r="E376" s="13">
        <f>+[7]Pricing_BEL!$L$26-[6]Pricing_BEL!$L$26</f>
        <v>0</v>
      </c>
      <c r="F376" s="13">
        <f>+[8]Pricing_BEL!$L$26-[7]Pricing_BEL!$L$26</f>
        <v>0</v>
      </c>
      <c r="G376" s="32">
        <f>+[9]Pricing_BEL!$L$26-[8]Pricing_BEL!$L$26</f>
        <v>32993.967863015831</v>
      </c>
      <c r="H376" s="13">
        <f>+[10]Pricing_BEL!$L$26-[9]Pricing_BEL!$L$26</f>
        <v>0</v>
      </c>
      <c r="I376" s="13">
        <f>+[11]Pricing_BEL!$L$26-[10]Pricing_BEL!$L$26</f>
        <v>0</v>
      </c>
      <c r="J376" s="32">
        <f>+[12]Pricing_BEL!$L$26-[11]Pricing_BEL!$L$26</f>
        <v>-87040.185159289744</v>
      </c>
      <c r="K376" s="13">
        <f>+[13]Pricing_BEL!$L$26-[12]Pricing_BEL!$L$26</f>
        <v>0</v>
      </c>
      <c r="L376" s="13">
        <f>+[14]Pricing_BEL!$L$26-[13]Pricing_BEL!$L$26</f>
        <v>0</v>
      </c>
      <c r="M376" s="13">
        <f>+[15]Pricing_BEL!$L$26-[14]Pricing_BEL!$L$26</f>
        <v>401488.90297551453</v>
      </c>
      <c r="N376" s="32">
        <f>+[16]Pricing_BEL!$L$26-[15]Pricing_BEL!$L$26</f>
        <v>0</v>
      </c>
      <c r="O376" s="13">
        <f>+[17]Pricing_BEL!$L$26-[16]Pricing_BEL!$L$26</f>
        <v>0</v>
      </c>
      <c r="P376" s="13">
        <f>+[18]Pricing_BEL!$L$26-[17]Pricing_BEL!$L$26</f>
        <v>-69204.487006744137</v>
      </c>
      <c r="Q376" s="32">
        <f>+[19]Pricing_BEL!$L$26-[18]Pricing_BEL!$L$26</f>
        <v>0</v>
      </c>
      <c r="R376" s="32">
        <f>+[20]Pricing_BEL!$L$26-[19]Pricing_BEL!$L$26</f>
        <v>0</v>
      </c>
      <c r="S376" s="70">
        <f>+[22]Pricing_BEL!$L$26-[20]Pricing_BEL!$L$26</f>
        <v>0</v>
      </c>
      <c r="AI376" s="73"/>
      <c r="AJ376" s="73"/>
      <c r="AK376" s="73"/>
    </row>
    <row r="377" spans="1:37" hidden="1" outlineLevel="2" x14ac:dyDescent="0.25">
      <c r="A377" s="16" t="s">
        <v>28</v>
      </c>
      <c r="B377" s="13">
        <f>+[1]Pricing_BEL!$L$27-[21]Pricing_BEL!$L$27</f>
        <v>0</v>
      </c>
      <c r="C377" s="13">
        <f>+[5]Pricing_BEL!$L$27-[1]Pricing_BEL!$L$27</f>
        <v>0</v>
      </c>
      <c r="D377" s="32">
        <f>+[6]Pricing_BEL!$L$27-[5]Pricing_BEL!$L$27</f>
        <v>98409.956185022136</v>
      </c>
      <c r="E377" s="13">
        <f>+[7]Pricing_BEL!$L$27-[6]Pricing_BEL!$L$27</f>
        <v>0</v>
      </c>
      <c r="F377" s="13">
        <f>+[8]Pricing_BEL!$L$27-[7]Pricing_BEL!$L$27</f>
        <v>0</v>
      </c>
      <c r="G377" s="32">
        <f>+[9]Pricing_BEL!$L$27-[8]Pricing_BEL!$L$27</f>
        <v>24528.034495648229</v>
      </c>
      <c r="H377" s="13">
        <f>+[10]Pricing_BEL!$L$27-[9]Pricing_BEL!$L$27</f>
        <v>0</v>
      </c>
      <c r="I377" s="13">
        <f>+[11]Pricing_BEL!$L$27-[10]Pricing_BEL!$L$27</f>
        <v>0</v>
      </c>
      <c r="J377" s="32">
        <f>+[12]Pricing_BEL!$L$27-[11]Pricing_BEL!$L$27</f>
        <v>-98332.278102906886</v>
      </c>
      <c r="K377" s="13">
        <f>+[13]Pricing_BEL!$L$27-[12]Pricing_BEL!$L$27</f>
        <v>0</v>
      </c>
      <c r="L377" s="13">
        <f>+[14]Pricing_BEL!$L$27-[13]Pricing_BEL!$L$27</f>
        <v>0</v>
      </c>
      <c r="M377" s="13">
        <f>+[15]Pricing_BEL!$L$27-[14]Pricing_BEL!$L$27</f>
        <v>386535.79511139425</v>
      </c>
      <c r="N377" s="32">
        <f>+[16]Pricing_BEL!$L$27-[15]Pricing_BEL!$L$27</f>
        <v>0</v>
      </c>
      <c r="O377" s="13">
        <f>+[17]Pricing_BEL!$L$27-[16]Pricing_BEL!$L$27</f>
        <v>0</v>
      </c>
      <c r="P377" s="13">
        <f>+[18]Pricing_BEL!$L$27-[17]Pricing_BEL!$L$27</f>
        <v>-68502.526380031602</v>
      </c>
      <c r="Q377" s="32">
        <f>+[19]Pricing_BEL!$L$27-[18]Pricing_BEL!$L$27</f>
        <v>0</v>
      </c>
      <c r="R377" s="32">
        <f>+[20]Pricing_BEL!$L$27-[19]Pricing_BEL!$L$27</f>
        <v>0</v>
      </c>
      <c r="S377" s="70">
        <f>+[22]Pricing_BEL!$L$27-[20]Pricing_BEL!$L$27</f>
        <v>0</v>
      </c>
      <c r="AI377" s="73"/>
      <c r="AJ377" s="73"/>
      <c r="AK377" s="73"/>
    </row>
    <row r="378" spans="1:37" hidden="1" outlineLevel="2" x14ac:dyDescent="0.25">
      <c r="A378" s="16" t="s">
        <v>29</v>
      </c>
      <c r="B378" s="13">
        <f>+[1]Pricing_BEL!$L$28-[21]Pricing_BEL!$L$28</f>
        <v>0</v>
      </c>
      <c r="C378" s="13">
        <f>+[5]Pricing_BEL!$L$28-[1]Pricing_BEL!$L$28</f>
        <v>0</v>
      </c>
      <c r="D378" s="32">
        <f>+[6]Pricing_BEL!$L$28-[5]Pricing_BEL!$L$28</f>
        <v>68152.340574565809</v>
      </c>
      <c r="E378" s="13">
        <f>+[7]Pricing_BEL!$L$28-[6]Pricing_BEL!$L$28</f>
        <v>0</v>
      </c>
      <c r="F378" s="13">
        <f>+[8]Pricing_BEL!$L$28-[7]Pricing_BEL!$L$28</f>
        <v>0</v>
      </c>
      <c r="G378" s="32">
        <f>+[9]Pricing_BEL!$L$28-[8]Pricing_BEL!$L$28</f>
        <v>-5215.2905855821446</v>
      </c>
      <c r="H378" s="13">
        <f>+[10]Pricing_BEL!$L$28-[9]Pricing_BEL!$L$28</f>
        <v>0</v>
      </c>
      <c r="I378" s="13">
        <f>+[11]Pricing_BEL!$L$28-[10]Pricing_BEL!$L$28</f>
        <v>0</v>
      </c>
      <c r="J378" s="32">
        <f>+[12]Pricing_BEL!$L$28-[11]Pricing_BEL!$L$28</f>
        <v>-103479.97792683728</v>
      </c>
      <c r="K378" s="13">
        <f>+[13]Pricing_BEL!$L$28-[12]Pricing_BEL!$L$28</f>
        <v>0</v>
      </c>
      <c r="L378" s="13">
        <f>+[14]Pricing_BEL!$L$28-[13]Pricing_BEL!$L$28</f>
        <v>0</v>
      </c>
      <c r="M378" s="13">
        <f>+[15]Pricing_BEL!$L$28-[14]Pricing_BEL!$L$28</f>
        <v>369930.01869314769</v>
      </c>
      <c r="N378" s="32">
        <f>+[16]Pricing_BEL!$L$28-[15]Pricing_BEL!$L$28</f>
        <v>0</v>
      </c>
      <c r="O378" s="13">
        <f>+[17]Pricing_BEL!$L$28-[16]Pricing_BEL!$L$28</f>
        <v>0</v>
      </c>
      <c r="P378" s="13">
        <f>+[18]Pricing_BEL!$L$28-[17]Pricing_BEL!$L$28</f>
        <v>-61858.984789761249</v>
      </c>
      <c r="Q378" s="32">
        <f>+[19]Pricing_BEL!$L$28-[18]Pricing_BEL!$L$28</f>
        <v>0</v>
      </c>
      <c r="R378" s="32">
        <f>+[20]Pricing_BEL!$L$28-[19]Pricing_BEL!$L$28</f>
        <v>0</v>
      </c>
      <c r="S378" s="70">
        <f>+[22]Pricing_BEL!$L$28-[20]Pricing_BEL!$L$28</f>
        <v>0</v>
      </c>
      <c r="AI378" s="73"/>
      <c r="AJ378" s="73"/>
      <c r="AK378" s="73"/>
    </row>
    <row r="379" spans="1:37" hidden="1" outlineLevel="2" x14ac:dyDescent="0.25">
      <c r="A379" s="16" t="s">
        <v>30</v>
      </c>
      <c r="B379" s="13">
        <f>+[1]Pricing_BEL!$L$29-[21]Pricing_BEL!$L$29</f>
        <v>0</v>
      </c>
      <c r="C379" s="13">
        <f>+[5]Pricing_BEL!$L$29-[1]Pricing_BEL!$L$29</f>
        <v>0</v>
      </c>
      <c r="D379" s="32">
        <f>+[6]Pricing_BEL!$L$29-[5]Pricing_BEL!$L$29</f>
        <v>56159.582783691352</v>
      </c>
      <c r="E379" s="13">
        <f>+[7]Pricing_BEL!$L$29-[6]Pricing_BEL!$L$29</f>
        <v>0</v>
      </c>
      <c r="F379" s="13">
        <f>+[8]Pricing_BEL!$L$29-[7]Pricing_BEL!$L$29</f>
        <v>0</v>
      </c>
      <c r="G379" s="32">
        <f>+[9]Pricing_BEL!$L$29-[8]Pricing_BEL!$L$29</f>
        <v>-94.954868017230183</v>
      </c>
      <c r="H379" s="13">
        <f>+[10]Pricing_BEL!$L$29-[9]Pricing_BEL!$L$29</f>
        <v>0</v>
      </c>
      <c r="I379" s="13">
        <f>+[11]Pricing_BEL!$L$29-[10]Pricing_BEL!$L$29</f>
        <v>0</v>
      </c>
      <c r="J379" s="32">
        <f>+[12]Pricing_BEL!$L$29-[11]Pricing_BEL!$L$29</f>
        <v>-74004.198445861693</v>
      </c>
      <c r="K379" s="13">
        <f>+[13]Pricing_BEL!$L$29-[12]Pricing_BEL!$L$29</f>
        <v>0</v>
      </c>
      <c r="L379" s="13">
        <f>+[14]Pricing_BEL!$L$29-[13]Pricing_BEL!$L$29</f>
        <v>0</v>
      </c>
      <c r="M379" s="13">
        <f>+[15]Pricing_BEL!$L$29-[14]Pricing_BEL!$L$29</f>
        <v>359001.87075329758</v>
      </c>
      <c r="N379" s="32">
        <f>+[16]Pricing_BEL!$L$29-[15]Pricing_BEL!$L$29</f>
        <v>0</v>
      </c>
      <c r="O379" s="13">
        <f>+[17]Pricing_BEL!$L$29-[16]Pricing_BEL!$L$29</f>
        <v>0</v>
      </c>
      <c r="P379" s="13">
        <f>+[18]Pricing_BEL!$L$29-[17]Pricing_BEL!$L$29</f>
        <v>-38724.98829723103</v>
      </c>
      <c r="Q379" s="32">
        <f>+[19]Pricing_BEL!$L$29-[18]Pricing_BEL!$L$29</f>
        <v>0</v>
      </c>
      <c r="R379" s="32">
        <f>+[20]Pricing_BEL!$L$29-[19]Pricing_BEL!$L$29</f>
        <v>0</v>
      </c>
      <c r="S379" s="70">
        <f>+[22]Pricing_BEL!$L$29-[20]Pricing_BEL!$L$29</f>
        <v>0</v>
      </c>
      <c r="AI379" s="73"/>
      <c r="AJ379" s="73"/>
      <c r="AK379" s="73"/>
    </row>
    <row r="380" spans="1:37" hidden="1" outlineLevel="2" x14ac:dyDescent="0.25">
      <c r="A380" s="16" t="s">
        <v>31</v>
      </c>
      <c r="B380" s="13">
        <f>+[1]Pricing_BEL!$L$30-[21]Pricing_BEL!$L$30</f>
        <v>0</v>
      </c>
      <c r="C380" s="13">
        <f>+[5]Pricing_BEL!$L$30-[1]Pricing_BEL!$L$30</f>
        <v>0</v>
      </c>
      <c r="D380" s="32">
        <f>+[6]Pricing_BEL!$L$30-[5]Pricing_BEL!$L$30</f>
        <v>47205.229597161291</v>
      </c>
      <c r="E380" s="13">
        <f>+[7]Pricing_BEL!$L$30-[6]Pricing_BEL!$L$30</f>
        <v>0</v>
      </c>
      <c r="F380" s="13">
        <f>+[8]Pricing_BEL!$L$30-[7]Pricing_BEL!$L$30</f>
        <v>0</v>
      </c>
      <c r="G380" s="32">
        <f>+[9]Pricing_BEL!$L$30-[8]Pricing_BEL!$L$30</f>
        <v>7236.2735708216205</v>
      </c>
      <c r="H380" s="13">
        <f>+[10]Pricing_BEL!$L$30-[9]Pricing_BEL!$L$30</f>
        <v>0</v>
      </c>
      <c r="I380" s="13">
        <f>+[11]Pricing_BEL!$L$30-[10]Pricing_BEL!$L$30</f>
        <v>0</v>
      </c>
      <c r="J380" s="32">
        <f>+[12]Pricing_BEL!$L$30-[11]Pricing_BEL!$L$30</f>
        <v>-73784.181502879132</v>
      </c>
      <c r="K380" s="13">
        <f>+[13]Pricing_BEL!$L$30-[12]Pricing_BEL!$L$30</f>
        <v>0</v>
      </c>
      <c r="L380" s="13">
        <f>+[14]Pricing_BEL!$L$30-[13]Pricing_BEL!$L$30</f>
        <v>0</v>
      </c>
      <c r="M380" s="13">
        <f>+[15]Pricing_BEL!$L$30-[14]Pricing_BEL!$L$30</f>
        <v>347808.17798647634</v>
      </c>
      <c r="N380" s="32">
        <f>+[16]Pricing_BEL!$L$30-[15]Pricing_BEL!$L$30</f>
        <v>0</v>
      </c>
      <c r="O380" s="13">
        <f>+[17]Pricing_BEL!$L$30-[16]Pricing_BEL!$L$30</f>
        <v>0</v>
      </c>
      <c r="P380" s="13">
        <f>+[18]Pricing_BEL!$L$30-[17]Pricing_BEL!$L$30</f>
        <v>-29287.324570972938</v>
      </c>
      <c r="Q380" s="32">
        <f>+[19]Pricing_BEL!$L$30-[18]Pricing_BEL!$L$30</f>
        <v>0</v>
      </c>
      <c r="R380" s="32">
        <f>+[20]Pricing_BEL!$L$30-[19]Pricing_BEL!$L$30</f>
        <v>0</v>
      </c>
      <c r="S380" s="70">
        <f>+[22]Pricing_BEL!$L$30-[20]Pricing_BEL!$L$30</f>
        <v>0</v>
      </c>
      <c r="AI380" s="73"/>
      <c r="AJ380" s="73"/>
      <c r="AK380" s="73"/>
    </row>
    <row r="381" spans="1:37" hidden="1" outlineLevel="2" x14ac:dyDescent="0.25">
      <c r="A381" s="16" t="s">
        <v>32</v>
      </c>
      <c r="B381" s="13">
        <f>+[1]Pricing_BEL!$L$31-[21]Pricing_BEL!$L$31</f>
        <v>0</v>
      </c>
      <c r="C381" s="13">
        <f>+[5]Pricing_BEL!$L$31-[1]Pricing_BEL!$L$31</f>
        <v>0</v>
      </c>
      <c r="D381" s="32">
        <f>+[6]Pricing_BEL!$L$31-[5]Pricing_BEL!$L$31</f>
        <v>31209.639107181923</v>
      </c>
      <c r="E381" s="13">
        <f>+[7]Pricing_BEL!$L$31-[6]Pricing_BEL!$L$31</f>
        <v>0</v>
      </c>
      <c r="F381" s="13">
        <f>+[8]Pricing_BEL!$L$31-[7]Pricing_BEL!$L$31</f>
        <v>0</v>
      </c>
      <c r="G381" s="32">
        <f>+[9]Pricing_BEL!$L$31-[8]Pricing_BEL!$L$31</f>
        <v>5234.9670209340984</v>
      </c>
      <c r="H381" s="13">
        <f>+[10]Pricing_BEL!$L$31-[9]Pricing_BEL!$L$31</f>
        <v>0</v>
      </c>
      <c r="I381" s="13">
        <f>+[11]Pricing_BEL!$L$31-[10]Pricing_BEL!$L$31</f>
        <v>0</v>
      </c>
      <c r="J381" s="32">
        <f>+[12]Pricing_BEL!$L$31-[11]Pricing_BEL!$L$31</f>
        <v>-74175.162413002108</v>
      </c>
      <c r="K381" s="13">
        <f>+[13]Pricing_BEL!$L$31-[12]Pricing_BEL!$L$31</f>
        <v>0</v>
      </c>
      <c r="L381" s="13">
        <f>+[14]Pricing_BEL!$L$31-[13]Pricing_BEL!$L$31</f>
        <v>0</v>
      </c>
      <c r="M381" s="13">
        <f>+[15]Pricing_BEL!$L$31-[14]Pricing_BEL!$L$31</f>
        <v>346012.07564966893</v>
      </c>
      <c r="N381" s="32">
        <f>+[16]Pricing_BEL!$L$31-[15]Pricing_BEL!$L$31</f>
        <v>0</v>
      </c>
      <c r="O381" s="13">
        <f>+[17]Pricing_BEL!$L$31-[16]Pricing_BEL!$L$31</f>
        <v>0</v>
      </c>
      <c r="P381" s="13">
        <f>+[18]Pricing_BEL!$L$31-[17]Pricing_BEL!$L$31</f>
        <v>-19098.818413549103</v>
      </c>
      <c r="Q381" s="32">
        <f>+[19]Pricing_BEL!$L$31-[18]Pricing_BEL!$L$31</f>
        <v>0</v>
      </c>
      <c r="R381" s="32">
        <f>+[20]Pricing_BEL!$L$31-[19]Pricing_BEL!$L$31</f>
        <v>0</v>
      </c>
      <c r="S381" s="70">
        <f>+[22]Pricing_BEL!$L$31-[20]Pricing_BEL!$L$31</f>
        <v>0</v>
      </c>
      <c r="AI381" s="73"/>
      <c r="AJ381" s="73"/>
      <c r="AK381" s="73"/>
    </row>
    <row r="382" spans="1:37" hidden="1" outlineLevel="2" x14ac:dyDescent="0.25">
      <c r="A382" s="16" t="s">
        <v>33</v>
      </c>
      <c r="B382" s="13">
        <f>+[1]Pricing_BEL!$L$32-[21]Pricing_BEL!$L$32</f>
        <v>0</v>
      </c>
      <c r="C382" s="13">
        <f>+[5]Pricing_BEL!$L$32-[1]Pricing_BEL!$L$32</f>
        <v>0</v>
      </c>
      <c r="D382" s="32">
        <f>+[6]Pricing_BEL!$L$32-[5]Pricing_BEL!$L$32</f>
        <v>18530.439906843589</v>
      </c>
      <c r="E382" s="13">
        <f>+[7]Pricing_BEL!$L$32-[6]Pricing_BEL!$L$32</f>
        <v>0</v>
      </c>
      <c r="F382" s="13">
        <f>+[8]Pricing_BEL!$L$32-[7]Pricing_BEL!$L$32</f>
        <v>0</v>
      </c>
      <c r="G382" s="32">
        <f>+[9]Pricing_BEL!$L$32-[8]Pricing_BEL!$L$32</f>
        <v>1849.5681053160224</v>
      </c>
      <c r="H382" s="13">
        <f>+[10]Pricing_BEL!$L$32-[9]Pricing_BEL!$L$32</f>
        <v>0</v>
      </c>
      <c r="I382" s="13">
        <f>+[11]Pricing_BEL!$L$32-[10]Pricing_BEL!$L$32</f>
        <v>0</v>
      </c>
      <c r="J382" s="32">
        <f>+[12]Pricing_BEL!$L$32-[11]Pricing_BEL!$L$32</f>
        <v>-85936.478729328956</v>
      </c>
      <c r="K382" s="13">
        <f>+[13]Pricing_BEL!$L$32-[12]Pricing_BEL!$L$32</f>
        <v>0</v>
      </c>
      <c r="L382" s="13">
        <f>+[13]Pricing_BEL!$L$32-[13]Pricing_BEL!$L$32</f>
        <v>0</v>
      </c>
      <c r="M382" s="13">
        <f>+[14]Pricing_BEL!$L$32-[14]Pricing_BEL!$L$32</f>
        <v>0</v>
      </c>
      <c r="N382" s="32">
        <f>+[15]Pricing_BEL!$L$32-[15]Pricing_BEL!$L$32</f>
        <v>0</v>
      </c>
      <c r="O382" s="13">
        <f>+[16]Pricing_BEL!$L$32-[16]Pricing_BEL!$L$32</f>
        <v>0</v>
      </c>
      <c r="P382" s="13">
        <f>+[17]Pricing_BEL!$L$32-[17]Pricing_BEL!$L$32</f>
        <v>0</v>
      </c>
      <c r="Q382" s="32">
        <f>+[18]Pricing_BEL!$L$32-[18]Pricing_BEL!$L$32</f>
        <v>0</v>
      </c>
      <c r="R382" s="32">
        <f>+[19]Pricing_BEL!$L$32-[19]Pricing_BEL!$L$32</f>
        <v>0</v>
      </c>
      <c r="S382" s="70">
        <f>+[20]Pricing_BEL!$L$32-[20]Pricing_BEL!$L$32</f>
        <v>0</v>
      </c>
      <c r="AI382" s="73"/>
      <c r="AJ382" s="73"/>
      <c r="AK382" s="73"/>
    </row>
    <row r="383" spans="1:37" hidden="1" outlineLevel="2" x14ac:dyDescent="0.25">
      <c r="A383" s="16" t="s">
        <v>34</v>
      </c>
      <c r="B383" s="13">
        <f>+[1]Pricing_BEL!$L$33-[21]Pricing_BEL!$L$33</f>
        <v>0</v>
      </c>
      <c r="C383" s="13">
        <f>+[5]Pricing_BEL!$L$33-[1]Pricing_BEL!$L$33</f>
        <v>0</v>
      </c>
      <c r="D383" s="32">
        <f>+[6]Pricing_BEL!$L$33-[5]Pricing_BEL!$L$33</f>
        <v>-26226.126610705454</v>
      </c>
      <c r="E383" s="13">
        <f>+[7]Pricing_BEL!$L$33-[6]Pricing_BEL!$L$33</f>
        <v>0</v>
      </c>
      <c r="F383" s="13">
        <f>+[8]Pricing_BEL!$L$33-[7]Pricing_BEL!$L$33</f>
        <v>0</v>
      </c>
      <c r="G383" s="32">
        <f>+[9]Pricing_BEL!$L$33-[8]Pricing_BEL!$L$33</f>
        <v>-48181.069897818146</v>
      </c>
      <c r="H383" s="13">
        <f>+[10]Pricing_BEL!$L$33-[9]Pricing_BEL!$L$33</f>
        <v>0</v>
      </c>
      <c r="I383" s="13">
        <f>+[11]Pricing_BEL!$L$33-[10]Pricing_BEL!$L$33</f>
        <v>0</v>
      </c>
      <c r="J383" s="32">
        <f>+[12]Pricing_BEL!$L$33-[11]Pricing_BEL!$L$33</f>
        <v>-87295.541317380033</v>
      </c>
      <c r="K383" s="13">
        <f>+[13]Pricing_BEL!$L$33-[12]Pricing_BEL!$L$33</f>
        <v>0</v>
      </c>
      <c r="L383" s="13">
        <f>+[14]Pricing_BEL!$L$33-[13]Pricing_BEL!$L$33</f>
        <v>0</v>
      </c>
      <c r="M383" s="13">
        <f>+[15]Pricing_BEL!$L$33-[14]Pricing_BEL!$L$33</f>
        <v>271011.88090887916</v>
      </c>
      <c r="N383" s="32">
        <f>+[16]Pricing_BEL!$L$33-[15]Pricing_BEL!$L$33</f>
        <v>0</v>
      </c>
      <c r="O383" s="13">
        <f>+[17]Pricing_BEL!$L$33-[16]Pricing_BEL!$L$33</f>
        <v>0</v>
      </c>
      <c r="P383" s="13">
        <f>+[18]Pricing_BEL!$L$33-[17]Pricing_BEL!$L$33</f>
        <v>-62793.484578326403</v>
      </c>
      <c r="Q383" s="32">
        <f>+[19]Pricing_BEL!$L$33-[18]Pricing_BEL!$L$33</f>
        <v>0</v>
      </c>
      <c r="R383" s="32">
        <f>+[20]Pricing_BEL!$L$33-[19]Pricing_BEL!$L$33</f>
        <v>0</v>
      </c>
      <c r="S383" s="70">
        <f>+[22]Pricing_BEL!$L$33-[20]Pricing_BEL!$L$33</f>
        <v>0</v>
      </c>
      <c r="AI383" s="73"/>
      <c r="AJ383" s="73"/>
      <c r="AK383" s="73"/>
    </row>
    <row r="384" spans="1:37" hidden="1" outlineLevel="2" x14ac:dyDescent="0.25">
      <c r="A384" s="16" t="s">
        <v>35</v>
      </c>
      <c r="B384" s="13">
        <f>+[1]Pricing_BEL!$L$34-[21]Pricing_BEL!$L$34</f>
        <v>0</v>
      </c>
      <c r="C384" s="13">
        <f>+[5]Pricing_BEL!$L$34-[1]Pricing_BEL!$L$34</f>
        <v>0</v>
      </c>
      <c r="D384" s="32">
        <f>+[6]Pricing_BEL!$L$34-[5]Pricing_BEL!$L$34</f>
        <v>-25119.041140056099</v>
      </c>
      <c r="E384" s="13">
        <f>+[7]Pricing_BEL!$L$34-[6]Pricing_BEL!$L$34</f>
        <v>0</v>
      </c>
      <c r="F384" s="13">
        <f>+[8]Pricing_BEL!$L$34-[7]Pricing_BEL!$L$34</f>
        <v>0</v>
      </c>
      <c r="G384" s="32">
        <f>+[9]Pricing_BEL!$L$34-[8]Pricing_BEL!$L$34</f>
        <v>-46799.510284740711</v>
      </c>
      <c r="H384" s="13">
        <f>+[10]Pricing_BEL!$L$34-[9]Pricing_BEL!$L$34</f>
        <v>0</v>
      </c>
      <c r="I384" s="13">
        <f>+[11]Pricing_BEL!$L$34-[10]Pricing_BEL!$L$34</f>
        <v>0</v>
      </c>
      <c r="J384" s="32">
        <f>+[12]Pricing_BEL!$L$34-[11]Pricing_BEL!$L$34</f>
        <v>-3574.0894148836378</v>
      </c>
      <c r="K384" s="13">
        <f>+[13]Pricing_BEL!$L$34-[12]Pricing_BEL!$L$34</f>
        <v>0</v>
      </c>
      <c r="L384" s="13">
        <f>+[14]Pricing_BEL!$L$34-[13]Pricing_BEL!$L$34</f>
        <v>0</v>
      </c>
      <c r="M384" s="13">
        <f>+[15]Pricing_BEL!$L$34-[14]Pricing_BEL!$L$34</f>
        <v>194993.6054136423</v>
      </c>
      <c r="N384" s="32">
        <f>+[16]Pricing_BEL!$L$34-[15]Pricing_BEL!$L$34</f>
        <v>0</v>
      </c>
      <c r="O384" s="13">
        <f>+[17]Pricing_BEL!$L$34-[16]Pricing_BEL!$L$34</f>
        <v>0</v>
      </c>
      <c r="P384" s="13">
        <f>+[18]Pricing_BEL!$L$34-[17]Pricing_BEL!$L$34</f>
        <v>-41999.349590105994</v>
      </c>
      <c r="Q384" s="32">
        <f>+[19]Pricing_BEL!$L$34-[18]Pricing_BEL!$L$34</f>
        <v>0</v>
      </c>
      <c r="R384" s="32">
        <f>+[20]Pricing_BEL!$L$34-[19]Pricing_BEL!$L$34</f>
        <v>0</v>
      </c>
      <c r="S384" s="70">
        <f>+[22]Pricing_BEL!$L$34-[20]Pricing_BEL!$L$34</f>
        <v>0</v>
      </c>
      <c r="AI384" s="73"/>
      <c r="AJ384" s="73"/>
      <c r="AK384" s="73"/>
    </row>
    <row r="385" spans="1:37" hidden="1" outlineLevel="1" x14ac:dyDescent="0.25">
      <c r="A385" s="15" t="s">
        <v>36</v>
      </c>
      <c r="B385" s="13">
        <f>'[1]Stat by Mat'!$D$7-'[21]Stat by Mat'!$D$7</f>
        <v>0</v>
      </c>
      <c r="C385" s="13">
        <f>'[5]Stat by Mat'!$D$7-'[1]Stat by Mat'!$D$7</f>
        <v>0</v>
      </c>
      <c r="D385" s="32">
        <f>'[6]Stat by Mat'!$D$7-'[5]Stat by Mat'!$D$7</f>
        <v>-32330.478230468114</v>
      </c>
      <c r="E385" s="13">
        <f>'[7]Stat by Mat'!$D$7-'[6]Stat by Mat'!$D$7</f>
        <v>0</v>
      </c>
      <c r="F385" s="13">
        <f>'[8]Stat by Mat'!$D$7-'[7]Stat by Mat'!$D$7</f>
        <v>0</v>
      </c>
      <c r="G385" s="32">
        <f>'[9]Stat by Mat'!$D$7-'[8]Stat by Mat'!$D$7</f>
        <v>-61590.525742981699</v>
      </c>
      <c r="H385" s="13">
        <f>'[10]Stat by Mat'!$D$7-'[9]Stat by Mat'!$D$7</f>
        <v>0</v>
      </c>
      <c r="I385" s="13">
        <f>'[11]Stat by Mat'!$D$7-'[10]Stat by Mat'!$D$7</f>
        <v>0</v>
      </c>
      <c r="J385" s="32">
        <f>'[12]Stat by Mat'!$D$7-'[11]Stat by Mat'!$D$7</f>
        <v>-38555.239155323477</v>
      </c>
      <c r="K385" s="13">
        <f>'[13]Stat by Mat'!$D$7-'[12]Stat by Mat'!$D$7</f>
        <v>0</v>
      </c>
      <c r="L385" s="13">
        <f>'[14]Stat by Mat'!$D$7-'[13]Stat by Mat'!$D$7</f>
        <v>0</v>
      </c>
      <c r="M385" s="13">
        <f>'[15]Stat by Mat'!$D$7-'[14]Stat by Mat'!$D$7</f>
        <v>570995.68549203209</v>
      </c>
      <c r="N385" s="32">
        <f>'[16]Stat by Mat'!$D$7-'[15]Stat by Mat'!$D$7</f>
        <v>0</v>
      </c>
      <c r="O385" s="13">
        <f>'[17]Stat by Mat'!$D$7-'[16]Stat by Mat'!$D$7</f>
        <v>0</v>
      </c>
      <c r="P385" s="13">
        <f>'[18]Stat by Mat'!$D$7-'[17]Stat by Mat'!$D$7</f>
        <v>-215744.12054794945</v>
      </c>
      <c r="Q385" s="32">
        <f>'[19]Stat by Mat'!$D$7-'[18]Stat by Mat'!$D$7</f>
        <v>0</v>
      </c>
      <c r="R385" s="32">
        <f>'[20]Stat by Mat'!$D$7-'[19]Stat by Mat'!$D$7</f>
        <v>0</v>
      </c>
      <c r="S385" s="70">
        <f>'[22]Stat by Mat'!$D$7-'[20]Stat by Mat'!$D$7</f>
        <v>0</v>
      </c>
      <c r="T385" s="13">
        <f>+B385-SUM(B386:B405)</f>
        <v>0</v>
      </c>
      <c r="U385" s="13">
        <f t="shared" ref="U385:W385" si="294">+C385-SUM(C386:C405)</f>
        <v>0</v>
      </c>
      <c r="V385" s="13">
        <f t="shared" si="294"/>
        <v>-8.7311491370201111E-11</v>
      </c>
      <c r="W385" s="13">
        <f t="shared" si="294"/>
        <v>0</v>
      </c>
      <c r="X385" s="13">
        <f t="shared" ref="X385" si="295">+F385-SUM(F386:F405)</f>
        <v>0</v>
      </c>
      <c r="Y385" s="13">
        <f t="shared" ref="Y385:AE385" si="296">+G385-SUM(G386:G405)</f>
        <v>0</v>
      </c>
      <c r="Z385" s="13">
        <f t="shared" si="296"/>
        <v>0</v>
      </c>
      <c r="AA385" s="13">
        <f t="shared" si="296"/>
        <v>0</v>
      </c>
      <c r="AB385" s="13">
        <f t="shared" si="296"/>
        <v>0</v>
      </c>
      <c r="AC385" s="13">
        <f t="shared" si="296"/>
        <v>0</v>
      </c>
      <c r="AD385" s="13">
        <f t="shared" si="296"/>
        <v>0</v>
      </c>
      <c r="AE385" s="13">
        <f t="shared" si="296"/>
        <v>0</v>
      </c>
      <c r="AF385" s="13">
        <f t="shared" ref="AF385" si="297">+N385-SUM(N386:N405)</f>
        <v>0</v>
      </c>
      <c r="AG385" s="13">
        <f t="shared" ref="AG385:AH385" si="298">+O385-SUM(O386:O405)</f>
        <v>0</v>
      </c>
      <c r="AH385" s="13">
        <f t="shared" si="298"/>
        <v>0</v>
      </c>
      <c r="AI385" s="73">
        <f t="shared" ref="AI385" si="299">+Q385-SUM(Q386:Q405)</f>
        <v>0</v>
      </c>
      <c r="AJ385" s="73">
        <f t="shared" ref="AJ385:AK385" si="300">+R385-SUM(R386:R405)</f>
        <v>0</v>
      </c>
      <c r="AK385" s="73">
        <f t="shared" si="300"/>
        <v>0</v>
      </c>
    </row>
    <row r="386" spans="1:37" hidden="1" outlineLevel="2" x14ac:dyDescent="0.25">
      <c r="A386" s="16" t="s">
        <v>37</v>
      </c>
      <c r="B386" s="13">
        <f>+[1]Pricing_BEL!$L$35-[21]Pricing_BEL!$L$35</f>
        <v>0</v>
      </c>
      <c r="C386" s="13">
        <f>+[5]Pricing_BEL!$L$35-[1]Pricing_BEL!$L$35</f>
        <v>0</v>
      </c>
      <c r="D386" s="32">
        <f>+[6]Pricing_BEL!$L$35-[5]Pricing_BEL!$L$35</f>
        <v>-11785.435274837248</v>
      </c>
      <c r="E386" s="13">
        <f>+[7]Pricing_BEL!$L$35-[6]Pricing_BEL!$L$35</f>
        <v>0</v>
      </c>
      <c r="F386" s="13">
        <f>+[8]Pricing_BEL!$L$35-[7]Pricing_BEL!$L$35</f>
        <v>0</v>
      </c>
      <c r="G386" s="32">
        <f>+[9]Pricing_BEL!$L$35-[8]Pricing_BEL!$L$35</f>
        <v>-20106.68686792755</v>
      </c>
      <c r="H386" s="13">
        <f>+[10]Pricing_BEL!$L$35-[9]Pricing_BEL!$L$35</f>
        <v>0</v>
      </c>
      <c r="I386" s="13">
        <f>+[11]Pricing_BEL!$L$35-[10]Pricing_BEL!$L$35</f>
        <v>0</v>
      </c>
      <c r="J386" s="32">
        <f>+[12]Pricing_BEL!$L$35-[11]Pricing_BEL!$L$35</f>
        <v>-4340.4784589266055</v>
      </c>
      <c r="K386" s="13">
        <f>+[13]Pricing_BEL!$L$35-[12]Pricing_BEL!$L$35</f>
        <v>0</v>
      </c>
      <c r="L386" s="13">
        <f>+[14]Pricing_BEL!$L$35-[13]Pricing_BEL!$L$35</f>
        <v>0</v>
      </c>
      <c r="M386" s="13">
        <f>+[15]Pricing_BEL!$L$35-[14]Pricing_BEL!$L$35</f>
        <v>122776.36397718676</v>
      </c>
      <c r="N386" s="32">
        <f>+[16]Pricing_BEL!$L$35-[15]Pricing_BEL!$L$35</f>
        <v>0</v>
      </c>
      <c r="O386" s="13">
        <f>+[17]Pricing_BEL!$L$35-[16]Pricing_BEL!$L$35</f>
        <v>0</v>
      </c>
      <c r="P386" s="13">
        <f>+[18]Pricing_BEL!$L$35-[17]Pricing_BEL!$L$35</f>
        <v>-29613.319637202396</v>
      </c>
      <c r="Q386" s="32">
        <f>+[19]Pricing_BEL!$L$35-[18]Pricing_BEL!$L$35</f>
        <v>0</v>
      </c>
      <c r="R386" s="32">
        <f>+[20]Pricing_BEL!$L$35-[19]Pricing_BEL!$L$35</f>
        <v>0</v>
      </c>
      <c r="S386" s="70">
        <f>+[22]Pricing_BEL!$L$35-[20]Pricing_BEL!$L$35</f>
        <v>0</v>
      </c>
      <c r="AI386" s="73"/>
      <c r="AJ386" s="73"/>
      <c r="AK386" s="73"/>
    </row>
    <row r="387" spans="1:37" hidden="1" outlineLevel="2" x14ac:dyDescent="0.25">
      <c r="A387" s="16" t="s">
        <v>38</v>
      </c>
      <c r="B387" s="13">
        <f>+[1]Pricing_BEL!$L$36-[21]Pricing_BEL!$L$36</f>
        <v>0</v>
      </c>
      <c r="C387" s="13">
        <f>+[5]Pricing_BEL!$L$36-[1]Pricing_BEL!$L$36</f>
        <v>0</v>
      </c>
      <c r="D387" s="32">
        <f>+[6]Pricing_BEL!$L$36-[5]Pricing_BEL!$L$36</f>
        <v>-4648.9615564595442</v>
      </c>
      <c r="E387" s="13">
        <f>+[7]Pricing_BEL!$L$36-[6]Pricing_BEL!$L$36</f>
        <v>0</v>
      </c>
      <c r="F387" s="13">
        <f>+[8]Pricing_BEL!$L$36-[7]Pricing_BEL!$L$36</f>
        <v>0</v>
      </c>
      <c r="G387" s="32">
        <f>+[9]Pricing_BEL!$L$36-[8]Pricing_BEL!$L$36</f>
        <v>-9142.2199265735399</v>
      </c>
      <c r="H387" s="13">
        <f>+[10]Pricing_BEL!$L$36-[9]Pricing_BEL!$L$36</f>
        <v>0</v>
      </c>
      <c r="I387" s="13">
        <f>+[11]Pricing_BEL!$L$36-[10]Pricing_BEL!$L$36</f>
        <v>0</v>
      </c>
      <c r="J387" s="32">
        <f>+[12]Pricing_BEL!$L$36-[11]Pricing_BEL!$L$36</f>
        <v>-7686.9034952860384</v>
      </c>
      <c r="K387" s="13">
        <f>+[13]Pricing_BEL!$L$36-[12]Pricing_BEL!$L$36</f>
        <v>0</v>
      </c>
      <c r="L387" s="13">
        <f>+[14]Pricing_BEL!$L$36-[13]Pricing_BEL!$L$36</f>
        <v>0</v>
      </c>
      <c r="M387" s="13">
        <f>+[15]Pricing_BEL!$L$36-[14]Pricing_BEL!$L$36</f>
        <v>95388.408431612232</v>
      </c>
      <c r="N387" s="32">
        <f>+[16]Pricing_BEL!$L$36-[15]Pricing_BEL!$L$36</f>
        <v>0</v>
      </c>
      <c r="O387" s="13">
        <f>+[17]Pricing_BEL!$L$36-[16]Pricing_BEL!$L$36</f>
        <v>0</v>
      </c>
      <c r="P387" s="13">
        <f>+[18]Pricing_BEL!$L$36-[17]Pricing_BEL!$L$36</f>
        <v>-24911.066112716173</v>
      </c>
      <c r="Q387" s="32">
        <f>+[19]Pricing_BEL!$L$36-[18]Pricing_BEL!$L$36</f>
        <v>0</v>
      </c>
      <c r="R387" s="32">
        <f>+[20]Pricing_BEL!$L$36-[19]Pricing_BEL!$L$36</f>
        <v>0</v>
      </c>
      <c r="S387" s="70">
        <f>+[22]Pricing_BEL!$L$36-[20]Pricing_BEL!$L$36</f>
        <v>0</v>
      </c>
      <c r="AI387" s="73"/>
      <c r="AJ387" s="73"/>
      <c r="AK387" s="73"/>
    </row>
    <row r="388" spans="1:37" hidden="1" outlineLevel="2" x14ac:dyDescent="0.25">
      <c r="A388" s="16" t="s">
        <v>39</v>
      </c>
      <c r="B388" s="13">
        <f>+[1]Pricing_BEL!$L$37-[21]Pricing_BEL!$L$37</f>
        <v>0</v>
      </c>
      <c r="C388" s="13">
        <f>+[5]Pricing_BEL!$L$37-[1]Pricing_BEL!$L$37</f>
        <v>0</v>
      </c>
      <c r="D388" s="32">
        <f>+[6]Pricing_BEL!$L$37-[5]Pricing_BEL!$L$37</f>
        <v>-3907.6641183605534</v>
      </c>
      <c r="E388" s="13">
        <f>+[7]Pricing_BEL!$L$37-[6]Pricing_BEL!$L$37</f>
        <v>0</v>
      </c>
      <c r="F388" s="13">
        <f>+[8]Pricing_BEL!$L$37-[7]Pricing_BEL!$L$37</f>
        <v>0</v>
      </c>
      <c r="G388" s="32">
        <f>+[9]Pricing_BEL!$L$37-[8]Pricing_BEL!$L$37</f>
        <v>-6562.037387303295</v>
      </c>
      <c r="H388" s="13">
        <f>+[10]Pricing_BEL!$L$37-[9]Pricing_BEL!$L$37</f>
        <v>0</v>
      </c>
      <c r="I388" s="13">
        <f>+[11]Pricing_BEL!$L$37-[10]Pricing_BEL!$L$37</f>
        <v>0</v>
      </c>
      <c r="J388" s="32">
        <f>+[12]Pricing_BEL!$L$37-[11]Pricing_BEL!$L$37</f>
        <v>-10133.982517533615</v>
      </c>
      <c r="K388" s="13">
        <f>+[13]Pricing_BEL!$L$37-[12]Pricing_BEL!$L$37</f>
        <v>0</v>
      </c>
      <c r="L388" s="13">
        <f>+[14]Pricing_BEL!$L$37-[13]Pricing_BEL!$L$37</f>
        <v>0</v>
      </c>
      <c r="M388" s="13">
        <f>+[15]Pricing_BEL!$L$37-[14]Pricing_BEL!$L$37</f>
        <v>82670.440144883949</v>
      </c>
      <c r="N388" s="32">
        <f>+[16]Pricing_BEL!$L$37-[15]Pricing_BEL!$L$37</f>
        <v>0</v>
      </c>
      <c r="O388" s="13">
        <f>+[17]Pricing_BEL!$L$37-[16]Pricing_BEL!$L$37</f>
        <v>0</v>
      </c>
      <c r="P388" s="13">
        <f>+[18]Pricing_BEL!$L$37-[17]Pricing_BEL!$L$37</f>
        <v>-23079.039876215931</v>
      </c>
      <c r="Q388" s="32">
        <f>+[19]Pricing_BEL!$L$37-[18]Pricing_BEL!$L$37</f>
        <v>0</v>
      </c>
      <c r="R388" s="32">
        <f>+[20]Pricing_BEL!$L$37-[19]Pricing_BEL!$L$37</f>
        <v>0</v>
      </c>
      <c r="S388" s="70">
        <f>+[22]Pricing_BEL!$L$37-[20]Pricing_BEL!$L$37</f>
        <v>0</v>
      </c>
      <c r="AI388" s="73"/>
      <c r="AJ388" s="73"/>
      <c r="AK388" s="73"/>
    </row>
    <row r="389" spans="1:37" hidden="1" outlineLevel="2" x14ac:dyDescent="0.25">
      <c r="A389" s="16" t="s">
        <v>40</v>
      </c>
      <c r="B389" s="13">
        <f>+[1]Pricing_BEL!$L$38-[21]Pricing_BEL!$L$38</f>
        <v>0</v>
      </c>
      <c r="C389" s="13">
        <f>+[5]Pricing_BEL!$L$38-[1]Pricing_BEL!$L$38</f>
        <v>0</v>
      </c>
      <c r="D389" s="32">
        <f>+[6]Pricing_BEL!$L$38-[5]Pricing_BEL!$L$38</f>
        <v>-4037.7658165806643</v>
      </c>
      <c r="E389" s="13">
        <f>+[7]Pricing_BEL!$L$38-[6]Pricing_BEL!$L$38</f>
        <v>0</v>
      </c>
      <c r="F389" s="13">
        <f>+[8]Pricing_BEL!$L$38-[7]Pricing_BEL!$L$38</f>
        <v>0</v>
      </c>
      <c r="G389" s="32">
        <f>+[9]Pricing_BEL!$L$38-[8]Pricing_BEL!$L$38</f>
        <v>-6012.1354791869817</v>
      </c>
      <c r="H389" s="13">
        <f>+[10]Pricing_BEL!$L$38-[9]Pricing_BEL!$L$38</f>
        <v>0</v>
      </c>
      <c r="I389" s="13">
        <f>+[11]Pricing_BEL!$L$38-[10]Pricing_BEL!$L$38</f>
        <v>0</v>
      </c>
      <c r="J389" s="32">
        <f>+[12]Pricing_BEL!$L$38-[11]Pricing_BEL!$L$38</f>
        <v>-4748.2190751603775</v>
      </c>
      <c r="K389" s="13">
        <f>+[13]Pricing_BEL!$L$38-[12]Pricing_BEL!$L$38</f>
        <v>0</v>
      </c>
      <c r="L389" s="13">
        <f>+[14]Pricing_BEL!$L$38-[13]Pricing_BEL!$L$38</f>
        <v>0</v>
      </c>
      <c r="M389" s="13">
        <f>+[15]Pricing_BEL!$L$38-[14]Pricing_BEL!$L$38</f>
        <v>73800.199678166042</v>
      </c>
      <c r="N389" s="32">
        <f>+[16]Pricing_BEL!$L$38-[15]Pricing_BEL!$L$38</f>
        <v>0</v>
      </c>
      <c r="O389" s="13">
        <f>+[17]Pricing_BEL!$L$38-[16]Pricing_BEL!$L$38</f>
        <v>0</v>
      </c>
      <c r="P389" s="13">
        <f>+[18]Pricing_BEL!$L$38-[17]Pricing_BEL!$L$38</f>
        <v>-18807.080343769099</v>
      </c>
      <c r="Q389" s="32">
        <f>+[19]Pricing_BEL!$L$38-[18]Pricing_BEL!$L$38</f>
        <v>0</v>
      </c>
      <c r="R389" s="32">
        <f>+[20]Pricing_BEL!$L$38-[19]Pricing_BEL!$L$38</f>
        <v>0</v>
      </c>
      <c r="S389" s="70">
        <f>+[22]Pricing_BEL!$L$38-[20]Pricing_BEL!$L$38</f>
        <v>0</v>
      </c>
      <c r="AI389" s="73"/>
      <c r="AJ389" s="73"/>
      <c r="AK389" s="73"/>
    </row>
    <row r="390" spans="1:37" hidden="1" outlineLevel="2" x14ac:dyDescent="0.25">
      <c r="A390" s="16" t="s">
        <v>41</v>
      </c>
      <c r="B390" s="13">
        <f>+[1]Pricing_BEL!$L$39-[21]Pricing_BEL!$L$39</f>
        <v>0</v>
      </c>
      <c r="C390" s="13">
        <f>+[5]Pricing_BEL!$L$39-[1]Pricing_BEL!$L$39</f>
        <v>0</v>
      </c>
      <c r="D390" s="32">
        <f>+[6]Pricing_BEL!$L$39-[5]Pricing_BEL!$L$39</f>
        <v>-1088.997471346971</v>
      </c>
      <c r="E390" s="13">
        <f>+[7]Pricing_BEL!$L$39-[6]Pricing_BEL!$L$39</f>
        <v>0</v>
      </c>
      <c r="F390" s="13">
        <f>+[8]Pricing_BEL!$L$39-[7]Pricing_BEL!$L$39</f>
        <v>0</v>
      </c>
      <c r="G390" s="32">
        <f>+[9]Pricing_BEL!$L$39-[8]Pricing_BEL!$L$39</f>
        <v>-3776.6096173517435</v>
      </c>
      <c r="H390" s="13">
        <f>+[10]Pricing_BEL!$L$39-[9]Pricing_BEL!$L$39</f>
        <v>0</v>
      </c>
      <c r="I390" s="13">
        <f>+[11]Pricing_BEL!$L$39-[10]Pricing_BEL!$L$39</f>
        <v>0</v>
      </c>
      <c r="J390" s="32">
        <f>+[12]Pricing_BEL!$L$39-[11]Pricing_BEL!$L$39</f>
        <v>-1893.1306534713367</v>
      </c>
      <c r="K390" s="13">
        <f>+[13]Pricing_BEL!$L$39-[12]Pricing_BEL!$L$39</f>
        <v>0</v>
      </c>
      <c r="L390" s="13">
        <f>+[14]Pricing_BEL!$L$39-[13]Pricing_BEL!$L$39</f>
        <v>0</v>
      </c>
      <c r="M390" s="13">
        <f>+[15]Pricing_BEL!$L$39-[14]Pricing_BEL!$L$39</f>
        <v>62417.717646781515</v>
      </c>
      <c r="N390" s="32">
        <f>+[16]Pricing_BEL!$L$39-[15]Pricing_BEL!$L$39</f>
        <v>0</v>
      </c>
      <c r="O390" s="13">
        <f>+[17]Pricing_BEL!$L$39-[16]Pricing_BEL!$L$39</f>
        <v>0</v>
      </c>
      <c r="P390" s="13">
        <f>+[18]Pricing_BEL!$L$39-[17]Pricing_BEL!$L$39</f>
        <v>-14832.162556789572</v>
      </c>
      <c r="Q390" s="32">
        <f>+[19]Pricing_BEL!$L$39-[18]Pricing_BEL!$L$39</f>
        <v>0</v>
      </c>
      <c r="R390" s="32">
        <f>+[20]Pricing_BEL!$L$39-[19]Pricing_BEL!$L$39</f>
        <v>0</v>
      </c>
      <c r="S390" s="70">
        <f>+[22]Pricing_BEL!$L$39-[20]Pricing_BEL!$L$39</f>
        <v>0</v>
      </c>
      <c r="AI390" s="73"/>
      <c r="AJ390" s="73"/>
      <c r="AK390" s="73"/>
    </row>
    <row r="391" spans="1:37" hidden="1" outlineLevel="2" x14ac:dyDescent="0.25">
      <c r="A391" s="16" t="s">
        <v>42</v>
      </c>
      <c r="B391" s="13">
        <f>+[1]Pricing_BEL!$L$40-[21]Pricing_BEL!$L$40</f>
        <v>0</v>
      </c>
      <c r="C391" s="13">
        <f>+[5]Pricing_BEL!$L$40-[1]Pricing_BEL!$L$40</f>
        <v>0</v>
      </c>
      <c r="D391" s="32">
        <f>+[6]Pricing_BEL!$L$40-[5]Pricing_BEL!$L$40</f>
        <v>-1229.0263687714541</v>
      </c>
      <c r="E391" s="13">
        <f>+[7]Pricing_BEL!$L$40-[6]Pricing_BEL!$L$40</f>
        <v>0</v>
      </c>
      <c r="F391" s="13">
        <f>+[8]Pricing_BEL!$L$40-[7]Pricing_BEL!$L$40</f>
        <v>0</v>
      </c>
      <c r="G391" s="32">
        <f>+[9]Pricing_BEL!$L$40-[8]Pricing_BEL!$L$40</f>
        <v>-3446.9471025809617</v>
      </c>
      <c r="H391" s="13">
        <f>+[10]Pricing_BEL!$L$40-[9]Pricing_BEL!$L$40</f>
        <v>0</v>
      </c>
      <c r="I391" s="13">
        <f>+[11]Pricing_BEL!$L$40-[10]Pricing_BEL!$L$40</f>
        <v>0</v>
      </c>
      <c r="J391" s="32">
        <f>+[12]Pricing_BEL!$L$40-[11]Pricing_BEL!$L$40</f>
        <v>-3250.4066480758993</v>
      </c>
      <c r="K391" s="13">
        <f>+[13]Pricing_BEL!$L$40-[12]Pricing_BEL!$L$40</f>
        <v>0</v>
      </c>
      <c r="L391" s="13">
        <f>+[14]Pricing_BEL!$L$40-[13]Pricing_BEL!$L$40</f>
        <v>0</v>
      </c>
      <c r="M391" s="13">
        <f>+[15]Pricing_BEL!$L$40-[14]Pricing_BEL!$L$40</f>
        <v>53449.411756225207</v>
      </c>
      <c r="N391" s="32">
        <f>+[16]Pricing_BEL!$L$40-[15]Pricing_BEL!$L$40</f>
        <v>0</v>
      </c>
      <c r="O391" s="13">
        <f>+[17]Pricing_BEL!$L$40-[16]Pricing_BEL!$L$40</f>
        <v>0</v>
      </c>
      <c r="P391" s="13">
        <f>+[18]Pricing_BEL!$L$40-[17]Pricing_BEL!$L$40</f>
        <v>-13311.368963206789</v>
      </c>
      <c r="Q391" s="32">
        <f>+[19]Pricing_BEL!$L$40-[18]Pricing_BEL!$L$40</f>
        <v>0</v>
      </c>
      <c r="R391" s="32">
        <f>+[20]Pricing_BEL!$L$40-[19]Pricing_BEL!$L$40</f>
        <v>0</v>
      </c>
      <c r="S391" s="70">
        <f>+[22]Pricing_BEL!$L$40-[20]Pricing_BEL!$L$40</f>
        <v>0</v>
      </c>
      <c r="AI391" s="73"/>
      <c r="AJ391" s="73"/>
      <c r="AK391" s="73"/>
    </row>
    <row r="392" spans="1:37" hidden="1" outlineLevel="2" x14ac:dyDescent="0.25">
      <c r="A392" s="16" t="s">
        <v>43</v>
      </c>
      <c r="B392" s="13">
        <f>+[1]Pricing_BEL!$L$41-[21]Pricing_BEL!$L$41</f>
        <v>0</v>
      </c>
      <c r="C392" s="13">
        <f>+[5]Pricing_BEL!$L$41-[1]Pricing_BEL!$L$41</f>
        <v>0</v>
      </c>
      <c r="D392" s="32">
        <f>+[6]Pricing_BEL!$L$41-[5]Pricing_BEL!$L$41</f>
        <v>-1616.8317096362662</v>
      </c>
      <c r="E392" s="13">
        <f>+[7]Pricing_BEL!$L$41-[6]Pricing_BEL!$L$41</f>
        <v>0</v>
      </c>
      <c r="F392" s="13">
        <f>+[8]Pricing_BEL!$L$41-[7]Pricing_BEL!$L$41</f>
        <v>0</v>
      </c>
      <c r="G392" s="32">
        <f>+[9]Pricing_BEL!$L$41-[8]Pricing_BEL!$L$41</f>
        <v>-3079.3864237346133</v>
      </c>
      <c r="H392" s="13">
        <f>+[10]Pricing_BEL!$L$41-[9]Pricing_BEL!$L$41</f>
        <v>0</v>
      </c>
      <c r="I392" s="13">
        <f>+[11]Pricing_BEL!$L$41-[10]Pricing_BEL!$L$41</f>
        <v>0</v>
      </c>
      <c r="J392" s="32">
        <f>+[12]Pricing_BEL!$L$41-[11]Pricing_BEL!$L$41</f>
        <v>-4060.4222803191806</v>
      </c>
      <c r="K392" s="13">
        <f>+[13]Pricing_BEL!$L$41-[12]Pricing_BEL!$L$41</f>
        <v>0</v>
      </c>
      <c r="L392" s="13">
        <f>+[14]Pricing_BEL!$L$41-[13]Pricing_BEL!$L$41</f>
        <v>0</v>
      </c>
      <c r="M392" s="13">
        <f>+[15]Pricing_BEL!$L$41-[14]Pricing_BEL!$L$41</f>
        <v>47661.571887918893</v>
      </c>
      <c r="N392" s="32">
        <f>+[16]Pricing_BEL!$L$41-[15]Pricing_BEL!$L$41</f>
        <v>0</v>
      </c>
      <c r="O392" s="13">
        <f>+[17]Pricing_BEL!$L$41-[16]Pricing_BEL!$L$41</f>
        <v>0</v>
      </c>
      <c r="P392" s="13">
        <f>+[18]Pricing_BEL!$L$41-[17]Pricing_BEL!$L$41</f>
        <v>-12253.167592290567</v>
      </c>
      <c r="Q392" s="32">
        <f>+[19]Pricing_BEL!$L$41-[18]Pricing_BEL!$L$41</f>
        <v>0</v>
      </c>
      <c r="R392" s="32">
        <f>+[20]Pricing_BEL!$L$41-[19]Pricing_BEL!$L$41</f>
        <v>0</v>
      </c>
      <c r="S392" s="70">
        <f>+[22]Pricing_BEL!$L$41-[20]Pricing_BEL!$L$41</f>
        <v>0</v>
      </c>
      <c r="AI392" s="73"/>
      <c r="AJ392" s="73"/>
      <c r="AK392" s="73"/>
    </row>
    <row r="393" spans="1:37" hidden="1" outlineLevel="2" x14ac:dyDescent="0.25">
      <c r="A393" s="16" t="s">
        <v>44</v>
      </c>
      <c r="B393" s="13">
        <f>+[1]Pricing_BEL!$L$42-[21]Pricing_BEL!$L$42</f>
        <v>0</v>
      </c>
      <c r="C393" s="13">
        <f>+[5]Pricing_BEL!$L$42-[1]Pricing_BEL!$L$42</f>
        <v>0</v>
      </c>
      <c r="D393" s="32">
        <f>+[6]Pricing_BEL!$L$42-[5]Pricing_BEL!$L$42</f>
        <v>-2204.0388735542147</v>
      </c>
      <c r="E393" s="13">
        <f>+[7]Pricing_BEL!$L$42-[6]Pricing_BEL!$L$42</f>
        <v>0</v>
      </c>
      <c r="F393" s="13">
        <f>+[8]Pricing_BEL!$L$42-[7]Pricing_BEL!$L$42</f>
        <v>0</v>
      </c>
      <c r="G393" s="32">
        <f>+[9]Pricing_BEL!$L$42-[8]Pricing_BEL!$L$42</f>
        <v>-3105.932505811943</v>
      </c>
      <c r="H393" s="13">
        <f>+[10]Pricing_BEL!$L$42-[9]Pricing_BEL!$L$42</f>
        <v>0</v>
      </c>
      <c r="I393" s="13">
        <f>+[11]Pricing_BEL!$L$42-[10]Pricing_BEL!$L$42</f>
        <v>0</v>
      </c>
      <c r="J393" s="32">
        <f>+[12]Pricing_BEL!$L$42-[11]Pricing_BEL!$L$42</f>
        <v>-4515.545529183888</v>
      </c>
      <c r="K393" s="13">
        <f>+[13]Pricing_BEL!$L$42-[12]Pricing_BEL!$L$42</f>
        <v>0</v>
      </c>
      <c r="L393" s="13">
        <f>+[14]Pricing_BEL!$L$42-[13]Pricing_BEL!$L$42</f>
        <v>0</v>
      </c>
      <c r="M393" s="13">
        <f>+[15]Pricing_BEL!$L$42-[14]Pricing_BEL!$L$42</f>
        <v>42347.724818241761</v>
      </c>
      <c r="N393" s="32">
        <f>+[16]Pricing_BEL!$L$42-[15]Pricing_BEL!$L$42</f>
        <v>0</v>
      </c>
      <c r="O393" s="13">
        <f>+[17]Pricing_BEL!$L$42-[16]Pricing_BEL!$L$42</f>
        <v>0</v>
      </c>
      <c r="P393" s="13">
        <f>+[18]Pricing_BEL!$L$42-[17]Pricing_BEL!$L$42</f>
        <v>-12399.061570459109</v>
      </c>
      <c r="Q393" s="32">
        <f>+[19]Pricing_BEL!$L$42-[18]Pricing_BEL!$L$42</f>
        <v>0</v>
      </c>
      <c r="R393" s="32">
        <f>+[20]Pricing_BEL!$L$42-[19]Pricing_BEL!$L$42</f>
        <v>0</v>
      </c>
      <c r="S393" s="70">
        <f>+[22]Pricing_BEL!$L$42-[20]Pricing_BEL!$L$42</f>
        <v>0</v>
      </c>
      <c r="AI393" s="73"/>
      <c r="AJ393" s="73"/>
      <c r="AK393" s="73"/>
    </row>
    <row r="394" spans="1:37" hidden="1" outlineLevel="2" x14ac:dyDescent="0.25">
      <c r="A394" s="16" t="s">
        <v>45</v>
      </c>
      <c r="B394" s="13">
        <f>+[1]Pricing_BEL!$L$43-[21]Pricing_BEL!$L$43</f>
        <v>0</v>
      </c>
      <c r="C394" s="13">
        <f>+[5]Pricing_BEL!$L$43-[1]Pricing_BEL!$L$43</f>
        <v>0</v>
      </c>
      <c r="D394" s="32">
        <f>+[6]Pricing_BEL!$L$43-[5]Pricing_BEL!$L$43</f>
        <v>-2225.8155462876202</v>
      </c>
      <c r="E394" s="13">
        <f>+[7]Pricing_BEL!$L$43-[6]Pricing_BEL!$L$43</f>
        <v>0</v>
      </c>
      <c r="F394" s="13">
        <f>+[8]Pricing_BEL!$L$43-[7]Pricing_BEL!$L$43</f>
        <v>0</v>
      </c>
      <c r="G394" s="32">
        <f>+[9]Pricing_BEL!$L$43-[8]Pricing_BEL!$L$43</f>
        <v>-2272.1927416841063</v>
      </c>
      <c r="H394" s="13">
        <f>+[10]Pricing_BEL!$L$43-[9]Pricing_BEL!$L$43</f>
        <v>0</v>
      </c>
      <c r="I394" s="13">
        <f>+[11]Pricing_BEL!$L$43-[10]Pricing_BEL!$L$43</f>
        <v>0</v>
      </c>
      <c r="J394" s="32">
        <f>+[12]Pricing_BEL!$L$43-[11]Pricing_BEL!$L$43</f>
        <v>-1091.3370499299708</v>
      </c>
      <c r="K394" s="13">
        <f>+[13]Pricing_BEL!$L$43-[12]Pricing_BEL!$L$43</f>
        <v>0</v>
      </c>
      <c r="L394" s="13">
        <f>+[14]Pricing_BEL!$L$43-[13]Pricing_BEL!$L$43</f>
        <v>0</v>
      </c>
      <c r="M394" s="13">
        <f>+[15]Pricing_BEL!$L$43-[14]Pricing_BEL!$L$43</f>
        <v>36403.685563150641</v>
      </c>
      <c r="N394" s="32">
        <f>+[16]Pricing_BEL!$L$43-[15]Pricing_BEL!$L$43</f>
        <v>0</v>
      </c>
      <c r="O394" s="13">
        <f>+[17]Pricing_BEL!$L$43-[16]Pricing_BEL!$L$43</f>
        <v>0</v>
      </c>
      <c r="P394" s="13">
        <f>+[18]Pricing_BEL!$L$43-[17]Pricing_BEL!$L$43</f>
        <v>-9035.437789721851</v>
      </c>
      <c r="Q394" s="32">
        <f>+[19]Pricing_BEL!$L$43-[18]Pricing_BEL!$L$43</f>
        <v>0</v>
      </c>
      <c r="R394" s="32">
        <f>+[20]Pricing_BEL!$L$43-[19]Pricing_BEL!$L$43</f>
        <v>0</v>
      </c>
      <c r="S394" s="70">
        <f>+[22]Pricing_BEL!$L$43-[20]Pricing_BEL!$L$43</f>
        <v>0</v>
      </c>
      <c r="AI394" s="73"/>
      <c r="AJ394" s="73"/>
      <c r="AK394" s="73"/>
    </row>
    <row r="395" spans="1:37" hidden="1" outlineLevel="2" x14ac:dyDescent="0.25">
      <c r="A395" s="16" t="s">
        <v>46</v>
      </c>
      <c r="B395" s="13">
        <f>+[1]Pricing_BEL!$L$44-[21]Pricing_BEL!$L$44</f>
        <v>0</v>
      </c>
      <c r="C395" s="13">
        <f>+[5]Pricing_BEL!$L$44-[1]Pricing_BEL!$L$44</f>
        <v>0</v>
      </c>
      <c r="D395" s="32">
        <f>+[6]Pricing_BEL!$L$44-[5]Pricing_BEL!$L$44</f>
        <v>564.36339158476039</v>
      </c>
      <c r="E395" s="13">
        <f>+[7]Pricing_BEL!$L$44-[6]Pricing_BEL!$L$44</f>
        <v>0</v>
      </c>
      <c r="F395" s="13">
        <f>+[8]Pricing_BEL!$L$44-[7]Pricing_BEL!$L$44</f>
        <v>0</v>
      </c>
      <c r="G395" s="32">
        <f>+[9]Pricing_BEL!$L$44-[8]Pricing_BEL!$L$44</f>
        <v>-2216.4939777334621</v>
      </c>
      <c r="H395" s="13">
        <f>+[10]Pricing_BEL!$L$44-[9]Pricing_BEL!$L$44</f>
        <v>0</v>
      </c>
      <c r="I395" s="13">
        <f>+[11]Pricing_BEL!$L$44-[10]Pricing_BEL!$L$44</f>
        <v>0</v>
      </c>
      <c r="J395" s="32">
        <f>+[12]Pricing_BEL!$L$44-[11]Pricing_BEL!$L$44</f>
        <v>1806.0860010488359</v>
      </c>
      <c r="K395" s="13">
        <f>+[13]Pricing_BEL!$L$44-[12]Pricing_BEL!$L$44</f>
        <v>0</v>
      </c>
      <c r="L395" s="13">
        <f>+[14]Pricing_BEL!$L$44-[13]Pricing_BEL!$L$44</f>
        <v>0</v>
      </c>
      <c r="M395" s="13">
        <f>+[15]Pricing_BEL!$L$44-[14]Pricing_BEL!$L$44</f>
        <v>25978.110251326496</v>
      </c>
      <c r="N395" s="32">
        <f>+[16]Pricing_BEL!$L$44-[15]Pricing_BEL!$L$44</f>
        <v>0</v>
      </c>
      <c r="O395" s="13">
        <f>+[17]Pricing_BEL!$L$44-[16]Pricing_BEL!$L$44</f>
        <v>0</v>
      </c>
      <c r="P395" s="13">
        <f>+[18]Pricing_BEL!$L$44-[17]Pricing_BEL!$L$44</f>
        <v>-7544.3158543801383</v>
      </c>
      <c r="Q395" s="32">
        <f>+[19]Pricing_BEL!$L$44-[18]Pricing_BEL!$L$44</f>
        <v>0</v>
      </c>
      <c r="R395" s="32">
        <f>+[20]Pricing_BEL!$L$44-[19]Pricing_BEL!$L$44</f>
        <v>0</v>
      </c>
      <c r="S395" s="70">
        <f>+[22]Pricing_BEL!$L$44-[20]Pricing_BEL!$L$44</f>
        <v>0</v>
      </c>
      <c r="AI395" s="73"/>
      <c r="AJ395" s="73"/>
      <c r="AK395" s="73"/>
    </row>
    <row r="396" spans="1:37" hidden="1" outlineLevel="2" x14ac:dyDescent="0.25">
      <c r="A396" s="16" t="s">
        <v>47</v>
      </c>
      <c r="B396" s="13">
        <f>+[1]Pricing_BEL!$L$45-[21]Pricing_BEL!$L$45</f>
        <v>0</v>
      </c>
      <c r="C396" s="13">
        <f>+[5]Pricing_BEL!$L$45-[1]Pricing_BEL!$L$45</f>
        <v>0</v>
      </c>
      <c r="D396" s="32">
        <f>+[6]Pricing_BEL!$L$45-[5]Pricing_BEL!$L$45</f>
        <v>32.80780058306118</v>
      </c>
      <c r="E396" s="13">
        <f>+[7]Pricing_BEL!$L$45-[6]Pricing_BEL!$L$45</f>
        <v>0</v>
      </c>
      <c r="F396" s="13">
        <f>+[8]Pricing_BEL!$L$45-[7]Pricing_BEL!$L$45</f>
        <v>0</v>
      </c>
      <c r="G396" s="32">
        <f>+[9]Pricing_BEL!$L$45-[8]Pricing_BEL!$L$45</f>
        <v>-987.20583191990409</v>
      </c>
      <c r="H396" s="13">
        <f>+[10]Pricing_BEL!$L$45-[9]Pricing_BEL!$L$45</f>
        <v>0</v>
      </c>
      <c r="I396" s="13">
        <f>+[11]Pricing_BEL!$L$45-[10]Pricing_BEL!$L$45</f>
        <v>0</v>
      </c>
      <c r="J396" s="32">
        <f>+[12]Pricing_BEL!$L$45-[11]Pricing_BEL!$L$45</f>
        <v>792.59039808346824</v>
      </c>
      <c r="K396" s="13">
        <f>+[13]Pricing_BEL!$L$45-[12]Pricing_BEL!$L$45</f>
        <v>0</v>
      </c>
      <c r="L396" s="13">
        <f>+[14]Pricing_BEL!$L$45-[13]Pricing_BEL!$L$45</f>
        <v>0</v>
      </c>
      <c r="M396" s="13">
        <f>+[15]Pricing_BEL!$L$45-[14]Pricing_BEL!$L$45</f>
        <v>-43921.536203816548</v>
      </c>
      <c r="N396" s="32">
        <f>+[16]Pricing_BEL!$L$45-[15]Pricing_BEL!$L$45</f>
        <v>0</v>
      </c>
      <c r="O396" s="13">
        <f>+[17]Pricing_BEL!$L$45-[16]Pricing_BEL!$L$45</f>
        <v>0</v>
      </c>
      <c r="P396" s="13">
        <f>+[18]Pricing_BEL!$L$45-[17]Pricing_BEL!$L$45</f>
        <v>-23804.315022024552</v>
      </c>
      <c r="Q396" s="32">
        <f>+[19]Pricing_BEL!$L$45-[18]Pricing_BEL!$L$45</f>
        <v>0</v>
      </c>
      <c r="R396" s="32">
        <f>+[20]Pricing_BEL!$L$45-[19]Pricing_BEL!$L$45</f>
        <v>0</v>
      </c>
      <c r="S396" s="70">
        <f>+[22]Pricing_BEL!$L$45-[20]Pricing_BEL!$L$45</f>
        <v>0</v>
      </c>
      <c r="AI396" s="73"/>
      <c r="AJ396" s="73"/>
      <c r="AK396" s="73"/>
    </row>
    <row r="397" spans="1:37" hidden="1" outlineLevel="2" x14ac:dyDescent="0.25">
      <c r="A397" s="16" t="s">
        <v>48</v>
      </c>
      <c r="B397" s="13">
        <f>+[1]Pricing_BEL!$L$46-[21]Pricing_BEL!$L$46</f>
        <v>0</v>
      </c>
      <c r="C397" s="13">
        <f>+[5]Pricing_BEL!$L$46-[1]Pricing_BEL!$L$46</f>
        <v>0</v>
      </c>
      <c r="D397" s="32">
        <f>+[6]Pricing_BEL!$L$46-[5]Pricing_BEL!$L$46</f>
        <v>-49.625277141657534</v>
      </c>
      <c r="E397" s="13">
        <f>+[7]Pricing_BEL!$L$46-[6]Pricing_BEL!$L$46</f>
        <v>0</v>
      </c>
      <c r="F397" s="13">
        <f>+[8]Pricing_BEL!$L$46-[7]Pricing_BEL!$L$46</f>
        <v>0</v>
      </c>
      <c r="G397" s="32">
        <f>+[9]Pricing_BEL!$L$46-[8]Pricing_BEL!$L$46</f>
        <v>-425.88166512071803</v>
      </c>
      <c r="H397" s="13">
        <f>+[10]Pricing_BEL!$L$46-[9]Pricing_BEL!$L$46</f>
        <v>0</v>
      </c>
      <c r="I397" s="13">
        <f>+[11]Pricing_BEL!$L$46-[10]Pricing_BEL!$L$46</f>
        <v>0</v>
      </c>
      <c r="J397" s="32">
        <f>+[12]Pricing_BEL!$L$46-[11]Pricing_BEL!$L$46</f>
        <v>277.59355824918021</v>
      </c>
      <c r="K397" s="13">
        <f>+[13]Pricing_BEL!$L$46-[12]Pricing_BEL!$L$46</f>
        <v>0</v>
      </c>
      <c r="L397" s="13">
        <f>+[14]Pricing_BEL!$L$46-[13]Pricing_BEL!$L$46</f>
        <v>0</v>
      </c>
      <c r="M397" s="13">
        <f>+[15]Pricing_BEL!$L$46-[14]Pricing_BEL!$L$46</f>
        <v>-16460.646439764947</v>
      </c>
      <c r="N397" s="32">
        <f>+[16]Pricing_BEL!$L$46-[15]Pricing_BEL!$L$46</f>
        <v>0</v>
      </c>
      <c r="O397" s="13">
        <f>+[17]Pricing_BEL!$L$46-[16]Pricing_BEL!$L$46</f>
        <v>0</v>
      </c>
      <c r="P397" s="13">
        <f>+[18]Pricing_BEL!$L$46-[17]Pricing_BEL!$L$46</f>
        <v>-16457.100293177078</v>
      </c>
      <c r="Q397" s="32">
        <f>+[19]Pricing_BEL!$L$46-[18]Pricing_BEL!$L$46</f>
        <v>0</v>
      </c>
      <c r="R397" s="32">
        <f>+[20]Pricing_BEL!$L$46-[19]Pricing_BEL!$L$46</f>
        <v>0</v>
      </c>
      <c r="S397" s="70">
        <f>+[22]Pricing_BEL!$L$46-[20]Pricing_BEL!$L$46</f>
        <v>0</v>
      </c>
      <c r="AI397" s="73"/>
      <c r="AJ397" s="73"/>
      <c r="AK397" s="73"/>
    </row>
    <row r="398" spans="1:37" hidden="1" outlineLevel="2" x14ac:dyDescent="0.25">
      <c r="A398" s="16" t="s">
        <v>49</v>
      </c>
      <c r="B398" s="13">
        <f>+[1]Pricing_BEL!$L$47-[21]Pricing_BEL!$L$47</f>
        <v>0</v>
      </c>
      <c r="C398" s="13">
        <f>+[5]Pricing_BEL!$L$47-[1]Pricing_BEL!$L$47</f>
        <v>0</v>
      </c>
      <c r="D398" s="32">
        <f>+[6]Pricing_BEL!$L$47-[5]Pricing_BEL!$L$47</f>
        <v>-68.285424818819592</v>
      </c>
      <c r="E398" s="13">
        <f>+[7]Pricing_BEL!$L$47-[6]Pricing_BEL!$L$47</f>
        <v>0</v>
      </c>
      <c r="F398" s="13">
        <f>+[8]Pricing_BEL!$L$47-[7]Pricing_BEL!$L$47</f>
        <v>0</v>
      </c>
      <c r="G398" s="32">
        <f>+[9]Pricing_BEL!$L$47-[8]Pricing_BEL!$L$47</f>
        <v>-199.64475434654514</v>
      </c>
      <c r="H398" s="13">
        <f>+[10]Pricing_BEL!$L$47-[9]Pricing_BEL!$L$47</f>
        <v>0</v>
      </c>
      <c r="I398" s="13">
        <f>+[11]Pricing_BEL!$L$47-[10]Pricing_BEL!$L$47</f>
        <v>0</v>
      </c>
      <c r="J398" s="32">
        <f>+[12]Pricing_BEL!$L$47-[11]Pricing_BEL!$L$47</f>
        <v>117.86853240694973</v>
      </c>
      <c r="K398" s="13">
        <f>+[13]Pricing_BEL!$L$47-[12]Pricing_BEL!$L$47</f>
        <v>0</v>
      </c>
      <c r="L398" s="13">
        <f>+[14]Pricing_BEL!$L$47-[13]Pricing_BEL!$L$47</f>
        <v>0</v>
      </c>
      <c r="M398" s="13">
        <f>+[15]Pricing_BEL!$L$47-[14]Pricing_BEL!$L$47</f>
        <v>-6171.4286286476981</v>
      </c>
      <c r="N398" s="32">
        <f>+[16]Pricing_BEL!$L$47-[15]Pricing_BEL!$L$47</f>
        <v>0</v>
      </c>
      <c r="O398" s="13">
        <f>+[17]Pricing_BEL!$L$47-[16]Pricing_BEL!$L$47</f>
        <v>0</v>
      </c>
      <c r="P398" s="13">
        <f>+[18]Pricing_BEL!$L$47-[17]Pricing_BEL!$L$47</f>
        <v>-6046.8338167393558</v>
      </c>
      <c r="Q398" s="32">
        <f>+[19]Pricing_BEL!$L$47-[18]Pricing_BEL!$L$47</f>
        <v>0</v>
      </c>
      <c r="R398" s="32">
        <f>+[20]Pricing_BEL!$L$47-[19]Pricing_BEL!$L$47</f>
        <v>0</v>
      </c>
      <c r="S398" s="70">
        <f>+[22]Pricing_BEL!$L$47-[20]Pricing_BEL!$L$47</f>
        <v>0</v>
      </c>
      <c r="AI398" s="73"/>
      <c r="AJ398" s="73"/>
      <c r="AK398" s="73"/>
    </row>
    <row r="399" spans="1:37" hidden="1" outlineLevel="2" x14ac:dyDescent="0.25">
      <c r="A399" s="16" t="s">
        <v>50</v>
      </c>
      <c r="B399" s="13">
        <f>+[1]Pricing_BEL!$L$48-[21]Pricing_BEL!$L$48</f>
        <v>0</v>
      </c>
      <c r="C399" s="13">
        <f>+[5]Pricing_BEL!$L$48-[1]Pricing_BEL!$L$48</f>
        <v>0</v>
      </c>
      <c r="D399" s="32">
        <f>+[6]Pricing_BEL!$L$48-[5]Pricing_BEL!$L$48</f>
        <v>-25.349156656924606</v>
      </c>
      <c r="E399" s="13">
        <f>+[7]Pricing_BEL!$L$48-[6]Pricing_BEL!$L$48</f>
        <v>0</v>
      </c>
      <c r="F399" s="13">
        <f>+[8]Pricing_BEL!$L$48-[7]Pricing_BEL!$L$48</f>
        <v>0</v>
      </c>
      <c r="G399" s="32">
        <f>+[9]Pricing_BEL!$L$48-[8]Pricing_BEL!$L$48</f>
        <v>-107.13748842913992</v>
      </c>
      <c r="H399" s="13">
        <f>+[10]Pricing_BEL!$L$48-[9]Pricing_BEL!$L$48</f>
        <v>0</v>
      </c>
      <c r="I399" s="13">
        <f>+[11]Pricing_BEL!$L$48-[10]Pricing_BEL!$L$48</f>
        <v>0</v>
      </c>
      <c r="J399" s="32">
        <f>+[12]Pricing_BEL!$L$48-[11]Pricing_BEL!$L$48</f>
        <v>71.457526367786841</v>
      </c>
      <c r="K399" s="13">
        <f>+[13]Pricing_BEL!$L$48-[12]Pricing_BEL!$L$48</f>
        <v>0</v>
      </c>
      <c r="L399" s="13">
        <f>+[14]Pricing_BEL!$L$48-[13]Pricing_BEL!$L$48</f>
        <v>0</v>
      </c>
      <c r="M399" s="13">
        <f>+[15]Pricing_BEL!$L$48-[14]Pricing_BEL!$L$48</f>
        <v>-2835.2411167709774</v>
      </c>
      <c r="N399" s="32">
        <f>+[16]Pricing_BEL!$L$48-[15]Pricing_BEL!$L$48</f>
        <v>0</v>
      </c>
      <c r="O399" s="13">
        <f>+[17]Pricing_BEL!$L$48-[16]Pricing_BEL!$L$48</f>
        <v>0</v>
      </c>
      <c r="P399" s="13">
        <f>+[18]Pricing_BEL!$L$48-[17]Pricing_BEL!$L$48</f>
        <v>-1975.8824236673445</v>
      </c>
      <c r="Q399" s="32">
        <f>+[19]Pricing_BEL!$L$48-[18]Pricing_BEL!$L$48</f>
        <v>0</v>
      </c>
      <c r="R399" s="32">
        <f>+[20]Pricing_BEL!$L$48-[19]Pricing_BEL!$L$48</f>
        <v>0</v>
      </c>
      <c r="S399" s="70">
        <f>+[22]Pricing_BEL!$L$48-[20]Pricing_BEL!$L$48</f>
        <v>0</v>
      </c>
      <c r="AI399" s="73"/>
      <c r="AJ399" s="73"/>
      <c r="AK399" s="73"/>
    </row>
    <row r="400" spans="1:37" hidden="1" outlineLevel="2" x14ac:dyDescent="0.25">
      <c r="A400" s="16" t="s">
        <v>51</v>
      </c>
      <c r="B400" s="13">
        <f>+[1]Pricing_BEL!$L$49-[21]Pricing_BEL!$L$49</f>
        <v>0</v>
      </c>
      <c r="C400" s="13">
        <f>+[5]Pricing_BEL!$L$49-[1]Pricing_BEL!$L$49</f>
        <v>0</v>
      </c>
      <c r="D400" s="32">
        <f>+[6]Pricing_BEL!$L$49-[5]Pricing_BEL!$L$49</f>
        <v>-23.636472077908252</v>
      </c>
      <c r="E400" s="13">
        <f>+[7]Pricing_BEL!$L$49-[6]Pricing_BEL!$L$49</f>
        <v>0</v>
      </c>
      <c r="F400" s="13">
        <f>+[8]Pricing_BEL!$L$49-[7]Pricing_BEL!$L$49</f>
        <v>0</v>
      </c>
      <c r="G400" s="32">
        <f>+[9]Pricing_BEL!$L$49-[8]Pricing_BEL!$L$49</f>
        <v>-68.375877482279407</v>
      </c>
      <c r="H400" s="13">
        <f>+[10]Pricing_BEL!$L$49-[9]Pricing_BEL!$L$49</f>
        <v>0</v>
      </c>
      <c r="I400" s="13">
        <f>+[11]Pricing_BEL!$L$49-[10]Pricing_BEL!$L$49</f>
        <v>0</v>
      </c>
      <c r="J400" s="32">
        <f>+[12]Pricing_BEL!$L$49-[11]Pricing_BEL!$L$49</f>
        <v>39.350062597511624</v>
      </c>
      <c r="K400" s="13">
        <f>+[13]Pricing_BEL!$L$49-[12]Pricing_BEL!$L$49</f>
        <v>0</v>
      </c>
      <c r="L400" s="13">
        <f>+[14]Pricing_BEL!$L$49-[13]Pricing_BEL!$L$49</f>
        <v>0</v>
      </c>
      <c r="M400" s="13">
        <f>+[15]Pricing_BEL!$L$49-[14]Pricing_BEL!$L$49</f>
        <v>-1478.3344482879002</v>
      </c>
      <c r="N400" s="32">
        <f>+[16]Pricing_BEL!$L$49-[15]Pricing_BEL!$L$49</f>
        <v>0</v>
      </c>
      <c r="O400" s="13">
        <f>+[17]Pricing_BEL!$L$49-[16]Pricing_BEL!$L$49</f>
        <v>0</v>
      </c>
      <c r="P400" s="13">
        <f>+[18]Pricing_BEL!$L$49-[17]Pricing_BEL!$L$49</f>
        <v>-804.60207447569655</v>
      </c>
      <c r="Q400" s="32">
        <f>+[19]Pricing_BEL!$L$49-[18]Pricing_BEL!$L$49</f>
        <v>0</v>
      </c>
      <c r="R400" s="32">
        <f>+[20]Pricing_BEL!$L$49-[19]Pricing_BEL!$L$49</f>
        <v>0</v>
      </c>
      <c r="S400" s="70">
        <f>+[22]Pricing_BEL!$L$49-[20]Pricing_BEL!$L$49</f>
        <v>0</v>
      </c>
      <c r="AI400" s="73"/>
      <c r="AJ400" s="73"/>
      <c r="AK400" s="73"/>
    </row>
    <row r="401" spans="1:37" hidden="1" outlineLevel="2" x14ac:dyDescent="0.25">
      <c r="A401" s="16" t="s">
        <v>52</v>
      </c>
      <c r="B401" s="13">
        <f>+[1]Pricing_BEL!$L$50-[21]Pricing_BEL!$L$50</f>
        <v>0</v>
      </c>
      <c r="C401" s="13">
        <f>+[5]Pricing_BEL!$L$50-[1]Pricing_BEL!$L$50</f>
        <v>0</v>
      </c>
      <c r="D401" s="32">
        <f>+[6]Pricing_BEL!$L$50-[5]Pricing_BEL!$L$50</f>
        <v>-11.899784655311805</v>
      </c>
      <c r="E401" s="13">
        <f>+[7]Pricing_BEL!$L$50-[6]Pricing_BEL!$L$50</f>
        <v>0</v>
      </c>
      <c r="F401" s="13">
        <f>+[8]Pricing_BEL!$L$50-[7]Pricing_BEL!$L$50</f>
        <v>0</v>
      </c>
      <c r="G401" s="32">
        <f>+[9]Pricing_BEL!$L$50-[8]Pricing_BEL!$L$50</f>
        <v>-38.956247505104443</v>
      </c>
      <c r="H401" s="13">
        <f>+[10]Pricing_BEL!$L$50-[9]Pricing_BEL!$L$50</f>
        <v>0</v>
      </c>
      <c r="I401" s="13">
        <f>+[11]Pricing_BEL!$L$50-[10]Pricing_BEL!$L$50</f>
        <v>0</v>
      </c>
      <c r="J401" s="32">
        <f>+[12]Pricing_BEL!$L$50-[11]Pricing_BEL!$L$50</f>
        <v>26.86009616316943</v>
      </c>
      <c r="K401" s="13">
        <f>+[13]Pricing_BEL!$L$50-[12]Pricing_BEL!$L$50</f>
        <v>0</v>
      </c>
      <c r="L401" s="13">
        <f>+[14]Pricing_BEL!$L$50-[13]Pricing_BEL!$L$50</f>
        <v>0</v>
      </c>
      <c r="M401" s="13">
        <f>+[15]Pricing_BEL!$L$50-[14]Pricing_BEL!$L$50</f>
        <v>-747.2664255146301</v>
      </c>
      <c r="N401" s="32">
        <f>+[16]Pricing_BEL!$L$50-[15]Pricing_BEL!$L$50</f>
        <v>0</v>
      </c>
      <c r="O401" s="13">
        <f>+[17]Pricing_BEL!$L$50-[16]Pricing_BEL!$L$50</f>
        <v>0</v>
      </c>
      <c r="P401" s="13">
        <f>+[18]Pricing_BEL!$L$50-[17]Pricing_BEL!$L$50</f>
        <v>-417.2305436974184</v>
      </c>
      <c r="Q401" s="32">
        <f>+[19]Pricing_BEL!$L$50-[18]Pricing_BEL!$L$50</f>
        <v>0</v>
      </c>
      <c r="R401" s="32">
        <f>+[20]Pricing_BEL!$L$50-[19]Pricing_BEL!$L$50</f>
        <v>0</v>
      </c>
      <c r="S401" s="70">
        <f>+[22]Pricing_BEL!$L$50-[20]Pricing_BEL!$L$50</f>
        <v>0</v>
      </c>
      <c r="AI401" s="73"/>
      <c r="AJ401" s="73"/>
      <c r="AK401" s="73"/>
    </row>
    <row r="402" spans="1:37" hidden="1" outlineLevel="2" x14ac:dyDescent="0.25">
      <c r="A402" s="16" t="s">
        <v>53</v>
      </c>
      <c r="B402" s="13">
        <f>+[1]Pricing_BEL!$L$51-[21]Pricing_BEL!$L$51</f>
        <v>0</v>
      </c>
      <c r="C402" s="13">
        <f>+[5]Pricing_BEL!$L$51-[1]Pricing_BEL!$L$51</f>
        <v>0</v>
      </c>
      <c r="D402" s="32">
        <f>+[6]Pricing_BEL!$L$51-[5]Pricing_BEL!$L$51</f>
        <v>-6.8944355133651527</v>
      </c>
      <c r="E402" s="13">
        <f>+[7]Pricing_BEL!$L$51-[6]Pricing_BEL!$L$51</f>
        <v>0</v>
      </c>
      <c r="F402" s="13">
        <f>+[8]Pricing_BEL!$L$51-[7]Pricing_BEL!$L$51</f>
        <v>0</v>
      </c>
      <c r="G402" s="32">
        <f>+[9]Pricing_BEL!$L$51-[8]Pricing_BEL!$L$51</f>
        <v>-23.705547362480928</v>
      </c>
      <c r="H402" s="13">
        <f>+[10]Pricing_BEL!$L$51-[9]Pricing_BEL!$L$51</f>
        <v>0</v>
      </c>
      <c r="I402" s="13">
        <f>+[11]Pricing_BEL!$L$51-[10]Pricing_BEL!$L$51</f>
        <v>0</v>
      </c>
      <c r="J402" s="32">
        <f>+[12]Pricing_BEL!$L$51-[11]Pricing_BEL!$L$51</f>
        <v>18.320599041479682</v>
      </c>
      <c r="K402" s="13">
        <f>+[13]Pricing_BEL!$L$51-[12]Pricing_BEL!$L$51</f>
        <v>0</v>
      </c>
      <c r="L402" s="13">
        <f>+[14]Pricing_BEL!$L$51-[13]Pricing_BEL!$L$51</f>
        <v>0</v>
      </c>
      <c r="M402" s="13">
        <f>+[15]Pricing_BEL!$L$51-[14]Pricing_BEL!$L$51</f>
        <v>-289.14361753037065</v>
      </c>
      <c r="N402" s="32">
        <f>+[16]Pricing_BEL!$L$51-[15]Pricing_BEL!$L$51</f>
        <v>0</v>
      </c>
      <c r="O402" s="13">
        <f>+[17]Pricing_BEL!$L$51-[16]Pricing_BEL!$L$51</f>
        <v>0</v>
      </c>
      <c r="P402" s="13">
        <f>+[18]Pricing_BEL!$L$51-[17]Pricing_BEL!$L$51</f>
        <v>-248.19095747598192</v>
      </c>
      <c r="Q402" s="32">
        <f>+[19]Pricing_BEL!$L$51-[18]Pricing_BEL!$L$51</f>
        <v>0</v>
      </c>
      <c r="R402" s="32">
        <f>+[20]Pricing_BEL!$L$51-[19]Pricing_BEL!$L$51</f>
        <v>0</v>
      </c>
      <c r="S402" s="70">
        <f>+[22]Pricing_BEL!$L$51-[20]Pricing_BEL!$L$51</f>
        <v>0</v>
      </c>
      <c r="AI402" s="73"/>
      <c r="AJ402" s="73"/>
      <c r="AK402" s="73"/>
    </row>
    <row r="403" spans="1:37" hidden="1" outlineLevel="2" x14ac:dyDescent="0.25">
      <c r="A403" s="16" t="s">
        <v>54</v>
      </c>
      <c r="B403" s="13">
        <f>+[1]Pricing_BEL!$L$52-[21]Pricing_BEL!$L$52</f>
        <v>0</v>
      </c>
      <c r="C403" s="13">
        <f>+[5]Pricing_BEL!$L$52-[1]Pricing_BEL!$L$52</f>
        <v>0</v>
      </c>
      <c r="D403" s="32">
        <f>+[6]Pricing_BEL!$L$52-[5]Pricing_BEL!$L$52</f>
        <v>0.34426687101715459</v>
      </c>
      <c r="E403" s="13">
        <f>+[7]Pricing_BEL!$L$52-[6]Pricing_BEL!$L$52</f>
        <v>0</v>
      </c>
      <c r="F403" s="13">
        <f>+[8]Pricing_BEL!$L$52-[7]Pricing_BEL!$L$52</f>
        <v>0</v>
      </c>
      <c r="G403" s="32">
        <f>+[9]Pricing_BEL!$L$52-[8]Pricing_BEL!$L$52</f>
        <v>-14.374333802347451</v>
      </c>
      <c r="H403" s="13">
        <f>+[10]Pricing_BEL!$L$52-[9]Pricing_BEL!$L$52</f>
        <v>0</v>
      </c>
      <c r="I403" s="13">
        <f>+[11]Pricing_BEL!$L$52-[10]Pricing_BEL!$L$52</f>
        <v>0</v>
      </c>
      <c r="J403" s="32">
        <f>+[12]Pricing_BEL!$L$52-[11]Pricing_BEL!$L$52</f>
        <v>9.6280883826553492</v>
      </c>
      <c r="K403" s="13">
        <f>+[13]Pricing_BEL!$L$52-[12]Pricing_BEL!$L$52</f>
        <v>0</v>
      </c>
      <c r="L403" s="13">
        <f>+[14]Pricing_BEL!$L$52-[13]Pricing_BEL!$L$52</f>
        <v>0</v>
      </c>
      <c r="M403" s="13">
        <f>+[15]Pricing_BEL!$L$52-[14]Pricing_BEL!$L$52</f>
        <v>-38.853380059341006</v>
      </c>
      <c r="N403" s="32">
        <f>+[16]Pricing_BEL!$L$52-[15]Pricing_BEL!$L$52</f>
        <v>0</v>
      </c>
      <c r="O403" s="13">
        <f>+[17]Pricing_BEL!$L$52-[16]Pricing_BEL!$L$52</f>
        <v>0</v>
      </c>
      <c r="P403" s="13">
        <f>+[18]Pricing_BEL!$L$52-[17]Pricing_BEL!$L$52</f>
        <v>-146.30371650730777</v>
      </c>
      <c r="Q403" s="32">
        <f>+[19]Pricing_BEL!$L$52-[18]Pricing_BEL!$L$52</f>
        <v>0</v>
      </c>
      <c r="R403" s="32">
        <f>+[20]Pricing_BEL!$L$52-[19]Pricing_BEL!$L$52</f>
        <v>0</v>
      </c>
      <c r="S403" s="70">
        <f>+[22]Pricing_BEL!$L$52-[20]Pricing_BEL!$L$52</f>
        <v>0</v>
      </c>
      <c r="AI403" s="73"/>
      <c r="AJ403" s="73"/>
      <c r="AK403" s="73"/>
    </row>
    <row r="404" spans="1:37" hidden="1" outlineLevel="2" x14ac:dyDescent="0.25">
      <c r="A404" s="16" t="s">
        <v>55</v>
      </c>
      <c r="B404" s="13">
        <f>+[1]Pricing_BEL!$L$53-[21]Pricing_BEL!$L$53</f>
        <v>0</v>
      </c>
      <c r="C404" s="13">
        <f>+[5]Pricing_BEL!$L$53-[1]Pricing_BEL!$L$53</f>
        <v>0</v>
      </c>
      <c r="D404" s="32">
        <f>+[6]Pricing_BEL!$L$53-[5]Pricing_BEL!$L$53</f>
        <v>1.1973705077929537</v>
      </c>
      <c r="E404" s="13">
        <f>+[7]Pricing_BEL!$L$53-[6]Pricing_BEL!$L$53</f>
        <v>0</v>
      </c>
      <c r="F404" s="13">
        <f>+[8]Pricing_BEL!$L$53-[7]Pricing_BEL!$L$53</f>
        <v>0</v>
      </c>
      <c r="G404" s="32">
        <f>+[9]Pricing_BEL!$L$53-[8]Pricing_BEL!$L$53</f>
        <v>-3.2138061406405001</v>
      </c>
      <c r="H404" s="13">
        <f>+[10]Pricing_BEL!$L$53-[9]Pricing_BEL!$L$53</f>
        <v>0</v>
      </c>
      <c r="I404" s="13">
        <f>+[11]Pricing_BEL!$L$53-[10]Pricing_BEL!$L$53</f>
        <v>0</v>
      </c>
      <c r="J404" s="32">
        <f>+[12]Pricing_BEL!$L$53-[11]Pricing_BEL!$L$53</f>
        <v>4.2245630097333304</v>
      </c>
      <c r="K404" s="13">
        <f>+[13]Pricing_BEL!$L$53-[12]Pricing_BEL!$L$53</f>
        <v>0</v>
      </c>
      <c r="L404" s="13">
        <f>+[14]Pricing_BEL!$L$53-[13]Pricing_BEL!$L$53</f>
        <v>0</v>
      </c>
      <c r="M404" s="13">
        <f>+[15]Pricing_BEL!$L$53-[14]Pricing_BEL!$L$53</f>
        <v>34.330615211206535</v>
      </c>
      <c r="N404" s="32">
        <f>+[16]Pricing_BEL!$L$53-[15]Pricing_BEL!$L$53</f>
        <v>0</v>
      </c>
      <c r="O404" s="13">
        <f>+[17]Pricing_BEL!$L$53-[16]Pricing_BEL!$L$53</f>
        <v>0</v>
      </c>
      <c r="P404" s="13">
        <f>+[18]Pricing_BEL!$L$53-[17]Pricing_BEL!$L$53</f>
        <v>-57.641446376299321</v>
      </c>
      <c r="Q404" s="32">
        <f>+[19]Pricing_BEL!$L$53-[18]Pricing_BEL!$L$53</f>
        <v>0</v>
      </c>
      <c r="R404" s="32">
        <f>+[20]Pricing_BEL!$L$53-[19]Pricing_BEL!$L$53</f>
        <v>0</v>
      </c>
      <c r="S404" s="70">
        <f>+[22]Pricing_BEL!$L$53-[20]Pricing_BEL!$L$53</f>
        <v>0</v>
      </c>
      <c r="AI404" s="73"/>
      <c r="AJ404" s="73"/>
      <c r="AK404" s="73"/>
    </row>
    <row r="405" spans="1:37" hidden="1" outlineLevel="2" x14ac:dyDescent="0.25">
      <c r="A405" s="16" t="s">
        <v>56</v>
      </c>
      <c r="B405" s="13">
        <f>+[1]Pricing_BEL!$L$54-[21]Pricing_BEL!$L$54</f>
        <v>0</v>
      </c>
      <c r="C405" s="13">
        <f>+[5]Pricing_BEL!$L$54-[1]Pricing_BEL!$L$54</f>
        <v>0</v>
      </c>
      <c r="D405" s="32">
        <f>+[6]Pricing_BEL!$L$54-[5]Pricing_BEL!$L$54</f>
        <v>1.0362266838632976</v>
      </c>
      <c r="E405" s="13">
        <f>+[7]Pricing_BEL!$L$54-[6]Pricing_BEL!$L$54</f>
        <v>0</v>
      </c>
      <c r="F405" s="13">
        <f>+[8]Pricing_BEL!$L$54-[7]Pricing_BEL!$L$54</f>
        <v>0</v>
      </c>
      <c r="G405" s="32">
        <f>+[9]Pricing_BEL!$L$54-[8]Pricing_BEL!$L$54</f>
        <v>-1.3881609843111811</v>
      </c>
      <c r="H405" s="13">
        <f>+[10]Pricing_BEL!$L$54-[9]Pricing_BEL!$L$54</f>
        <v>0</v>
      </c>
      <c r="I405" s="13">
        <f>+[11]Pricing_BEL!$L$54-[10]Pricing_BEL!$L$54</f>
        <v>0</v>
      </c>
      <c r="J405" s="32">
        <f>+[12]Pricing_BEL!$L$54-[11]Pricing_BEL!$L$54</f>
        <v>1.2071272126721784</v>
      </c>
      <c r="K405" s="13">
        <f>+[13]Pricing_BEL!$L$54-[12]Pricing_BEL!$L$54</f>
        <v>0</v>
      </c>
      <c r="L405" s="13">
        <f>+[14]Pricing_BEL!$L$54-[13]Pricing_BEL!$L$54</f>
        <v>0</v>
      </c>
      <c r="M405" s="13">
        <f>+[15]Pricing_BEL!$L$54-[14]Pricing_BEL!$L$54</f>
        <v>10.170981719798707</v>
      </c>
      <c r="N405" s="32">
        <f>+[16]Pricing_BEL!$L$54-[15]Pricing_BEL!$L$54</f>
        <v>0</v>
      </c>
      <c r="O405" s="13">
        <f>+[17]Pricing_BEL!$L$54-[16]Pricing_BEL!$L$54</f>
        <v>0</v>
      </c>
      <c r="P405" s="13">
        <f>+[18]Pricing_BEL!$L$54-[17]Pricing_BEL!$L$54</f>
        <v>4.2943171336830288E-5</v>
      </c>
      <c r="Q405" s="32">
        <f>+[19]Pricing_BEL!$L$54-[18]Pricing_BEL!$L$54</f>
        <v>0</v>
      </c>
      <c r="R405" s="32">
        <f>+[20]Pricing_BEL!$L$54-[19]Pricing_BEL!$L$54</f>
        <v>0</v>
      </c>
      <c r="S405" s="70">
        <f>+[22]Pricing_BEL!$L$54-[20]Pricing_BEL!$L$54</f>
        <v>0</v>
      </c>
      <c r="AI405" s="73"/>
      <c r="AJ405" s="73"/>
      <c r="AK405" s="73"/>
    </row>
    <row r="406" spans="1:37" collapsed="1" x14ac:dyDescent="0.25">
      <c r="A406" s="12" t="s">
        <v>89</v>
      </c>
      <c r="B406" s="13">
        <f>+SUM([1]Result!$C$5:$C$54)-SUM([21]Result!$C$5:$C$54)</f>
        <v>1669399.8358582258</v>
      </c>
      <c r="C406" s="13">
        <f>+SUM([5]Result!$C$5:$C$54)-SUM([1]Result!$C$5:$C$54)</f>
        <v>-3028442.5273749828</v>
      </c>
      <c r="D406" s="32">
        <f>+SUM([6]Result!$C$5:$C$54)-SUM([5]Result!$C$5:$C$54)</f>
        <v>-30213452.940349936</v>
      </c>
      <c r="E406" s="13">
        <f>+SUM([7]Result!$C$5:$C$54)-SUM([6]Result!$C$5:$C$54)</f>
        <v>-6844580.7801736593</v>
      </c>
      <c r="F406" s="13">
        <f>+SUM([8]Result!$C$5:$C$54)-SUM([7]Result!$C$5:$C$54)</f>
        <v>1903442.3011249304</v>
      </c>
      <c r="G406" s="32">
        <f>+SUM([9]Result!$C$5:$C$54)-SUM([8]Result!$C$5:$C$54)</f>
        <v>32976473.974838614</v>
      </c>
      <c r="H406" s="13">
        <f>+SUM([10]Result!$C$5:$C$54)-SUM([9]Result!$C$5:$C$54)</f>
        <v>2223006.186019659</v>
      </c>
      <c r="I406" s="13">
        <f>+SUM([11]Result!$C$5:$C$54)-SUM([10]Result!$C$5:$C$54)</f>
        <v>-424185.39495384693</v>
      </c>
      <c r="J406" s="32">
        <f>+SUM([12]Result!$C$5:$C$54)-SUM([11]Result!$C$5:$C$54)</f>
        <v>-1812989.5598447323</v>
      </c>
      <c r="K406" s="13">
        <f>+SUM([13]Result!$C$5:$C$54)-SUM([12]Result!$C$5:$C$54)</f>
        <v>-813873.31162559986</v>
      </c>
      <c r="L406" s="13">
        <f>+SUM([14]Result!$C$5:$C$54)-SUM([13]Result!$C$5:$C$54)</f>
        <v>2247824.0866396427</v>
      </c>
      <c r="M406" s="32">
        <f>+SUM([15]Result!$C$5:$C$54)-SUM([14]Result!$C$5:$C$54)</f>
        <v>100669045.16928518</v>
      </c>
      <c r="N406" s="13">
        <f>+SUM([16]Result!$C$5:$C$54)-SUM([15]Result!$C$5:$C$54)</f>
        <v>-1058975.6179926395</v>
      </c>
      <c r="O406" s="13">
        <f>+SUM([17]Result!$C$5:$C$54)-SUM([16]Result!$C$5:$C$54)</f>
        <v>-3067436.6189947128</v>
      </c>
      <c r="P406" s="32">
        <f>+SUM([18]Result!$C$5:$C$54)-SUM([17]Result!$C$5:$C$54)</f>
        <v>-96855352.830584764</v>
      </c>
      <c r="Q406" s="13">
        <f>+SUM([19]Result!$C$5:$C$54)-SUM([18]Result!$C$5:$C$54)</f>
        <v>581805.53791415691</v>
      </c>
      <c r="R406" s="13">
        <f>+SUM([20]Result!$C$5:$C$54)-SUM([19]Result!$C$5:$C$54)</f>
        <v>-2214371.6839556694</v>
      </c>
      <c r="S406" s="70">
        <f>+SUM([22]Result!$C$5:$C$54)-SUM([20]Result!$C$5:$C$54)</f>
        <v>-874450.42926728725</v>
      </c>
      <c r="T406" s="13">
        <f>+B406-(B407+B413+B419+B430+B441)</f>
        <v>-6.7567452788352966E-7</v>
      </c>
      <c r="U406" s="13">
        <f t="shared" ref="U406:W406" si="301">+C406-(C407+C413+C419+C430+C441)</f>
        <v>1.3923272490501404E-7</v>
      </c>
      <c r="V406" s="13">
        <f t="shared" si="301"/>
        <v>2.3096799850463867E-7</v>
      </c>
      <c r="W406" s="13">
        <f t="shared" si="301"/>
        <v>-5.2340328693389893E-7</v>
      </c>
      <c r="X406" s="13">
        <f t="shared" ref="X406" si="302">+F406-(F407+F413+F419+F430+F441)</f>
        <v>3.4505501389503479E-7</v>
      </c>
      <c r="Y406" s="13">
        <f t="shared" ref="Y406:AE406" si="303">+G406-(G407+G413+G419+G430+G441)</f>
        <v>1.3783574104309082E-7</v>
      </c>
      <c r="Z406" s="13">
        <f t="shared" si="303"/>
        <v>-3.8836151361465454E-7</v>
      </c>
      <c r="AA406" s="13">
        <f t="shared" si="303"/>
        <v>4.4470652937889099E-7</v>
      </c>
      <c r="AB406" s="13">
        <f t="shared" si="303"/>
        <v>-3.0710361897945404E-7</v>
      </c>
      <c r="AC406" s="13">
        <f t="shared" si="303"/>
        <v>-3.0267983675003052E-8</v>
      </c>
      <c r="AD406" s="13">
        <f t="shared" si="303"/>
        <v>-2.5471672415733337E-7</v>
      </c>
      <c r="AE406" s="13">
        <f t="shared" si="303"/>
        <v>0</v>
      </c>
      <c r="AF406" s="13">
        <f t="shared" ref="AF406" si="304">+N406-(N407+N413+N419+N430+N441)</f>
        <v>3.2526440918445587E-7</v>
      </c>
      <c r="AG406" s="13">
        <f t="shared" ref="AG406:AH406" si="305">+O406-(O407+O413+O419+O430+O441)</f>
        <v>-8.9406967163085938E-8</v>
      </c>
      <c r="AH406" s="13">
        <f t="shared" si="305"/>
        <v>1.4901161193847656E-7</v>
      </c>
      <c r="AI406" s="73">
        <f t="shared" ref="AI406" si="306">+Q406-(Q407+Q413+Q419+Q430+Q441)</f>
        <v>-2.4889595806598663E-7</v>
      </c>
      <c r="AJ406" s="73">
        <f t="shared" ref="AJ406:AK406" si="307">+R406-(R407+R413+R419+R430+R441)</f>
        <v>6.0535967350006104E-8</v>
      </c>
      <c r="AK406" s="73">
        <f t="shared" si="307"/>
        <v>2.1560117602348328E-7</v>
      </c>
    </row>
    <row r="407" spans="1:37" hidden="1" outlineLevel="1" x14ac:dyDescent="0.25">
      <c r="A407" s="15" t="s">
        <v>2</v>
      </c>
      <c r="B407" s="13">
        <f>+'[1]Stat by Mat'!$G$3-'[21]Stat by Mat'!$G$3</f>
        <v>758963.54167485237</v>
      </c>
      <c r="C407" s="13">
        <f>+'[5]Stat by Mat'!$G$3-'[1]Stat by Mat'!$G$3</f>
        <v>-1579745.4014139175</v>
      </c>
      <c r="D407" s="32">
        <f>+'[6]Stat by Mat'!$G$3-'[5]Stat by Mat'!$G$3</f>
        <v>-41213271.784674525</v>
      </c>
      <c r="E407" s="13">
        <f>+'[7]Stat by Mat'!$G$3-'[6]Stat by Mat'!$G$3</f>
        <v>-3601830.3377207518</v>
      </c>
      <c r="F407" s="13">
        <f>+'[8]Stat by Mat'!$G$3-'[7]Stat by Mat'!$G$3</f>
        <v>604481.80156886578</v>
      </c>
      <c r="G407" s="32">
        <f>+'[9]Stat by Mat'!$G$3-'[8]Stat by Mat'!$G$3</f>
        <v>32146891.042055845</v>
      </c>
      <c r="H407" s="13">
        <f>+'[10]Stat by Mat'!$G$3-'[9]Stat by Mat'!$G$3</f>
        <v>1110517.659948945</v>
      </c>
      <c r="I407" s="13">
        <f>+'[11]Stat by Mat'!$G$3-'[10]Stat by Mat'!$G$3</f>
        <v>-463253.19087660313</v>
      </c>
      <c r="J407" s="32">
        <f>+'[12]Stat by Mat'!$G$3-'[11]Stat by Mat'!$G$3</f>
        <v>-828996.29988431931</v>
      </c>
      <c r="K407" s="13">
        <f>+'[13]Stat by Mat'!$G$3-'[12]Stat by Mat'!$G$3</f>
        <v>-350032.65785253048</v>
      </c>
      <c r="L407" s="13">
        <f>+'[14]Stat by Mat'!$G$3-'[13]Stat by Mat'!$G$3</f>
        <v>542612.11137247086</v>
      </c>
      <c r="M407" s="13">
        <f>+'[15]Stat by Mat'!$G$3-'[14]Stat by Mat'!$G$3</f>
        <v>67089462.100521445</v>
      </c>
      <c r="N407" s="32">
        <f>+'[16]Stat by Mat'!$G$3-'[15]Stat by Mat'!$G$3</f>
        <v>-410960.20836126804</v>
      </c>
      <c r="O407" s="13">
        <f>+'[17]Stat by Mat'!$G$3-'[16]Stat by Mat'!$G$3</f>
        <v>-1019720.4519923925</v>
      </c>
      <c r="P407" s="13">
        <f>+'[18]Stat by Mat'!$G$3-'[17]Stat by Mat'!$G$3</f>
        <v>-93680394.284848809</v>
      </c>
      <c r="Q407" s="32">
        <f>+'[19]Stat by Mat'!$G$3-'[18]Stat by Mat'!$G$3</f>
        <v>430149.01876270771</v>
      </c>
      <c r="R407" s="32">
        <f>+'[20]Stat by Mat'!$G$3-'[19]Stat by Mat'!$G$3</f>
        <v>-1357368.8834360838</v>
      </c>
      <c r="S407" s="70">
        <f>+'[22]Stat by Mat'!$G$3-'[20]Stat by Mat'!$G$3</f>
        <v>-197364.28446316719</v>
      </c>
      <c r="T407" s="13">
        <f>+B407-SUM(B408:B412)</f>
        <v>-2.9802322387695313E-8</v>
      </c>
      <c r="U407" s="13">
        <f t="shared" ref="U407:W407" si="308">+C407-SUM(C408:C412)</f>
        <v>2.2351741790771484E-8</v>
      </c>
      <c r="V407" s="13">
        <f t="shared" si="308"/>
        <v>0</v>
      </c>
      <c r="W407" s="13">
        <f t="shared" si="308"/>
        <v>7.4505805969238281E-8</v>
      </c>
      <c r="X407" s="13">
        <f t="shared" ref="X407" si="309">+F407-SUM(F408:F412)</f>
        <v>-4.4703483581542969E-8</v>
      </c>
      <c r="Y407" s="13">
        <f t="shared" ref="Y407:AE407" si="310">+G407-SUM(G408:G412)</f>
        <v>-1.7136335372924805E-7</v>
      </c>
      <c r="Z407" s="13">
        <f t="shared" si="310"/>
        <v>1.862645149230957E-7</v>
      </c>
      <c r="AA407" s="13">
        <f t="shared" si="310"/>
        <v>-8.9406967163085938E-8</v>
      </c>
      <c r="AB407" s="13">
        <f t="shared" si="310"/>
        <v>-2.9802322387695313E-8</v>
      </c>
      <c r="AC407" s="13">
        <f t="shared" si="310"/>
        <v>5.2154064178466797E-8</v>
      </c>
      <c r="AD407" s="13">
        <f t="shared" si="310"/>
        <v>5.2154064178466797E-8</v>
      </c>
      <c r="AE407" s="13">
        <f t="shared" si="310"/>
        <v>-1.7881393432617188E-7</v>
      </c>
      <c r="AF407" s="13">
        <f t="shared" ref="AF407" si="311">+N407-SUM(N408:N412)</f>
        <v>1.2665987014770508E-7</v>
      </c>
      <c r="AG407" s="13">
        <f t="shared" ref="AG407:AH407" si="312">+O407-SUM(O408:O412)</f>
        <v>2.2351741790771484E-8</v>
      </c>
      <c r="AH407" s="13">
        <f t="shared" si="312"/>
        <v>0</v>
      </c>
      <c r="AI407" s="73">
        <f t="shared" ref="AI407" si="313">+Q407-SUM(Q408:Q412)</f>
        <v>-5.9604644775390625E-8</v>
      </c>
      <c r="AJ407" s="73">
        <f t="shared" ref="AJ407:AK407" si="314">+R407-SUM(R408:R412)</f>
        <v>1.0430812835693359E-7</v>
      </c>
      <c r="AK407" s="73">
        <f t="shared" si="314"/>
        <v>0</v>
      </c>
    </row>
    <row r="408" spans="1:37" hidden="1" outlineLevel="2" x14ac:dyDescent="0.25">
      <c r="A408" s="16" t="s">
        <v>3</v>
      </c>
      <c r="B408" s="13">
        <f>+[1]Result!$C$5-[21]Result!$C$5</f>
        <v>111939.86139148474</v>
      </c>
      <c r="C408" s="13">
        <f>+[5]Result!$C$5-[1]Result!$C$5</f>
        <v>-302721.22888940573</v>
      </c>
      <c r="D408" s="32">
        <f>+[6]Result!$C$5-[5]Result!$C$5</f>
        <v>-995956.55992037058</v>
      </c>
      <c r="E408" s="13">
        <f>+[7]Result!$C$5-[6]Result!$C$5</f>
        <v>-563982.51428693533</v>
      </c>
      <c r="F408" s="13">
        <f>+[8]Result!$C$5-[7]Result!$C$5</f>
        <v>31745.779925644398</v>
      </c>
      <c r="G408" s="32">
        <f>+[9]Result!$C$5-[8]Result!$C$5</f>
        <v>37267954.167510509</v>
      </c>
      <c r="H408" s="13">
        <f>+[10]Result!$C$5-[9]Result!$C$5</f>
        <v>122445.42907679081</v>
      </c>
      <c r="I408" s="13">
        <f>+[11]Result!$C$5-[10]Result!$C$5</f>
        <v>-16196.635020196438</v>
      </c>
      <c r="J408" s="32">
        <f>+[12]Result!$C$5-[11]Result!$C$5</f>
        <v>19875008.596017063</v>
      </c>
      <c r="K408" s="13">
        <f>+[13]Result!$C$5-[12]Result!$C$5</f>
        <v>8508.1332572102547</v>
      </c>
      <c r="L408" s="13">
        <f>+[14]Result!$C$5-[13]Result!$C$5</f>
        <v>20416.11789804697</v>
      </c>
      <c r="M408" s="13">
        <f>+[15]Result!$C$5-[14]Result!$C$5</f>
        <v>21761795.478317678</v>
      </c>
      <c r="N408" s="32">
        <f>+[16]Result!$C$5-[15]Result!$C$5</f>
        <v>-4784.3582877516747</v>
      </c>
      <c r="O408" s="13">
        <f>+[17]Result!$C$5-[16]Result!$C$5</f>
        <v>-46263.299951672554</v>
      </c>
      <c r="P408" s="13">
        <f>+[18]Result!$C$5-[17]Result!$C$5</f>
        <v>-55230200.748679876</v>
      </c>
      <c r="Q408" s="32">
        <f>+[19]Result!$C$5-[18]Result!$C$5</f>
        <v>134826.00480973721</v>
      </c>
      <c r="R408" s="32">
        <f>+[20]Result!$C$5-[19]Result!$C$5</f>
        <v>-155158.88594329357</v>
      </c>
      <c r="S408" s="70">
        <f>+[22]Result!$C$5-[20]Result!$C$5</f>
        <v>-7394.8560031652451</v>
      </c>
      <c r="AI408" s="73"/>
      <c r="AJ408" s="73"/>
      <c r="AK408" s="73"/>
    </row>
    <row r="409" spans="1:37" hidden="1" outlineLevel="2" x14ac:dyDescent="0.25">
      <c r="A409" s="16" t="s">
        <v>4</v>
      </c>
      <c r="B409" s="13">
        <f>+[1]Result!$C$6-[21]Result!$C$6</f>
        <v>205887.5057694912</v>
      </c>
      <c r="C409" s="13">
        <f>+[5]Result!$C$6-[1]Result!$C$6</f>
        <v>-427476.20229384303</v>
      </c>
      <c r="D409" s="32">
        <f>+[6]Result!$C$6-[5]Result!$C$6</f>
        <v>-39080173.765442133</v>
      </c>
      <c r="E409" s="13">
        <f>+[7]Result!$C$6-[6]Result!$C$6</f>
        <v>-1115312.9487558007</v>
      </c>
      <c r="F409" s="13">
        <f>+[8]Result!$C$6-[7]Result!$C$6</f>
        <v>156684.08080437779</v>
      </c>
      <c r="G409" s="32">
        <f>+[9]Result!$C$6-[8]Result!$C$6</f>
        <v>-5782699.4458551705</v>
      </c>
      <c r="H409" s="13">
        <f>+[10]Result!$C$6-[9]Result!$C$6</f>
        <v>335598.23715037107</v>
      </c>
      <c r="I409" s="13">
        <f>+[11]Result!$C$6-[10]Result!$C$6</f>
        <v>-110166.07126235962</v>
      </c>
      <c r="J409" s="32">
        <f>+[12]Result!$C$6-[11]Result!$C$6</f>
        <v>-9143223.9915880263</v>
      </c>
      <c r="K409" s="13">
        <f>+[13]Result!$C$6-[12]Result!$C$6</f>
        <v>-74376.683715760708</v>
      </c>
      <c r="L409" s="13">
        <f>+[14]Result!$C$6-[13]Result!$C$6</f>
        <v>128413.91681391001</v>
      </c>
      <c r="M409" s="13">
        <f>+[15]Result!$C$6-[14]Result!$C$6</f>
        <v>23027362.283274889</v>
      </c>
      <c r="N409" s="32">
        <f>+[16]Result!$C$6-[15]Result!$C$6</f>
        <v>-87188.969675540924</v>
      </c>
      <c r="O409" s="13">
        <f>+[17]Result!$C$6-[16]Result!$C$6</f>
        <v>-217076.54839906096</v>
      </c>
      <c r="P409" s="13">
        <f>+[18]Result!$C$6-[17]Result!$C$6</f>
        <v>-29052273.998673648</v>
      </c>
      <c r="Q409" s="32">
        <f>+[19]Result!$C$6-[18]Result!$C$6</f>
        <v>242286.28486704826</v>
      </c>
      <c r="R409" s="32">
        <f>+[20]Result!$C$6-[19]Result!$C$6</f>
        <v>-448163.63317525387</v>
      </c>
      <c r="S409" s="70">
        <f>+[22]Result!$C$6-[20]Result!$C$6</f>
        <v>-55891.549264013767</v>
      </c>
      <c r="AI409" s="73"/>
      <c r="AJ409" s="73"/>
      <c r="AK409" s="73"/>
    </row>
    <row r="410" spans="1:37" hidden="1" outlineLevel="2" x14ac:dyDescent="0.25">
      <c r="A410" s="16" t="s">
        <v>5</v>
      </c>
      <c r="B410" s="13">
        <f>+[1]Result!$C$7-[21]Result!$C$7</f>
        <v>194103.8959967792</v>
      </c>
      <c r="C410" s="13">
        <f>+[5]Result!$C$7-[1]Result!$C$7</f>
        <v>-353860.6940933466</v>
      </c>
      <c r="D410" s="32">
        <f>+[6]Result!$C$7-[5]Result!$C$7</f>
        <v>-679981.09777115285</v>
      </c>
      <c r="E410" s="13">
        <f>+[7]Result!$C$7-[6]Result!$C$7</f>
        <v>-785444.50957381725</v>
      </c>
      <c r="F410" s="13">
        <f>+[8]Result!$C$7-[7]Result!$C$7</f>
        <v>155559.5860543102</v>
      </c>
      <c r="G410" s="32">
        <f>+[9]Result!$C$7-[8]Result!$C$7</f>
        <v>667512.49813784659</v>
      </c>
      <c r="H410" s="13">
        <f>+[10]Result!$C$7-[9]Result!$C$7</f>
        <v>266358.3303976804</v>
      </c>
      <c r="I410" s="13">
        <f>+[11]Result!$C$7-[10]Result!$C$7</f>
        <v>-131032.54978325963</v>
      </c>
      <c r="J410" s="32">
        <f>+[12]Result!$C$7-[11]Result!$C$7</f>
        <v>-8200303.1007544547</v>
      </c>
      <c r="K410" s="13">
        <f>+[13]Result!$C$7-[12]Result!$C$7</f>
        <v>-102582.93875530362</v>
      </c>
      <c r="L410" s="13">
        <f>+[14]Result!$C$7-[13]Result!$C$7</f>
        <v>134225.8404507935</v>
      </c>
      <c r="M410" s="13">
        <f>+[15]Result!$C$7-[14]Result!$C$7</f>
        <v>8766770.9641478956</v>
      </c>
      <c r="N410" s="32">
        <f>+[16]Result!$C$7-[15]Result!$C$7</f>
        <v>-122972.27480612695</v>
      </c>
      <c r="O410" s="13">
        <f>+[17]Result!$C$7-[16]Result!$C$7</f>
        <v>-257472.44888682663</v>
      </c>
      <c r="P410" s="13">
        <f>+[18]Result!$C$7-[17]Result!$C$7</f>
        <v>-5660586.552678436</v>
      </c>
      <c r="Q410" s="32">
        <f>+[19]Result!$C$7-[18]Result!$C$7</f>
        <v>62239.682476311922</v>
      </c>
      <c r="R410" s="32">
        <f>+[20]Result!$C$7-[19]Result!$C$7</f>
        <v>-336222.51350802183</v>
      </c>
      <c r="S410" s="70">
        <f>+[22]Result!$C$7-[20]Result!$C$7</f>
        <v>-40083.33666023612</v>
      </c>
      <c r="AI410" s="73"/>
      <c r="AJ410" s="73"/>
      <c r="AK410" s="73"/>
    </row>
    <row r="411" spans="1:37" hidden="1" outlineLevel="2" x14ac:dyDescent="0.25">
      <c r="A411" s="16" t="s">
        <v>6</v>
      </c>
      <c r="B411" s="13">
        <f>+[1]Result!$C$8-[21]Result!$C$8</f>
        <v>137647.59793050587</v>
      </c>
      <c r="C411" s="13">
        <f>+[5]Result!$C$8-[1]Result!$C$8</f>
        <v>-264900.42175310105</v>
      </c>
      <c r="D411" s="32">
        <f>+[6]Result!$C$8-[5]Result!$C$8</f>
        <v>-1016167.0515284985</v>
      </c>
      <c r="E411" s="13">
        <f>+[7]Result!$C$8-[6]Result!$C$8</f>
        <v>-603637.72613810748</v>
      </c>
      <c r="F411" s="13">
        <f>+[8]Result!$C$8-[7]Result!$C$8</f>
        <v>135240.98298241198</v>
      </c>
      <c r="G411" s="32">
        <f>+[9]Result!$C$8-[8]Result!$C$8</f>
        <v>33867.937587559223</v>
      </c>
      <c r="H411" s="13">
        <f>+[10]Result!$C$8-[9]Result!$C$8</f>
        <v>208164.78666590154</v>
      </c>
      <c r="I411" s="13">
        <f>+[11]Result!$C$8-[10]Result!$C$8</f>
        <v>-113878.09286231548</v>
      </c>
      <c r="J411" s="32">
        <f>+[12]Result!$C$8-[11]Result!$C$8</f>
        <v>-2485440.7210317403</v>
      </c>
      <c r="K411" s="13">
        <f>+[13]Result!$C$8-[12]Result!$C$8</f>
        <v>-92997.089635640383</v>
      </c>
      <c r="L411" s="13">
        <f>+[14]Result!$C$8-[13]Result!$C$8</f>
        <v>125469.85857772827</v>
      </c>
      <c r="M411" s="13">
        <f>+[15]Result!$C$8-[14]Result!$C$8</f>
        <v>6955794.75175675</v>
      </c>
      <c r="N411" s="32">
        <f>+[16]Result!$C$8-[15]Result!$C$8</f>
        <v>-105623.88439117372</v>
      </c>
      <c r="O411" s="13">
        <f>+[17]Result!$C$8-[16]Result!$C$8</f>
        <v>-252458.44012957811</v>
      </c>
      <c r="P411" s="13">
        <f>+[18]Result!$C$8-[17]Result!$C$8</f>
        <v>-2062816.1789149046</v>
      </c>
      <c r="Q411" s="32">
        <f>+[19]Result!$C$8-[18]Result!$C$8</f>
        <v>-4847.3689797818661</v>
      </c>
      <c r="R411" s="32">
        <f>+[20]Result!$C$8-[19]Result!$C$8</f>
        <v>-231787.80203699321</v>
      </c>
      <c r="S411" s="70">
        <f>+[22]Result!$C$8-[20]Result!$C$8</f>
        <v>-38563.498953543603</v>
      </c>
      <c r="AI411" s="73"/>
      <c r="AJ411" s="73"/>
      <c r="AK411" s="73"/>
    </row>
    <row r="412" spans="1:37" hidden="1" outlineLevel="2" x14ac:dyDescent="0.25">
      <c r="A412" s="16" t="s">
        <v>7</v>
      </c>
      <c r="B412" s="13">
        <f>+[1]Result!$C$9-[21]Result!$C$9</f>
        <v>109384.68058662117</v>
      </c>
      <c r="C412" s="13">
        <f>+[5]Result!$C$9-[1]Result!$C$9</f>
        <v>-230786.85438424349</v>
      </c>
      <c r="D412" s="32">
        <f>+[6]Result!$C$9-[5]Result!$C$9</f>
        <v>559006.6899875775</v>
      </c>
      <c r="E412" s="13">
        <f>+[7]Result!$C$9-[6]Result!$C$9</f>
        <v>-533452.63896616548</v>
      </c>
      <c r="F412" s="13">
        <f>+[8]Result!$C$9-[7]Result!$C$9</f>
        <v>125251.3718021661</v>
      </c>
      <c r="G412" s="32">
        <f>+[9]Result!$C$9-[8]Result!$C$9</f>
        <v>-39744.115324728191</v>
      </c>
      <c r="H412" s="13">
        <f>+[10]Result!$C$9-[9]Result!$C$9</f>
        <v>177950.87665801495</v>
      </c>
      <c r="I412" s="13">
        <f>+[11]Result!$C$9-[10]Result!$C$9</f>
        <v>-91979.841948382556</v>
      </c>
      <c r="J412" s="32">
        <f>+[12]Result!$C$9-[11]Result!$C$9</f>
        <v>-875037.08252713084</v>
      </c>
      <c r="K412" s="13">
        <f>+[13]Result!$C$9-[12]Result!$C$9</f>
        <v>-88584.079003088176</v>
      </c>
      <c r="L412" s="13">
        <f>+[14]Result!$C$9-[13]Result!$C$9</f>
        <v>134086.37763193995</v>
      </c>
      <c r="M412" s="13">
        <f>+[15]Result!$C$9-[14]Result!$C$9</f>
        <v>6577738.6230244115</v>
      </c>
      <c r="N412" s="32">
        <f>+[16]Result!$C$9-[15]Result!$C$9</f>
        <v>-90390.721200801432</v>
      </c>
      <c r="O412" s="13">
        <f>+[17]Result!$C$9-[16]Result!$C$9</f>
        <v>-246449.71462527663</v>
      </c>
      <c r="P412" s="13">
        <f>+[18]Result!$C$9-[17]Result!$C$9</f>
        <v>-1674516.8059018478</v>
      </c>
      <c r="Q412" s="32">
        <f>+[19]Result!$C$9-[18]Result!$C$9</f>
        <v>-4355.5844105482101</v>
      </c>
      <c r="R412" s="32">
        <f>+[20]Result!$C$9-[19]Result!$C$9</f>
        <v>-186036.04877262563</v>
      </c>
      <c r="S412" s="70">
        <f>+[22]Result!$C$9-[20]Result!$C$9</f>
        <v>-55431.043582208455</v>
      </c>
      <c r="AI412" s="73"/>
      <c r="AJ412" s="73"/>
      <c r="AK412" s="73"/>
    </row>
    <row r="413" spans="1:37" hidden="1" outlineLevel="1" x14ac:dyDescent="0.25">
      <c r="A413" s="15" t="s">
        <v>8</v>
      </c>
      <c r="B413" s="13">
        <f>+'[1]Stat by Mat'!$G$4-'[21]Stat by Mat'!$G$4</f>
        <v>370356.75276593864</v>
      </c>
      <c r="C413" s="13">
        <f>+'[5]Stat by Mat'!$G$4-'[1]Stat by Mat'!$G$4</f>
        <v>-789671.21986076236</v>
      </c>
      <c r="D413" s="32">
        <f>+'[6]Stat by Mat'!$G$4-'[5]Stat by Mat'!$G$4</f>
        <v>4321743.6831143647</v>
      </c>
      <c r="E413" s="13">
        <f>+'[7]Stat by Mat'!$G$4-'[6]Stat by Mat'!$G$4</f>
        <v>-1789687.6987832636</v>
      </c>
      <c r="F413" s="13">
        <f>+'[8]Stat by Mat'!$G$4-'[7]Stat by Mat'!$G$4</f>
        <v>496359.88703525066</v>
      </c>
      <c r="G413" s="32">
        <f>+'[9]Stat by Mat'!$G$4-'[8]Stat by Mat'!$G$4</f>
        <v>-22323.451940357685</v>
      </c>
      <c r="H413" s="13">
        <f>+'[10]Stat by Mat'!$G$4-'[9]Stat by Mat'!$G$4</f>
        <v>572086.8202919513</v>
      </c>
      <c r="I413" s="13">
        <f>+'[11]Stat by Mat'!$G$4-'[10]Stat by Mat'!$G$4</f>
        <v>-214344.37401524186</v>
      </c>
      <c r="J413" s="32">
        <f>+'[12]Stat by Mat'!$G$4-'[11]Stat by Mat'!$G$4</f>
        <v>-200103.62807530165</v>
      </c>
      <c r="K413" s="13">
        <f>+'[13]Stat by Mat'!$G$4-'[12]Stat by Mat'!$G$4</f>
        <v>-310003.74177655578</v>
      </c>
      <c r="L413" s="13">
        <f>+'[14]Stat by Mat'!$G$4-'[13]Stat by Mat'!$G$4</f>
        <v>671231.14379274845</v>
      </c>
      <c r="M413" s="13">
        <f>+'[15]Stat by Mat'!$G$4-'[14]Stat by Mat'!$G$4</f>
        <v>20853958.92291756</v>
      </c>
      <c r="N413" s="32">
        <f>+'[16]Stat by Mat'!$G$4-'[15]Stat by Mat'!$G$4</f>
        <v>-326528.75789782405</v>
      </c>
      <c r="O413" s="13">
        <f>+'[17]Stat by Mat'!$G$4-'[16]Stat by Mat'!$G$4</f>
        <v>-990190.27777579427</v>
      </c>
      <c r="P413" s="13">
        <f>+'[18]Stat by Mat'!$G$4-'[17]Stat by Mat'!$G$4</f>
        <v>-2906551.8542826623</v>
      </c>
      <c r="Q413" s="32">
        <f>+'[19]Stat by Mat'!$G$4-'[18]Stat by Mat'!$G$4</f>
        <v>19777.52664642036</v>
      </c>
      <c r="R413" s="32">
        <f>+'[20]Stat by Mat'!$G$4-'[19]Stat by Mat'!$G$4</f>
        <v>-586329.9528067857</v>
      </c>
      <c r="S413" s="70">
        <f>+'[22]Stat by Mat'!$G$4-'[20]Stat by Mat'!$G$4</f>
        <v>-284655.42686735094</v>
      </c>
      <c r="T413" s="13">
        <f>+B413-SUM(B414:B418)</f>
        <v>1.3038516044616699E-8</v>
      </c>
      <c r="U413" s="13">
        <f t="shared" ref="U413:W413" si="315">+C413-SUM(C414:C418)</f>
        <v>5.5879354476928711E-9</v>
      </c>
      <c r="V413" s="13">
        <f t="shared" si="315"/>
        <v>0</v>
      </c>
      <c r="W413" s="13">
        <f t="shared" si="315"/>
        <v>-5.5879354476928711E-9</v>
      </c>
      <c r="X413" s="13">
        <f t="shared" ref="X413" si="316">+F413-SUM(F414:F418)</f>
        <v>-3.7252902984619141E-9</v>
      </c>
      <c r="Y413" s="13">
        <f t="shared" ref="Y413:AE413" si="317">+G413-SUM(G414:G418)</f>
        <v>3.7252902984619141E-9</v>
      </c>
      <c r="Z413" s="13">
        <f t="shared" si="317"/>
        <v>5.5879354476928711E-9</v>
      </c>
      <c r="AA413" s="13">
        <f t="shared" si="317"/>
        <v>-7.4505805969238281E-9</v>
      </c>
      <c r="AB413" s="13">
        <f t="shared" si="317"/>
        <v>-7.4505805969238281E-9</v>
      </c>
      <c r="AC413" s="13">
        <f t="shared" si="317"/>
        <v>9.3132257461547852E-9</v>
      </c>
      <c r="AD413" s="13">
        <f t="shared" si="317"/>
        <v>-9.3132257461547852E-9</v>
      </c>
      <c r="AE413" s="13">
        <f t="shared" si="317"/>
        <v>0</v>
      </c>
      <c r="AF413" s="13">
        <f t="shared" ref="AF413" si="318">+N413-SUM(N414:N418)</f>
        <v>4.6566128730773926E-9</v>
      </c>
      <c r="AG413" s="13">
        <f t="shared" ref="AG413:AH413" si="319">+O413-SUM(O414:O418)</f>
        <v>-1.862645149230957E-9</v>
      </c>
      <c r="AH413" s="13">
        <f t="shared" si="319"/>
        <v>-4.6566128730773926E-9</v>
      </c>
      <c r="AI413" s="73">
        <f t="shared" ref="AI413" si="320">+Q413-SUM(Q414:Q418)</f>
        <v>3.7252902984619141E-9</v>
      </c>
      <c r="AJ413" s="73">
        <f t="shared" ref="AJ413:AK413" si="321">+R413-SUM(R414:R418)</f>
        <v>-2.7939677238464355E-9</v>
      </c>
      <c r="AK413" s="73">
        <f t="shared" si="321"/>
        <v>1.2107193470001221E-8</v>
      </c>
    </row>
    <row r="414" spans="1:37" hidden="1" outlineLevel="2" x14ac:dyDescent="0.25">
      <c r="A414" s="16" t="s">
        <v>9</v>
      </c>
      <c r="B414" s="13">
        <f>+[1]Result!$C$10-[21]Result!$C$10</f>
        <v>99424.441596440971</v>
      </c>
      <c r="C414" s="13">
        <f>+[5]Result!$C$10-[1]Result!$C$10</f>
        <v>-216980.4718770273</v>
      </c>
      <c r="D414" s="32">
        <f>+[6]Result!$C$10-[5]Result!$C$10</f>
        <v>841487.59383326396</v>
      </c>
      <c r="E414" s="13">
        <f>+[7]Result!$C$10-[6]Result!$C$10</f>
        <v>-486576.372126434</v>
      </c>
      <c r="F414" s="13">
        <f>+[8]Result!$C$10-[7]Result!$C$10</f>
        <v>119094.04535217956</v>
      </c>
      <c r="G414" s="32">
        <f>+[9]Result!$C$10-[8]Result!$C$10</f>
        <v>113221.89228697121</v>
      </c>
      <c r="H414" s="13">
        <f>+[10]Result!$C$10-[9]Result!$C$10</f>
        <v>157995.29296308011</v>
      </c>
      <c r="I414" s="13">
        <f>+[11]Result!$C$10-[10]Result!$C$10</f>
        <v>-75814.43417089805</v>
      </c>
      <c r="J414" s="32">
        <f>+[12]Result!$C$10-[11]Result!$C$10</f>
        <v>-212308.52269075066</v>
      </c>
      <c r="K414" s="13">
        <f>+[13]Result!$C$10-[12]Result!$C$10</f>
        <v>-83597.25330362469</v>
      </c>
      <c r="L414" s="13">
        <f>+[14]Result!$C$10-[13]Result!$C$10</f>
        <v>145287.69872753695</v>
      </c>
      <c r="M414" s="13">
        <f>+[15]Result!$C$10-[14]Result!$C$10</f>
        <v>5413575.7430281974</v>
      </c>
      <c r="N414" s="32">
        <f>+[16]Result!$C$10-[15]Result!$C$10</f>
        <v>-83885.995698362589</v>
      </c>
      <c r="O414" s="13">
        <f>+[17]Result!$C$10-[16]Result!$C$10</f>
        <v>-242371.66460618749</v>
      </c>
      <c r="P414" s="13">
        <f>+[18]Result!$C$10-[17]Result!$C$10</f>
        <v>-952428.81745703891</v>
      </c>
      <c r="Q414" s="32">
        <f>+[19]Result!$C$10-[18]Result!$C$10</f>
        <v>773.25255087763071</v>
      </c>
      <c r="R414" s="32">
        <f>+[20]Result!$C$10-[19]Result!$C$10</f>
        <v>-162865.88413815573</v>
      </c>
      <c r="S414" s="70">
        <f>+[22]Result!$C$10-[20]Result!$C$10</f>
        <v>-64111.957378972322</v>
      </c>
      <c r="AI414" s="73"/>
      <c r="AJ414" s="73"/>
      <c r="AK414" s="73"/>
    </row>
    <row r="415" spans="1:37" hidden="1" outlineLevel="2" x14ac:dyDescent="0.25">
      <c r="A415" s="16" t="s">
        <v>10</v>
      </c>
      <c r="B415" s="13">
        <f>+[1]Result!$C$11-[21]Result!$C$11</f>
        <v>80862.687507543713</v>
      </c>
      <c r="C415" s="13">
        <f>+[5]Result!$C$11-[1]Result!$C$11</f>
        <v>-182423.69723179564</v>
      </c>
      <c r="D415" s="32">
        <f>+[6]Result!$C$11-[5]Result!$C$11</f>
        <v>765102.88360049203</v>
      </c>
      <c r="E415" s="13">
        <f>+[7]Result!$C$11-[6]Result!$C$11</f>
        <v>-417578.72766470537</v>
      </c>
      <c r="F415" s="13">
        <f>+[8]Result!$C$11-[7]Result!$C$11</f>
        <v>108568.32418832555</v>
      </c>
      <c r="G415" s="32">
        <f>+[9]Result!$C$11-[8]Result!$C$11</f>
        <v>-17227.127470631152</v>
      </c>
      <c r="H415" s="13">
        <f>+[10]Result!$C$11-[9]Result!$C$11</f>
        <v>131696.40347179025</v>
      </c>
      <c r="I415" s="13">
        <f>+[11]Result!$C$11-[10]Result!$C$11</f>
        <v>-58406.327522862703</v>
      </c>
      <c r="J415" s="32">
        <f>+[12]Result!$C$11-[11]Result!$C$11</f>
        <v>-94456.685022968799</v>
      </c>
      <c r="K415" s="13">
        <f>+[13]Result!$C$11-[12]Result!$C$11</f>
        <v>-72641.236472416669</v>
      </c>
      <c r="L415" s="13">
        <f>+[14]Result!$C$11-[13]Result!$C$11</f>
        <v>144885.95174261183</v>
      </c>
      <c r="M415" s="13">
        <f>+[15]Result!$C$11-[14]Result!$C$11</f>
        <v>4552468.7905004025</v>
      </c>
      <c r="N415" s="32">
        <f>+[16]Result!$C$11-[15]Result!$C$11</f>
        <v>-77104.077548321337</v>
      </c>
      <c r="O415" s="13">
        <f>+[17]Result!$C$11-[16]Result!$C$11</f>
        <v>-227777.73384803161</v>
      </c>
      <c r="P415" s="13">
        <f>+[18]Result!$C$11-[17]Result!$C$11</f>
        <v>-759938.8901209347</v>
      </c>
      <c r="Q415" s="32">
        <f>+[19]Result!$C$11-[18]Result!$C$11</f>
        <v>1964.2454671934247</v>
      </c>
      <c r="R415" s="32">
        <f>+[20]Result!$C$11-[19]Result!$C$11</f>
        <v>-141549.62306439131</v>
      </c>
      <c r="S415" s="70">
        <f>+[22]Result!$C$11-[20]Result!$C$11</f>
        <v>-62275.62224945426</v>
      </c>
      <c r="AI415" s="73"/>
      <c r="AJ415" s="73"/>
      <c r="AK415" s="73"/>
    </row>
    <row r="416" spans="1:37" hidden="1" outlineLevel="2" x14ac:dyDescent="0.25">
      <c r="A416" s="16" t="s">
        <v>11</v>
      </c>
      <c r="B416" s="13">
        <f>+[1]Result!$C$12-[21]Result!$C$12</f>
        <v>65367.553093958646</v>
      </c>
      <c r="C416" s="13">
        <f>+[5]Result!$C$12-[1]Result!$C$12</f>
        <v>-148782.53467173502</v>
      </c>
      <c r="D416" s="32">
        <f>+[6]Result!$C$12-[5]Result!$C$12</f>
        <v>722341.43006019294</v>
      </c>
      <c r="E416" s="13">
        <f>+[7]Result!$C$12-[6]Result!$C$12</f>
        <v>-351600.19513517991</v>
      </c>
      <c r="F416" s="13">
        <f>+[8]Result!$C$12-[7]Result!$C$12</f>
        <v>98304.895661938936</v>
      </c>
      <c r="G416" s="32">
        <f>+[9]Result!$C$12-[8]Result!$C$12</f>
        <v>-77082.718230377883</v>
      </c>
      <c r="H416" s="13">
        <f>+[10]Result!$C$12-[9]Result!$C$12</f>
        <v>109224.70520620048</v>
      </c>
      <c r="I416" s="13">
        <f>+[11]Result!$C$12-[10]Result!$C$12</f>
        <v>-41489.517805971205</v>
      </c>
      <c r="J416" s="32">
        <f>+[12]Result!$C$12-[11]Result!$C$12</f>
        <v>-42313.437252935022</v>
      </c>
      <c r="K416" s="13">
        <f>+[13]Result!$C$12-[12]Result!$C$12</f>
        <v>-60868.931624535471</v>
      </c>
      <c r="L416" s="13">
        <f>+[14]Result!$C$12-[13]Result!$C$12</f>
        <v>136664.34005173296</v>
      </c>
      <c r="M416" s="13">
        <f>+[15]Result!$C$12-[14]Result!$C$12</f>
        <v>3848443.3256190121</v>
      </c>
      <c r="N416" s="32">
        <f>+[16]Result!$C$12-[15]Result!$C$12</f>
        <v>-68107.48875474371</v>
      </c>
      <c r="O416" s="13">
        <f>+[17]Result!$C$12-[16]Result!$C$12</f>
        <v>-205698.97844341584</v>
      </c>
      <c r="P416" s="13">
        <f>+[18]Result!$C$12-[17]Result!$C$12</f>
        <v>-535432.32613259181</v>
      </c>
      <c r="Q416" s="32">
        <f>+[19]Result!$C$12-[18]Result!$C$12</f>
        <v>4589.5048337690532</v>
      </c>
      <c r="R416" s="32">
        <f>+[20]Result!$C$12-[19]Result!$C$12</f>
        <v>-120187.12152916193</v>
      </c>
      <c r="S416" s="70">
        <f>+[22]Result!$C$12-[20]Result!$C$12</f>
        <v>-57805.514079289511</v>
      </c>
      <c r="AI416" s="73"/>
      <c r="AJ416" s="73"/>
      <c r="AK416" s="73"/>
    </row>
    <row r="417" spans="1:37" hidden="1" outlineLevel="2" x14ac:dyDescent="0.25">
      <c r="A417" s="16" t="s">
        <v>12</v>
      </c>
      <c r="B417" s="13">
        <f>+[1]Result!$C$13-[21]Result!$C$13</f>
        <v>58395.561317428946</v>
      </c>
      <c r="C417" s="13">
        <f>+[5]Result!$C$13-[1]Result!$C$13</f>
        <v>-121604.51420344412</v>
      </c>
      <c r="D417" s="32">
        <f>+[6]Result!$C$13-[5]Result!$C$13</f>
        <v>1146155.6005199738</v>
      </c>
      <c r="E417" s="13">
        <f>+[7]Result!$C$13-[6]Result!$C$13</f>
        <v>-282443.60271796957</v>
      </c>
      <c r="F417" s="13">
        <f>+[8]Result!$C$13-[7]Result!$C$13</f>
        <v>86081.864081244916</v>
      </c>
      <c r="G417" s="32">
        <f>+[9]Result!$C$13-[8]Result!$C$13</f>
        <v>53129.106712883338</v>
      </c>
      <c r="H417" s="13">
        <f>+[10]Result!$C$13-[9]Result!$C$13</f>
        <v>86592.903262207285</v>
      </c>
      <c r="I417" s="13">
        <f>+[11]Result!$C$13-[10]Result!$C$13</f>
        <v>-24629.115399681032</v>
      </c>
      <c r="J417" s="32">
        <f>+[12]Result!$C$13-[11]Result!$C$13</f>
        <v>40883.424312083051</v>
      </c>
      <c r="K417" s="13">
        <f>+[13]Result!$C$13-[12]Result!$C$13</f>
        <v>-48556.894703974947</v>
      </c>
      <c r="L417" s="13">
        <f>+[14]Result!$C$13-[13]Result!$C$13</f>
        <v>120151.46625836939</v>
      </c>
      <c r="M417" s="13">
        <f>+[15]Result!$C$13-[14]Result!$C$13</f>
        <v>2938073.7855811361</v>
      </c>
      <c r="N417" s="32">
        <f>+[16]Result!$C$13-[15]Result!$C$13</f>
        <v>-54013.924274997786</v>
      </c>
      <c r="O417" s="13">
        <f>+[17]Result!$C$13-[16]Result!$C$13</f>
        <v>-174038.44478885643</v>
      </c>
      <c r="P417" s="13">
        <f>+[18]Result!$C$13-[17]Result!$C$13</f>
        <v>-381743.02482752129</v>
      </c>
      <c r="Q417" s="32">
        <f>+[19]Result!$C$13-[18]Result!$C$13</f>
        <v>4587.8053563516587</v>
      </c>
      <c r="R417" s="32">
        <f>+[20]Result!$C$13-[19]Result!$C$13</f>
        <v>-94173.129221873358</v>
      </c>
      <c r="S417" s="70">
        <f>+[22]Result!$C$13-[20]Result!$C$13</f>
        <v>-54516.315640302375</v>
      </c>
      <c r="AI417" s="73"/>
      <c r="AJ417" s="73"/>
      <c r="AK417" s="73"/>
    </row>
    <row r="418" spans="1:37" hidden="1" outlineLevel="2" x14ac:dyDescent="0.25">
      <c r="A418" s="16" t="s">
        <v>13</v>
      </c>
      <c r="B418" s="13">
        <f>+[1]Result!$C$14-[21]Result!$C$14</f>
        <v>66306.509250553325</v>
      </c>
      <c r="C418" s="13">
        <f>+[5]Result!$C$14-[1]Result!$C$14</f>
        <v>-119880.00187676586</v>
      </c>
      <c r="D418" s="32">
        <f>+[6]Result!$C$14-[5]Result!$C$14</f>
        <v>846656.17510044202</v>
      </c>
      <c r="E418" s="13">
        <f>+[7]Result!$C$14-[6]Result!$C$14</f>
        <v>-251488.80113896914</v>
      </c>
      <c r="F418" s="13">
        <f>+[8]Result!$C$14-[7]Result!$C$14</f>
        <v>84310.757751565427</v>
      </c>
      <c r="G418" s="32">
        <f>+[9]Result!$C$14-[8]Result!$C$14</f>
        <v>-94364.605239206925</v>
      </c>
      <c r="H418" s="13">
        <f>+[10]Result!$C$14-[9]Result!$C$14</f>
        <v>86577.515388667583</v>
      </c>
      <c r="I418" s="13">
        <f>+[11]Result!$C$14-[10]Result!$C$14</f>
        <v>-14004.979115821421</v>
      </c>
      <c r="J418" s="32">
        <f>+[12]Result!$C$14-[11]Result!$C$14</f>
        <v>108091.59257927723</v>
      </c>
      <c r="K418" s="13">
        <f>+[13]Result!$C$14-[12]Result!$C$14</f>
        <v>-44339.425672013313</v>
      </c>
      <c r="L418" s="13">
        <f>+[14]Result!$C$14-[13]Result!$C$14</f>
        <v>124241.68701250665</v>
      </c>
      <c r="M418" s="13">
        <f>+[15]Result!$C$14-[14]Result!$C$14</f>
        <v>4101397.2781888079</v>
      </c>
      <c r="N418" s="32">
        <f>+[16]Result!$C$14-[15]Result!$C$14</f>
        <v>-43417.271621403284</v>
      </c>
      <c r="O418" s="13">
        <f>+[17]Result!$C$14-[16]Result!$C$14</f>
        <v>-140303.45608930103</v>
      </c>
      <c r="P418" s="13">
        <f>+[18]Result!$C$14-[17]Result!$C$14</f>
        <v>-277008.7957445709</v>
      </c>
      <c r="Q418" s="32">
        <f>+[19]Result!$C$14-[18]Result!$C$14</f>
        <v>7862.718438224867</v>
      </c>
      <c r="R418" s="32">
        <f>+[20]Result!$C$14-[19]Result!$C$14</f>
        <v>-67554.194853200577</v>
      </c>
      <c r="S418" s="70">
        <f>+[22]Result!$C$14-[20]Result!$C$14</f>
        <v>-45946.017519344576</v>
      </c>
      <c r="AI418" s="73"/>
      <c r="AJ418" s="73"/>
      <c r="AK418" s="73"/>
    </row>
    <row r="419" spans="1:37" hidden="1" outlineLevel="1" x14ac:dyDescent="0.25">
      <c r="A419" s="15" t="s">
        <v>14</v>
      </c>
      <c r="B419" s="13">
        <f>+'[1]Stat by Mat'!$G$5-'[21]Stat by Mat'!$G$5</f>
        <v>373044.87114033848</v>
      </c>
      <c r="C419" s="13">
        <f>+'[5]Stat by Mat'!$G$5-'[1]Stat by Mat'!$G$5</f>
        <v>-476364.89046651125</v>
      </c>
      <c r="D419" s="32">
        <f>+'[6]Stat by Mat'!$G$5-'[5]Stat by Mat'!$G$5</f>
        <v>5734270.4111062139</v>
      </c>
      <c r="E419" s="13">
        <f>+'[7]Stat by Mat'!$G$5-'[6]Stat by Mat'!$G$5</f>
        <v>-1182471.7224515602</v>
      </c>
      <c r="F419" s="13">
        <f>+'[8]Stat by Mat'!$G$5-'[7]Stat by Mat'!$G$5</f>
        <v>558382.37903935462</v>
      </c>
      <c r="G419" s="32">
        <f>+'[9]Stat by Mat'!$G$5-'[8]Stat by Mat'!$G$5</f>
        <v>601198.70520408452</v>
      </c>
      <c r="H419" s="13">
        <f>+'[10]Stat by Mat'!$G$5-'[9]Stat by Mat'!$G$5</f>
        <v>415062.86435148865</v>
      </c>
      <c r="I419" s="13">
        <f>+'[11]Stat by Mat'!$G$5-'[10]Stat by Mat'!$G$5</f>
        <v>136111.62216307968</v>
      </c>
      <c r="J419" s="32">
        <f>+'[12]Stat by Mat'!$G$5-'[11]Stat by Mat'!$G$5</f>
        <v>-340766.65193667263</v>
      </c>
      <c r="K419" s="13">
        <f>+'[13]Stat by Mat'!$G$5-'[12]Stat by Mat'!$G$5</f>
        <v>-146923.04458101839</v>
      </c>
      <c r="L419" s="13">
        <f>+'[14]Stat by Mat'!$G$5-'[13]Stat by Mat'!$G$5</f>
        <v>756577.39510833472</v>
      </c>
      <c r="M419" s="13">
        <f>+'[15]Stat by Mat'!$G$5-'[14]Stat by Mat'!$G$5</f>
        <v>10672001.07641314</v>
      </c>
      <c r="N419" s="32">
        <f>+'[16]Stat by Mat'!$G$5-'[15]Stat by Mat'!$G$5</f>
        <v>-242289.10099577531</v>
      </c>
      <c r="O419" s="13">
        <f>+'[17]Stat by Mat'!$G$5-'[16]Stat by Mat'!$G$5</f>
        <v>-830696.07346352562</v>
      </c>
      <c r="P419" s="13">
        <f>+'[18]Stat by Mat'!$G$5-'[17]Stat by Mat'!$G$5</f>
        <v>-154046.89689736068</v>
      </c>
      <c r="Q419" s="32">
        <f>+'[19]Stat by Mat'!$G$5-'[18]Stat by Mat'!$G$5</f>
        <v>89125.368628200144</v>
      </c>
      <c r="R419" s="32">
        <f>+'[20]Stat by Mat'!$G$5-'[19]Stat by Mat'!$G$5</f>
        <v>-254556.83161493763</v>
      </c>
      <c r="S419" s="70">
        <f>+'[22]Stat by Mat'!$G$5-'[20]Stat by Mat'!$G$5</f>
        <v>-305207.91306334734</v>
      </c>
      <c r="T419" s="13">
        <f>+B419-SUM(B420:B429)</f>
        <v>6.9849193096160889E-10</v>
      </c>
      <c r="U419" s="13">
        <f t="shared" ref="U419:W419" si="322">+C419-SUM(C420:C429)</f>
        <v>-1.862645149230957E-9</v>
      </c>
      <c r="V419" s="13">
        <f t="shared" si="322"/>
        <v>0</v>
      </c>
      <c r="W419" s="13">
        <f t="shared" si="322"/>
        <v>7.6834112405776978E-9</v>
      </c>
      <c r="X419" s="13">
        <f t="shared" ref="X419" si="323">+F419-SUM(F420:F429)</f>
        <v>-1.1874362826347351E-8</v>
      </c>
      <c r="Y419" s="13">
        <f t="shared" ref="Y419:AE419" si="324">+G419-SUM(G420:G429)</f>
        <v>4.4237822294235229E-9</v>
      </c>
      <c r="Z419" s="13">
        <f t="shared" si="324"/>
        <v>1.3969838619232178E-9</v>
      </c>
      <c r="AA419" s="13">
        <f t="shared" si="324"/>
        <v>-1.1641532182693481E-8</v>
      </c>
      <c r="AB419" s="13">
        <f t="shared" si="324"/>
        <v>1.0244548320770264E-8</v>
      </c>
      <c r="AC419" s="13">
        <f t="shared" si="324"/>
        <v>1.862645149230957E-9</v>
      </c>
      <c r="AD419" s="13">
        <f t="shared" si="324"/>
        <v>8.149072527885437E-9</v>
      </c>
      <c r="AE419" s="13">
        <f t="shared" si="324"/>
        <v>0</v>
      </c>
      <c r="AF419" s="13">
        <f t="shared" ref="AF419" si="325">+N419-SUM(N420:N429)</f>
        <v>3.4924596548080444E-9</v>
      </c>
      <c r="AG419" s="13">
        <f t="shared" ref="AG419:AH419" si="326">+O419-SUM(O420:O429)</f>
        <v>-5.1222741603851318E-9</v>
      </c>
      <c r="AH419" s="13">
        <f t="shared" si="326"/>
        <v>-6.9849193096160889E-10</v>
      </c>
      <c r="AI419" s="73">
        <f t="shared" ref="AI419" si="327">+Q419-SUM(Q420:Q429)</f>
        <v>7.2177499532699585E-9</v>
      </c>
      <c r="AJ419" s="73">
        <f t="shared" ref="AJ419:AK419" si="328">+R419-SUM(R420:R429)</f>
        <v>-4.8894435167312622E-9</v>
      </c>
      <c r="AK419" s="73">
        <f t="shared" si="328"/>
        <v>2.7939677238464355E-9</v>
      </c>
    </row>
    <row r="420" spans="1:37" hidden="1" outlineLevel="2" x14ac:dyDescent="0.25">
      <c r="A420" s="16" t="s">
        <v>15</v>
      </c>
      <c r="B420" s="13">
        <f>+[1]Result!$C$15-[21]Result!$C$15</f>
        <v>57227.022590490058</v>
      </c>
      <c r="C420" s="13">
        <f>+[5]Result!$C$15-[1]Result!$C$15</f>
        <v>-98297.476183494553</v>
      </c>
      <c r="D420" s="32">
        <f>+[6]Result!$C$15-[5]Result!$C$15</f>
        <v>917947.06253496371</v>
      </c>
      <c r="E420" s="13">
        <f>+[7]Result!$C$15-[6]Result!$C$15</f>
        <v>-206184.1605276186</v>
      </c>
      <c r="F420" s="13">
        <f>+[8]Result!$C$15-[7]Result!$C$15</f>
        <v>74442.82250691019</v>
      </c>
      <c r="G420" s="32">
        <f>+[9]Result!$C$15-[8]Result!$C$15</f>
        <v>-41365.566159931943</v>
      </c>
      <c r="H420" s="13">
        <f>+[10]Result!$C$15-[9]Result!$C$15</f>
        <v>74814.945527102798</v>
      </c>
      <c r="I420" s="13">
        <f>+[11]Result!$C$15-[10]Result!$C$15</f>
        <v>-2111.3425919897854</v>
      </c>
      <c r="J420" s="32">
        <f>+[12]Result!$C$15-[11]Result!$C$15</f>
        <v>14722.041473612189</v>
      </c>
      <c r="K420" s="13">
        <f>+[13]Result!$C$15-[12]Result!$C$15</f>
        <v>-35421.891209173948</v>
      </c>
      <c r="L420" s="13">
        <f>+[14]Result!$C$15-[13]Result!$C$15</f>
        <v>110949.03669753112</v>
      </c>
      <c r="M420" s="13">
        <f>+[15]Result!$C$15-[14]Result!$C$15</f>
        <v>3439624.369836241</v>
      </c>
      <c r="N420" s="32">
        <f>+[16]Result!$C$15-[15]Result!$C$15</f>
        <v>-35268.810034225695</v>
      </c>
      <c r="O420" s="13">
        <f>+[17]Result!$C$15-[16]Result!$C$15</f>
        <v>-115201.29309306666</v>
      </c>
      <c r="P420" s="13">
        <f>+[18]Result!$C$15-[17]Result!$C$15</f>
        <v>-194019.85386637785</v>
      </c>
      <c r="Q420" s="32">
        <f>+[19]Result!$C$15-[18]Result!$C$15</f>
        <v>6102.7030191514641</v>
      </c>
      <c r="R420" s="32">
        <f>+[20]Result!$C$15-[19]Result!$C$15</f>
        <v>-50850.728865764104</v>
      </c>
      <c r="S420" s="70">
        <f>+[22]Result!$C$15-[20]Result!$C$15</f>
        <v>-39705.613107128069</v>
      </c>
      <c r="AI420" s="73"/>
      <c r="AJ420" s="73"/>
      <c r="AK420" s="73"/>
    </row>
    <row r="421" spans="1:37" hidden="1" outlineLevel="2" x14ac:dyDescent="0.25">
      <c r="A421" s="16" t="s">
        <v>16</v>
      </c>
      <c r="B421" s="13">
        <f>+[1]Result!$C$16-[21]Result!$C$16</f>
        <v>37781.333508356474</v>
      </c>
      <c r="C421" s="13">
        <f>+[5]Result!$C$16-[1]Result!$C$16</f>
        <v>-67323.409634783864</v>
      </c>
      <c r="D421" s="32">
        <f>+[6]Result!$C$16-[5]Result!$C$16</f>
        <v>959579.88639923371</v>
      </c>
      <c r="E421" s="13">
        <f>+[7]Result!$C$16-[6]Result!$C$16</f>
        <v>-158277.53750312887</v>
      </c>
      <c r="F421" s="13">
        <f>+[8]Result!$C$16-[7]Result!$C$16</f>
        <v>60549.057785384357</v>
      </c>
      <c r="G421" s="32">
        <f>+[9]Result!$C$16-[8]Result!$C$16</f>
        <v>59559.904445860535</v>
      </c>
      <c r="H421" s="13">
        <f>+[10]Result!$C$16-[9]Result!$C$16</f>
        <v>51128.765374030918</v>
      </c>
      <c r="I421" s="13">
        <f>+[11]Result!$C$16-[10]Result!$C$16</f>
        <v>4945.01654731296</v>
      </c>
      <c r="J421" s="32">
        <f>+[12]Result!$C$16-[11]Result!$C$16</f>
        <v>-45578.783294226974</v>
      </c>
      <c r="K421" s="13">
        <f>+[13]Result!$C$16-[12]Result!$C$16</f>
        <v>-24622.080530083738</v>
      </c>
      <c r="L421" s="13">
        <f>+[14]Result!$C$16-[13]Result!$C$16</f>
        <v>88023.215597591363</v>
      </c>
      <c r="M421" s="13">
        <f>+[15]Result!$C$16-[14]Result!$C$16</f>
        <v>1730274.3342376426</v>
      </c>
      <c r="N421" s="32">
        <f>+[16]Result!$C$16-[15]Result!$C$16</f>
        <v>-30157.285827934742</v>
      </c>
      <c r="O421" s="13">
        <f>+[17]Result!$C$16-[16]Result!$C$16</f>
        <v>-104772.99787973147</v>
      </c>
      <c r="P421" s="13">
        <f>+[18]Result!$C$16-[17]Result!$C$16</f>
        <v>-6330.9578284546733</v>
      </c>
      <c r="Q421" s="32">
        <f>+[19]Result!$C$16-[18]Result!$C$16</f>
        <v>4181.9559501586482</v>
      </c>
      <c r="R421" s="32">
        <f>+[20]Result!$C$16-[19]Result!$C$16</f>
        <v>-42480.221527868882</v>
      </c>
      <c r="S421" s="70">
        <f>+[22]Result!$C$16-[20]Result!$C$16</f>
        <v>-39845.869097354822</v>
      </c>
      <c r="AI421" s="73"/>
      <c r="AJ421" s="73"/>
      <c r="AK421" s="73"/>
    </row>
    <row r="422" spans="1:37" hidden="1" outlineLevel="2" x14ac:dyDescent="0.25">
      <c r="A422" s="16" t="s">
        <v>17</v>
      </c>
      <c r="B422" s="13">
        <f>+[1]Result!$C$17-[21]Result!$C$17</f>
        <v>32775.962845047936</v>
      </c>
      <c r="C422" s="13">
        <f>+[5]Result!$C$17-[1]Result!$C$17</f>
        <v>-58276.306506842375</v>
      </c>
      <c r="D422" s="32">
        <f>+[6]Result!$C$17-[5]Result!$C$17</f>
        <v>816952.88446581084</v>
      </c>
      <c r="E422" s="13">
        <f>+[7]Result!$C$17-[6]Result!$C$17</f>
        <v>-141840.58999102656</v>
      </c>
      <c r="F422" s="13">
        <f>+[8]Result!$C$17-[7]Result!$C$17</f>
        <v>58651.506085389294</v>
      </c>
      <c r="G422" s="32">
        <f>+[9]Result!$C$17-[8]Result!$C$17</f>
        <v>81166.103813837282</v>
      </c>
      <c r="H422" s="13">
        <f>+[10]Result!$C$17-[9]Result!$C$17</f>
        <v>42051.486803517677</v>
      </c>
      <c r="I422" s="13">
        <f>+[11]Result!$C$17-[10]Result!$C$17</f>
        <v>10237.94313386362</v>
      </c>
      <c r="J422" s="32">
        <f>+[12]Result!$C$17-[11]Result!$C$17</f>
        <v>-32140.215165435337</v>
      </c>
      <c r="K422" s="13">
        <f>+[13]Result!$C$17-[12]Result!$C$17</f>
        <v>-20098.019437412731</v>
      </c>
      <c r="L422" s="13">
        <f>+[14]Result!$C$17-[13]Result!$C$17</f>
        <v>82502.677752701566</v>
      </c>
      <c r="M422" s="13">
        <f>+[15]Result!$C$17-[14]Result!$C$17</f>
        <v>1331670.1807546914</v>
      </c>
      <c r="N422" s="32">
        <f>+[16]Result!$C$17-[15]Result!$C$17</f>
        <v>-29799.398571932223</v>
      </c>
      <c r="O422" s="13">
        <f>+[17]Result!$C$17-[16]Result!$C$17</f>
        <v>-98250.001232505776</v>
      </c>
      <c r="P422" s="13">
        <f>+[18]Result!$C$17-[17]Result!$C$17</f>
        <v>-13461.805810660589</v>
      </c>
      <c r="Q422" s="32">
        <f>+[19]Result!$C$17-[18]Result!$C$17</f>
        <v>6043.5407324754633</v>
      </c>
      <c r="R422" s="32">
        <f>+[20]Result!$C$17-[19]Result!$C$17</f>
        <v>-37069.665079648141</v>
      </c>
      <c r="S422" s="70">
        <f>+[22]Result!$C$17-[20]Result!$C$17</f>
        <v>-39698.162281976081</v>
      </c>
      <c r="AI422" s="73"/>
      <c r="AJ422" s="73"/>
      <c r="AK422" s="73"/>
    </row>
    <row r="423" spans="1:37" hidden="1" outlineLevel="2" x14ac:dyDescent="0.25">
      <c r="A423" s="16" t="s">
        <v>18</v>
      </c>
      <c r="B423" s="13">
        <f>+[1]Result!$C$18-[21]Result!$C$18</f>
        <v>34192.602843410335</v>
      </c>
      <c r="C423" s="13">
        <f>+[5]Result!$C$18-[1]Result!$C$18</f>
        <v>-54378.930785596371</v>
      </c>
      <c r="D423" s="32">
        <f>+[6]Result!$C$18-[5]Result!$C$18</f>
        <v>684950.46604371443</v>
      </c>
      <c r="E423" s="13">
        <f>+[7]Result!$C$18-[6]Result!$C$18</f>
        <v>-127891.95394659601</v>
      </c>
      <c r="F423" s="13">
        <f>+[8]Result!$C$18-[7]Result!$C$18</f>
        <v>58159.01844949834</v>
      </c>
      <c r="G423" s="32">
        <f>+[9]Result!$C$18-[8]Result!$C$18</f>
        <v>51319.609263463877</v>
      </c>
      <c r="H423" s="13">
        <f>+[10]Result!$C$18-[9]Result!$C$18</f>
        <v>39542.201062504202</v>
      </c>
      <c r="I423" s="13">
        <f>+[11]Result!$C$18-[10]Result!$C$18</f>
        <v>15095.022184357047</v>
      </c>
      <c r="J423" s="32">
        <f>+[12]Result!$C$18-[11]Result!$C$18</f>
        <v>-36494.60608243756</v>
      </c>
      <c r="K423" s="13">
        <f>+[13]Result!$C$18-[12]Result!$C$18</f>
        <v>-17250.530011433177</v>
      </c>
      <c r="L423" s="13">
        <f>+[14]Result!$C$18-[13]Result!$C$18</f>
        <v>78926.548617701046</v>
      </c>
      <c r="M423" s="13">
        <f>+[15]Result!$C$18-[14]Result!$C$18</f>
        <v>1048107.0059539229</v>
      </c>
      <c r="N423" s="32">
        <f>+[16]Result!$C$18-[15]Result!$C$18</f>
        <v>-30776.339169225655</v>
      </c>
      <c r="O423" s="13">
        <f>+[17]Result!$C$18-[16]Result!$C$18</f>
        <v>-93877.421510232612</v>
      </c>
      <c r="P423" s="13">
        <f>+[18]Result!$C$18-[17]Result!$C$18</f>
        <v>-8410.8655099212192</v>
      </c>
      <c r="Q423" s="32">
        <f>+[19]Result!$C$18-[18]Result!$C$18</f>
        <v>4848.2866269112565</v>
      </c>
      <c r="R423" s="32">
        <f>+[20]Result!$C$18-[19]Result!$C$18</f>
        <v>-33536.998180921655</v>
      </c>
      <c r="S423" s="70">
        <f>+[22]Result!$C$18-[20]Result!$C$18</f>
        <v>-37423.377997672185</v>
      </c>
      <c r="AI423" s="73"/>
      <c r="AJ423" s="73"/>
      <c r="AK423" s="73"/>
    </row>
    <row r="424" spans="1:37" hidden="1" outlineLevel="2" x14ac:dyDescent="0.25">
      <c r="A424" s="16" t="s">
        <v>19</v>
      </c>
      <c r="B424" s="13">
        <f>+[1]Result!$C$19-[21]Result!$C$19</f>
        <v>40923.22111318633</v>
      </c>
      <c r="C424" s="13">
        <f>+[5]Result!$C$19-[1]Result!$C$19</f>
        <v>-55530.197322537191</v>
      </c>
      <c r="D424" s="32">
        <f>+[6]Result!$C$19-[5]Result!$C$19</f>
        <v>594718.4890774088</v>
      </c>
      <c r="E424" s="13">
        <f>+[7]Result!$C$19-[6]Result!$C$19</f>
        <v>-117987.44109466113</v>
      </c>
      <c r="F424" s="13">
        <f>+[8]Result!$C$19-[7]Result!$C$19</f>
        <v>58921.795953379944</v>
      </c>
      <c r="G424" s="32">
        <f>+[9]Result!$C$19-[8]Result!$C$19</f>
        <v>80747.418254625984</v>
      </c>
      <c r="H424" s="13">
        <f>+[10]Result!$C$19-[9]Result!$C$19</f>
        <v>41251.253377975896</v>
      </c>
      <c r="I424" s="13">
        <f>+[11]Result!$C$19-[10]Result!$C$19</f>
        <v>16979.113799090963</v>
      </c>
      <c r="J424" s="32">
        <f>+[12]Result!$C$19-[11]Result!$C$19</f>
        <v>-4768.6230043196119</v>
      </c>
      <c r="K424" s="13">
        <f>+[13]Result!$C$19-[12]Result!$C$19</f>
        <v>-14738.958463301416</v>
      </c>
      <c r="L424" s="13">
        <f>+[14]Result!$C$19-[13]Result!$C$19</f>
        <v>78702.130521323066</v>
      </c>
      <c r="M424" s="13">
        <f>+[15]Result!$C$19-[14]Result!$C$19</f>
        <v>851818.9625374414</v>
      </c>
      <c r="N424" s="32">
        <f>+[16]Result!$C$19-[15]Result!$C$19</f>
        <v>-27533.673495024443</v>
      </c>
      <c r="O424" s="13">
        <f>+[17]Result!$C$19-[16]Result!$C$19</f>
        <v>-89418.155798538588</v>
      </c>
      <c r="P424" s="13">
        <f>+[18]Result!$C$19-[17]Result!$C$19</f>
        <v>26321.429727558047</v>
      </c>
      <c r="Q424" s="32">
        <f>+[19]Result!$C$19-[18]Result!$C$19</f>
        <v>6835.4806838580407</v>
      </c>
      <c r="R424" s="32">
        <f>+[20]Result!$C$19-[19]Result!$C$19</f>
        <v>-28490.328880592715</v>
      </c>
      <c r="S424" s="70">
        <f>+[22]Result!$C$19-[20]Result!$C$19</f>
        <v>-33702.511920310091</v>
      </c>
      <c r="AI424" s="73"/>
      <c r="AJ424" s="73"/>
      <c r="AK424" s="73"/>
    </row>
    <row r="425" spans="1:37" hidden="1" outlineLevel="2" x14ac:dyDescent="0.25">
      <c r="A425" s="16" t="s">
        <v>20</v>
      </c>
      <c r="B425" s="13">
        <f>+[1]Result!$C$20-[21]Result!$C$20</f>
        <v>42034.573274293449</v>
      </c>
      <c r="C425" s="13">
        <f>+[5]Result!$C$20-[1]Result!$C$20</f>
        <v>-47469.957736848854</v>
      </c>
      <c r="D425" s="32">
        <f>+[6]Result!$C$20-[5]Result!$C$20</f>
        <v>503701.12469181092</v>
      </c>
      <c r="E425" s="13">
        <f>+[7]Result!$C$20-[6]Result!$C$20</f>
        <v>-104827.77477119071</v>
      </c>
      <c r="F425" s="13">
        <f>+[8]Result!$C$20-[7]Result!$C$20</f>
        <v>55692.515665930696</v>
      </c>
      <c r="G425" s="32">
        <f>+[9]Result!$C$20-[8]Result!$C$20</f>
        <v>90738.815110411029</v>
      </c>
      <c r="H425" s="13">
        <f>+[10]Result!$C$20-[9]Result!$C$20</f>
        <v>39932.32629155647</v>
      </c>
      <c r="I425" s="13">
        <f>+[11]Result!$C$20-[10]Result!$C$20</f>
        <v>17216.41825288767</v>
      </c>
      <c r="J425" s="32">
        <f>+[12]Result!$C$20-[11]Result!$C$20</f>
        <v>-21872.731534368359</v>
      </c>
      <c r="K425" s="13">
        <f>+[13]Result!$C$20-[12]Result!$C$20</f>
        <v>-11348.014989518095</v>
      </c>
      <c r="L425" s="13">
        <f>+[14]Result!$C$20-[13]Result!$C$20</f>
        <v>74362.005735109095</v>
      </c>
      <c r="M425" s="13">
        <f>+[15]Result!$C$20-[14]Result!$C$20</f>
        <v>673282.18052993668</v>
      </c>
      <c r="N425" s="32">
        <f>+[16]Result!$C$20-[15]Result!$C$20</f>
        <v>-21806.579868412577</v>
      </c>
      <c r="O425" s="13">
        <f>+[17]Result!$C$20-[16]Result!$C$20</f>
        <v>-80956.799809792545</v>
      </c>
      <c r="P425" s="13">
        <f>+[18]Result!$C$20-[17]Result!$C$20</f>
        <v>24014.668273021001</v>
      </c>
      <c r="Q425" s="32">
        <f>+[19]Result!$C$20-[18]Result!$C$20</f>
        <v>11403.272735651117</v>
      </c>
      <c r="R425" s="32">
        <f>+[20]Result!$C$20-[19]Result!$C$20</f>
        <v>-20777.947855812032</v>
      </c>
      <c r="S425" s="70">
        <f>+[22]Result!$C$20-[20]Result!$C$20</f>
        <v>-28748.161719189491</v>
      </c>
      <c r="AI425" s="73"/>
      <c r="AJ425" s="73"/>
      <c r="AK425" s="73"/>
    </row>
    <row r="426" spans="1:37" hidden="1" outlineLevel="2" x14ac:dyDescent="0.25">
      <c r="A426" s="16" t="s">
        <v>21</v>
      </c>
      <c r="B426" s="13">
        <f>+[1]Result!$C$21-[21]Result!$C$21</f>
        <v>38435.777433595154</v>
      </c>
      <c r="C426" s="13">
        <f>+[5]Result!$C$21-[1]Result!$C$21</f>
        <v>-34456.971973281819</v>
      </c>
      <c r="D426" s="32">
        <f>+[6]Result!$C$21-[5]Result!$C$21</f>
        <v>423632.48724172916</v>
      </c>
      <c r="E426" s="13">
        <f>+[7]Result!$C$21-[6]Result!$C$21</f>
        <v>-95692.662362306379</v>
      </c>
      <c r="F426" s="13">
        <f>+[8]Result!$C$21-[7]Result!$C$21</f>
        <v>52736.340745350812</v>
      </c>
      <c r="G426" s="32">
        <f>+[9]Result!$C$21-[8]Result!$C$21</f>
        <v>83626.256302870344</v>
      </c>
      <c r="H426" s="13">
        <f>+[10]Result!$C$21-[9]Result!$C$21</f>
        <v>37083.059412905946</v>
      </c>
      <c r="I426" s="13">
        <f>+[11]Result!$C$21-[10]Result!$C$21</f>
        <v>18035.534170208964</v>
      </c>
      <c r="J426" s="32">
        <f>+[12]Result!$C$21-[11]Result!$C$21</f>
        <v>-33061.816471631639</v>
      </c>
      <c r="K426" s="13">
        <f>+[13]Result!$C$21-[12]Result!$C$21</f>
        <v>-8543.2202161494642</v>
      </c>
      <c r="L426" s="13">
        <f>+[14]Result!$C$21-[13]Result!$C$21</f>
        <v>69154.202922286931</v>
      </c>
      <c r="M426" s="13">
        <f>+[15]Result!$C$21-[14]Result!$C$21</f>
        <v>544317.53358069854</v>
      </c>
      <c r="N426" s="32">
        <f>+[16]Result!$C$21-[15]Result!$C$21</f>
        <v>-18436.075053473003</v>
      </c>
      <c r="O426" s="13">
        <f>+[17]Result!$C$21-[16]Result!$C$21</f>
        <v>-72434.674718094524</v>
      </c>
      <c r="P426" s="13">
        <f>+[18]Result!$C$21-[17]Result!$C$21</f>
        <v>17004.772189945914</v>
      </c>
      <c r="Q426" s="32">
        <f>+[19]Result!$C$21-[18]Result!$C$21</f>
        <v>13334.343483122997</v>
      </c>
      <c r="R426" s="32">
        <f>+[20]Result!$C$21-[19]Result!$C$21</f>
        <v>-15058.909679843113</v>
      </c>
      <c r="S426" s="70">
        <f>+[22]Result!$C$21-[20]Result!$C$21</f>
        <v>-24776.994967901614</v>
      </c>
      <c r="AI426" s="73"/>
      <c r="AJ426" s="73"/>
      <c r="AK426" s="73"/>
    </row>
    <row r="427" spans="1:37" hidden="1" outlineLevel="2" x14ac:dyDescent="0.25">
      <c r="A427" s="16" t="s">
        <v>22</v>
      </c>
      <c r="B427" s="13">
        <f>+[1]Result!$C$22-[21]Result!$C$22</f>
        <v>33008.943533247337</v>
      </c>
      <c r="C427" s="13">
        <f>+[5]Result!$C$22-[1]Result!$C$22</f>
        <v>-23193.758551941253</v>
      </c>
      <c r="D427" s="32">
        <f>+[6]Result!$C$22-[5]Result!$C$22</f>
        <v>338969.45529460162</v>
      </c>
      <c r="E427" s="13">
        <f>+[7]Result!$C$22-[6]Result!$C$22</f>
        <v>-86170.762101555709</v>
      </c>
      <c r="F427" s="13">
        <f>+[8]Result!$C$22-[7]Result!$C$22</f>
        <v>49032.486291479785</v>
      </c>
      <c r="G427" s="32">
        <f>+[9]Result!$C$22-[8]Result!$C$22</f>
        <v>75486.500466365833</v>
      </c>
      <c r="H427" s="13">
        <f>+[10]Result!$C$22-[9]Result!$C$22</f>
        <v>33247.544861496426</v>
      </c>
      <c r="I427" s="13">
        <f>+[11]Result!$C$22-[10]Result!$C$22</f>
        <v>18432.906560461503</v>
      </c>
      <c r="J427" s="32">
        <f>+[12]Result!$C$22-[11]Result!$C$22</f>
        <v>-55436.068358076271</v>
      </c>
      <c r="K427" s="13">
        <f>+[13]Result!$C$22-[12]Result!$C$22</f>
        <v>-6396.0568124721758</v>
      </c>
      <c r="L427" s="13">
        <f>+[14]Result!$C$22-[13]Result!$C$22</f>
        <v>63201.1729556215</v>
      </c>
      <c r="M427" s="13">
        <f>+[15]Result!$C$22-[14]Result!$C$22</f>
        <v>430723.2616263493</v>
      </c>
      <c r="N427" s="32">
        <f>+[16]Result!$C$22-[15]Result!$C$22</f>
        <v>-16788.164812170202</v>
      </c>
      <c r="O427" s="13">
        <f>+[17]Result!$C$22-[16]Result!$C$22</f>
        <v>-64517.548534987262</v>
      </c>
      <c r="P427" s="13">
        <f>+[18]Result!$C$22-[17]Result!$C$22</f>
        <v>1361.2444397853687</v>
      </c>
      <c r="Q427" s="32">
        <f>+[19]Result!$C$22-[18]Result!$C$22</f>
        <v>13279.668821709929</v>
      </c>
      <c r="R427" s="32">
        <f>+[20]Result!$C$22-[19]Result!$C$22</f>
        <v>-11200.563555972185</v>
      </c>
      <c r="S427" s="70">
        <f>+[22]Result!$C$22-[20]Result!$C$22</f>
        <v>-22164.418600547593</v>
      </c>
      <c r="AI427" s="73"/>
      <c r="AJ427" s="73"/>
      <c r="AK427" s="73"/>
    </row>
    <row r="428" spans="1:37" hidden="1" outlineLevel="2" x14ac:dyDescent="0.25">
      <c r="A428" s="16" t="s">
        <v>23</v>
      </c>
      <c r="B428" s="13">
        <f>+[1]Result!$C$23-[21]Result!$C$23</f>
        <v>28766.696205822751</v>
      </c>
      <c r="C428" s="13">
        <f>+[5]Result!$C$23-[1]Result!$C$23</f>
        <v>-17806.22815641202</v>
      </c>
      <c r="D428" s="32">
        <f>+[6]Result!$C$23-[5]Result!$C$23</f>
        <v>259110.37428234098</v>
      </c>
      <c r="E428" s="13">
        <f>+[7]Result!$C$23-[6]Result!$C$23</f>
        <v>-76248.052282959921</v>
      </c>
      <c r="F428" s="13">
        <f>+[8]Result!$C$23-[7]Result!$C$23</f>
        <v>45825.867724354845</v>
      </c>
      <c r="G428" s="32">
        <f>+[9]Result!$C$23-[8]Result!$C$23</f>
        <v>56553.789222596446</v>
      </c>
      <c r="H428" s="13">
        <f>+[10]Result!$C$23-[9]Result!$C$23</f>
        <v>29537.45837269607</v>
      </c>
      <c r="I428" s="13">
        <f>+[11]Result!$C$23-[10]Result!$C$23</f>
        <v>18544.252747449791</v>
      </c>
      <c r="J428" s="32">
        <f>+[12]Result!$C$23-[11]Result!$C$23</f>
        <v>-72362.033678731415</v>
      </c>
      <c r="K428" s="13">
        <f>+[13]Result!$C$23-[12]Result!$C$23</f>
        <v>-4878.1239109570161</v>
      </c>
      <c r="L428" s="13">
        <f>+[14]Result!$C$23-[13]Result!$C$23</f>
        <v>57916.264491419541</v>
      </c>
      <c r="M428" s="13">
        <f>+[15]Result!$C$23-[14]Result!$C$23</f>
        <v>337701.56135283783</v>
      </c>
      <c r="N428" s="32">
        <f>+[16]Result!$C$23-[15]Result!$C$23</f>
        <v>-16167.742071935209</v>
      </c>
      <c r="O428" s="13">
        <f>+[17]Result!$C$23-[16]Result!$C$23</f>
        <v>-58564.745314181549</v>
      </c>
      <c r="P428" s="13">
        <f>+[18]Result!$C$23-[17]Result!$C$23</f>
        <v>-3946.6144952033646</v>
      </c>
      <c r="Q428" s="32">
        <f>+[19]Result!$C$23-[18]Result!$C$23</f>
        <v>12330.464942793828</v>
      </c>
      <c r="R428" s="32">
        <f>+[20]Result!$C$23-[19]Result!$C$23</f>
        <v>-8541.164767109789</v>
      </c>
      <c r="S428" s="70">
        <f>+[22]Result!$C$23-[20]Result!$C$23</f>
        <v>-20478.334910793463</v>
      </c>
      <c r="AI428" s="73"/>
      <c r="AJ428" s="73"/>
      <c r="AK428" s="73"/>
    </row>
    <row r="429" spans="1:37" hidden="1" outlineLevel="2" x14ac:dyDescent="0.25">
      <c r="A429" s="16" t="s">
        <v>24</v>
      </c>
      <c r="B429" s="13">
        <f>+[1]Result!$C$24-[21]Result!$C$24</f>
        <v>27898.737792887958</v>
      </c>
      <c r="C429" s="13">
        <f>+[5]Result!$C$24-[1]Result!$C$24</f>
        <v>-19631.653614771087</v>
      </c>
      <c r="D429" s="32">
        <f>+[6]Result!$C$24-[5]Result!$C$24</f>
        <v>234708.18107459578</v>
      </c>
      <c r="E429" s="13">
        <f>+[7]Result!$C$24-[6]Result!$C$24</f>
        <v>-67350.787870523985</v>
      </c>
      <c r="F429" s="13">
        <f>+[8]Result!$C$24-[7]Result!$C$24</f>
        <v>44370.967831688235</v>
      </c>
      <c r="G429" s="32">
        <f>+[9]Result!$C$24-[8]Result!$C$24</f>
        <v>63365.874483980704</v>
      </c>
      <c r="H429" s="13">
        <f>+[10]Result!$C$24-[9]Result!$C$24</f>
        <v>26473.823267700849</v>
      </c>
      <c r="I429" s="13">
        <f>+[11]Result!$C$24-[10]Result!$C$24</f>
        <v>18736.757359448588</v>
      </c>
      <c r="J429" s="32">
        <f>+[12]Result!$C$24-[11]Result!$C$24</f>
        <v>-53773.815821067896</v>
      </c>
      <c r="K429" s="13">
        <f>+[13]Result!$C$24-[12]Result!$C$24</f>
        <v>-3626.1490005184896</v>
      </c>
      <c r="L429" s="13">
        <f>+[14]Result!$C$24-[13]Result!$C$24</f>
        <v>52840.139817041345</v>
      </c>
      <c r="M429" s="13">
        <f>+[15]Result!$C$24-[14]Result!$C$24</f>
        <v>284481.6860033907</v>
      </c>
      <c r="N429" s="32">
        <f>+[16]Result!$C$24-[15]Result!$C$24</f>
        <v>-15555.032091445057</v>
      </c>
      <c r="O429" s="13">
        <f>+[17]Result!$C$24-[16]Result!$C$24</f>
        <v>-52702.435572389513</v>
      </c>
      <c r="P429" s="13">
        <f>+[18]Result!$C$24-[17]Result!$C$24</f>
        <v>3421.0859829473775</v>
      </c>
      <c r="Q429" s="32">
        <f>+[19]Result!$C$24-[18]Result!$C$24</f>
        <v>10765.651632360183</v>
      </c>
      <c r="R429" s="32">
        <f>+[20]Result!$C$24-[19]Result!$C$24</f>
        <v>-6550.3032214001287</v>
      </c>
      <c r="S429" s="70">
        <f>+[22]Result!$C$24-[20]Result!$C$24</f>
        <v>-18664.468460476724</v>
      </c>
      <c r="AI429" s="73"/>
      <c r="AJ429" s="73"/>
      <c r="AK429" s="73"/>
    </row>
    <row r="430" spans="1:37" hidden="1" outlineLevel="1" x14ac:dyDescent="0.25">
      <c r="A430" s="15" t="s">
        <v>25</v>
      </c>
      <c r="B430" s="13">
        <f>+'[1]Stat by Mat'!$G$6-'[21]Stat by Mat'!$G$6</f>
        <v>155654.64670781419</v>
      </c>
      <c r="C430" s="13">
        <f>+'[5]Stat by Mat'!$G$6-'[1]Stat by Mat'!$G$6</f>
        <v>-167695.28704888932</v>
      </c>
      <c r="D430" s="32">
        <f>+'[6]Stat by Mat'!$G$6-'[5]Stat by Mat'!$G$6</f>
        <v>919783.47722406313</v>
      </c>
      <c r="E430" s="13">
        <f>+'[7]Stat by Mat'!$G$6-'[6]Stat by Mat'!$G$6</f>
        <v>-256554.7993351277</v>
      </c>
      <c r="F430" s="13">
        <f>+'[8]Stat by Mat'!$G$6-'[7]Stat by Mat'!$G$6</f>
        <v>227422.47375460621</v>
      </c>
      <c r="G430" s="32">
        <f>+'[9]Stat by Mat'!$G$6-'[8]Stat by Mat'!$G$6</f>
        <v>255656.98649347574</v>
      </c>
      <c r="H430" s="13">
        <f>+'[10]Stat by Mat'!$G$6-'[9]Stat by Mat'!$G$6</f>
        <v>117251.59242166672</v>
      </c>
      <c r="I430" s="13">
        <f>+'[11]Stat by Mat'!$G$6-'[10]Stat by Mat'!$G$6</f>
        <v>108001.24115249049</v>
      </c>
      <c r="J430" s="32">
        <f>+'[12]Stat by Mat'!$G$6-'[11]Stat by Mat'!$G$6</f>
        <v>-425192.39235290233</v>
      </c>
      <c r="K430" s="13">
        <f>+'[13]Stat by Mat'!$G$6-'[12]Stat by Mat'!$G$6</f>
        <v>-7047.9584980159998</v>
      </c>
      <c r="L430" s="13">
        <f>+'[14]Stat by Mat'!$G$6-'[13]Stat by Mat'!$G$6</f>
        <v>258377.67551715765</v>
      </c>
      <c r="M430" s="13">
        <f>+'[15]Stat by Mat'!$G$6-'[14]Stat by Mat'!$G$6</f>
        <v>1834706.6322257472</v>
      </c>
      <c r="N430" s="32">
        <f>+'[16]Stat by Mat'!$G$6-'[15]Stat by Mat'!$G$6</f>
        <v>-75196.983392990194</v>
      </c>
      <c r="O430" s="13">
        <f>+'[17]Stat by Mat'!$G$6-'[16]Stat by Mat'!$G$6</f>
        <v>-216780.54294029716</v>
      </c>
      <c r="P430" s="13">
        <f>+'[18]Stat by Mat'!$G$6-'[17]Stat by Mat'!$G$6</f>
        <v>-49342.44134821184</v>
      </c>
      <c r="Q430" s="32">
        <f>+'[19]Stat by Mat'!$G$6-'[18]Stat by Mat'!$G$6</f>
        <v>40655.477347425185</v>
      </c>
      <c r="R430" s="32">
        <f>+'[20]Stat by Mat'!$G$6-'[19]Stat by Mat'!$G$6</f>
        <v>-15930.490249944851</v>
      </c>
      <c r="S430" s="70">
        <f>+'[22]Stat by Mat'!$G$6-'[20]Stat by Mat'!$G$6</f>
        <v>-82118.874213478528</v>
      </c>
      <c r="T430" s="13">
        <f>+B430-SUM(B431:B440)</f>
        <v>-2.7939677238464355E-9</v>
      </c>
      <c r="U430" s="13">
        <f t="shared" ref="U430:W430" si="329">+C430-SUM(C431:C440)</f>
        <v>3.2014213502407074E-9</v>
      </c>
      <c r="V430" s="13">
        <f t="shared" si="329"/>
        <v>-2.3283064365386963E-9</v>
      </c>
      <c r="W430" s="13">
        <f t="shared" si="329"/>
        <v>6.9849193096160889E-10</v>
      </c>
      <c r="X430" s="13">
        <f t="shared" ref="X430" si="330">+F430-SUM(F431:F440)</f>
        <v>0</v>
      </c>
      <c r="Y430" s="13">
        <f t="shared" ref="Y430:AE430" si="331">+G430-SUM(G431:G440)</f>
        <v>5.2386894822120667E-10</v>
      </c>
      <c r="Z430" s="13">
        <f t="shared" si="331"/>
        <v>-5.5297277867794037E-10</v>
      </c>
      <c r="AA430" s="13">
        <f t="shared" si="331"/>
        <v>-1.7462298274040222E-10</v>
      </c>
      <c r="AB430" s="13">
        <f t="shared" si="331"/>
        <v>-1.280568540096283E-9</v>
      </c>
      <c r="AC430" s="13">
        <f t="shared" si="331"/>
        <v>-1.7462298274040222E-10</v>
      </c>
      <c r="AD430" s="13">
        <f t="shared" si="331"/>
        <v>0</v>
      </c>
      <c r="AE430" s="13">
        <f t="shared" si="331"/>
        <v>0</v>
      </c>
      <c r="AF430" s="13">
        <f t="shared" ref="AF430" si="332">+N430-SUM(N431:N440)</f>
        <v>6.1118043959140778E-10</v>
      </c>
      <c r="AG430" s="13">
        <f t="shared" ref="AG430:AH430" si="333">+O430-SUM(O431:O440)</f>
        <v>-4.9476511776447296E-10</v>
      </c>
      <c r="AH430" s="13">
        <f t="shared" si="333"/>
        <v>-4.9476511776447296E-10</v>
      </c>
      <c r="AI430" s="73">
        <f t="shared" ref="AI430" si="334">+Q430-SUM(Q431:Q440)</f>
        <v>3.7834979593753815E-10</v>
      </c>
      <c r="AJ430" s="73">
        <f t="shared" ref="AJ430:AK430" si="335">+R430-SUM(R431:R440)</f>
        <v>1.1059455573558807E-9</v>
      </c>
      <c r="AK430" s="73">
        <f t="shared" si="335"/>
        <v>-6.6938810050487518E-10</v>
      </c>
    </row>
    <row r="431" spans="1:37" hidden="1" outlineLevel="2" x14ac:dyDescent="0.25">
      <c r="A431" s="16" t="s">
        <v>26</v>
      </c>
      <c r="B431" s="13">
        <f>+[1]Result!$C$25-[21]Result!$C$25</f>
        <v>26578.442200226942</v>
      </c>
      <c r="C431" s="13">
        <f>+[5]Result!$C$25-[1]Result!$C$25</f>
        <v>-22660.738500428619</v>
      </c>
      <c r="D431" s="32">
        <f>+[6]Result!$C$25-[5]Result!$C$25</f>
        <v>204796.99717741087</v>
      </c>
      <c r="E431" s="13">
        <f>+[7]Result!$C$25-[6]Result!$C$25</f>
        <v>-55673.063161421102</v>
      </c>
      <c r="F431" s="13">
        <f>+[8]Result!$C$25-[7]Result!$C$25</f>
        <v>40615.565105504356</v>
      </c>
      <c r="G431" s="32">
        <f>+[9]Result!$C$25-[8]Result!$C$25</f>
        <v>61124.014043312054</v>
      </c>
      <c r="H431" s="13">
        <f>+[10]Result!$C$25-[9]Result!$C$25</f>
        <v>22737.997735037236</v>
      </c>
      <c r="I431" s="13">
        <f>+[11]Result!$C$25-[10]Result!$C$25</f>
        <v>17808.513362830272</v>
      </c>
      <c r="J431" s="32">
        <f>+[12]Result!$C$25-[11]Result!$C$25</f>
        <v>-53552.039913879707</v>
      </c>
      <c r="K431" s="13">
        <f>+[13]Result!$C$25-[12]Result!$C$25</f>
        <v>-2507.3938552520704</v>
      </c>
      <c r="L431" s="13">
        <f>+[14]Result!$C$25-[13]Result!$C$25</f>
        <v>46758.848695087712</v>
      </c>
      <c r="M431" s="13">
        <f>+[15]Result!$C$25-[14]Result!$C$25</f>
        <v>262777.94867518567</v>
      </c>
      <c r="N431" s="32">
        <f>+[16]Result!$C$25-[15]Result!$C$25</f>
        <v>-14076.405702560674</v>
      </c>
      <c r="O431" s="13">
        <f>+[17]Result!$C$25-[16]Result!$C$25</f>
        <v>-44975.263081775978</v>
      </c>
      <c r="P431" s="13">
        <f>+[18]Result!$C$25-[17]Result!$C$25</f>
        <v>3396.9336966392584</v>
      </c>
      <c r="Q431" s="32">
        <f>+[19]Result!$C$25-[18]Result!$C$25</f>
        <v>8851.4784622159787</v>
      </c>
      <c r="R431" s="32">
        <f>+[20]Result!$C$25-[19]Result!$C$25</f>
        <v>-4754.3112530517392</v>
      </c>
      <c r="S431" s="70">
        <f>+[22]Result!$C$25-[20]Result!$C$25</f>
        <v>-16358.986055350862</v>
      </c>
      <c r="AI431" s="73"/>
      <c r="AJ431" s="73"/>
      <c r="AK431" s="73"/>
    </row>
    <row r="432" spans="1:37" hidden="1" outlineLevel="2" x14ac:dyDescent="0.25">
      <c r="A432" s="16" t="s">
        <v>27</v>
      </c>
      <c r="B432" s="13">
        <f>+[1]Result!$C$26-[21]Result!$C$26</f>
        <v>24664.681855111849</v>
      </c>
      <c r="C432" s="13">
        <f>+[5]Result!$C$26-[1]Result!$C$26</f>
        <v>-23810.598705736687</v>
      </c>
      <c r="D432" s="32">
        <f>+[6]Result!$C$26-[5]Result!$C$26</f>
        <v>176139.16080429521</v>
      </c>
      <c r="E432" s="13">
        <f>+[7]Result!$C$26-[6]Result!$C$26</f>
        <v>-45597.275055960519</v>
      </c>
      <c r="F432" s="13">
        <f>+[8]Result!$C$26-[7]Result!$C$26</f>
        <v>36409.165601981105</v>
      </c>
      <c r="G432" s="32">
        <f>+[9]Result!$C$26-[8]Result!$C$26</f>
        <v>55889.75686490722</v>
      </c>
      <c r="H432" s="13">
        <f>+[10]Result!$C$26-[9]Result!$C$26</f>
        <v>19485.319878204027</v>
      </c>
      <c r="I432" s="13">
        <f>+[11]Result!$C$26-[10]Result!$C$26</f>
        <v>16347.76317065279</v>
      </c>
      <c r="J432" s="32">
        <f>+[12]Result!$C$26-[11]Result!$C$26</f>
        <v>-53821.629120840225</v>
      </c>
      <c r="K432" s="13">
        <f>+[13]Result!$C$26-[12]Result!$C$26</f>
        <v>-1712.2306690902915</v>
      </c>
      <c r="L432" s="13">
        <f>+[14]Result!$C$26-[13]Result!$C$26</f>
        <v>41015.076927362941</v>
      </c>
      <c r="M432" s="13">
        <f>+[15]Result!$C$26-[14]Result!$C$26</f>
        <v>245184.05843661877</v>
      </c>
      <c r="N432" s="32">
        <f>+[16]Result!$C$26-[15]Result!$C$26</f>
        <v>-12462.875903998618</v>
      </c>
      <c r="O432" s="13">
        <f>+[17]Result!$C$26-[16]Result!$C$26</f>
        <v>-37810.188335180283</v>
      </c>
      <c r="P432" s="13">
        <f>+[18]Result!$C$26-[17]Result!$C$26</f>
        <v>401.14295988285448</v>
      </c>
      <c r="Q432" s="32">
        <f>+[19]Result!$C$26-[18]Result!$C$26</f>
        <v>7288.4757366023259</v>
      </c>
      <c r="R432" s="32">
        <f>+[20]Result!$C$26-[19]Result!$C$26</f>
        <v>-3391.9831173082348</v>
      </c>
      <c r="S432" s="70">
        <f>+[22]Result!$C$26-[20]Result!$C$26</f>
        <v>-14002.363640057039</v>
      </c>
      <c r="AI432" s="73"/>
      <c r="AJ432" s="73"/>
      <c r="AK432" s="73"/>
    </row>
    <row r="433" spans="1:37" hidden="1" outlineLevel="2" x14ac:dyDescent="0.25">
      <c r="A433" s="16" t="s">
        <v>28</v>
      </c>
      <c r="B433" s="13">
        <f>+[1]Result!$C$27-[21]Result!$C$27</f>
        <v>22007.860284097958</v>
      </c>
      <c r="C433" s="13">
        <f>+[5]Result!$C$27-[1]Result!$C$27</f>
        <v>-23148.011256569065</v>
      </c>
      <c r="D433" s="32">
        <f>+[6]Result!$C$27-[5]Result!$C$27</f>
        <v>144494.26589880721</v>
      </c>
      <c r="E433" s="13">
        <f>+[7]Result!$C$27-[6]Result!$C$27</f>
        <v>-37135.154643277521</v>
      </c>
      <c r="F433" s="13">
        <f>+[8]Result!$C$27-[7]Result!$C$27</f>
        <v>31989.207164346939</v>
      </c>
      <c r="G433" s="32">
        <f>+[9]Result!$C$27-[8]Result!$C$27</f>
        <v>46900.37370306463</v>
      </c>
      <c r="H433" s="13">
        <f>+[10]Result!$C$27-[9]Result!$C$27</f>
        <v>16602.193043363513</v>
      </c>
      <c r="I433" s="13">
        <f>+[11]Result!$C$27-[10]Result!$C$27</f>
        <v>14687.515092628775</v>
      </c>
      <c r="J433" s="32">
        <f>+[12]Result!$C$27-[11]Result!$C$27</f>
        <v>-57495.204875130905</v>
      </c>
      <c r="K433" s="13">
        <f>+[13]Result!$C$27-[12]Result!$C$27</f>
        <v>-1182.0673180908198</v>
      </c>
      <c r="L433" s="13">
        <f>+[14]Result!$C$27-[13]Result!$C$27</f>
        <v>35882.022057841648</v>
      </c>
      <c r="M433" s="13">
        <f>+[15]Result!$C$27-[14]Result!$C$27</f>
        <v>226135.29587339936</v>
      </c>
      <c r="N433" s="32">
        <f>+[16]Result!$C$27-[15]Result!$C$27</f>
        <v>-10864.291688118712</v>
      </c>
      <c r="O433" s="13">
        <f>+[17]Result!$C$27-[16]Result!$C$27</f>
        <v>-31870.284453623346</v>
      </c>
      <c r="P433" s="13">
        <f>+[18]Result!$C$27-[17]Result!$C$27</f>
        <v>-5269.2246154603781</v>
      </c>
      <c r="Q433" s="32">
        <f>+[19]Result!$C$27-[18]Result!$C$27</f>
        <v>6021.0441401385469</v>
      </c>
      <c r="R433" s="32">
        <f>+[20]Result!$C$27-[19]Result!$C$27</f>
        <v>-2502.1318918949692</v>
      </c>
      <c r="S433" s="70">
        <f>+[22]Result!$C$27-[20]Result!$C$27</f>
        <v>-11965.36486539105</v>
      </c>
      <c r="AI433" s="73"/>
      <c r="AJ433" s="73"/>
      <c r="AK433" s="73"/>
    </row>
    <row r="434" spans="1:37" hidden="1" outlineLevel="2" x14ac:dyDescent="0.25">
      <c r="A434" s="16" t="s">
        <v>29</v>
      </c>
      <c r="B434" s="13">
        <f>+[1]Result!$C$28-[21]Result!$C$28</f>
        <v>19416.323297527735</v>
      </c>
      <c r="C434" s="13">
        <f>+[5]Result!$C$28-[1]Result!$C$28</f>
        <v>-21603.38256433676</v>
      </c>
      <c r="D434" s="32">
        <f>+[6]Result!$C$28-[5]Result!$C$28</f>
        <v>112838.83148891234</v>
      </c>
      <c r="E434" s="13">
        <f>+[7]Result!$C$28-[6]Result!$C$28</f>
        <v>-30604.345245731995</v>
      </c>
      <c r="F434" s="13">
        <f>+[8]Result!$C$28-[7]Result!$C$28</f>
        <v>28015.644895661855</v>
      </c>
      <c r="G434" s="32">
        <f>+[9]Result!$C$28-[8]Result!$C$28</f>
        <v>27399.751675075153</v>
      </c>
      <c r="H434" s="13">
        <f>+[10]Result!$C$28-[9]Result!$C$28</f>
        <v>14282.427032437758</v>
      </c>
      <c r="I434" s="13">
        <f>+[11]Result!$C$28-[10]Result!$C$28</f>
        <v>13486.561010253732</v>
      </c>
      <c r="J434" s="32">
        <f>+[12]Result!$C$28-[11]Result!$C$28</f>
        <v>-58028.322093124036</v>
      </c>
      <c r="K434" s="13">
        <f>+[13]Result!$C$28-[12]Result!$C$28</f>
        <v>-770.03068644495215</v>
      </c>
      <c r="L434" s="13">
        <f>+[14]Result!$C$28-[13]Result!$C$28</f>
        <v>31856.609346703393</v>
      </c>
      <c r="M434" s="13">
        <f>+[15]Result!$C$28-[14]Result!$C$28</f>
        <v>208300.89880312514</v>
      </c>
      <c r="N434" s="32">
        <f>+[16]Result!$C$28-[15]Result!$C$28</f>
        <v>-9711.3056025732076</v>
      </c>
      <c r="O434" s="13">
        <f>+[17]Result!$C$28-[16]Result!$C$28</f>
        <v>-27551.11072619434</v>
      </c>
      <c r="P434" s="13">
        <f>+[18]Result!$C$28-[17]Result!$C$28</f>
        <v>-6012.1280098637799</v>
      </c>
      <c r="Q434" s="32">
        <f>+[19]Result!$C$28-[18]Result!$C$28</f>
        <v>5069.7067020274699</v>
      </c>
      <c r="R434" s="32">
        <f>+[20]Result!$C$28-[19]Result!$C$28</f>
        <v>-1830.9751696734456</v>
      </c>
      <c r="S434" s="70">
        <f>+[22]Result!$C$28-[20]Result!$C$28</f>
        <v>-10510.689448897028</v>
      </c>
      <c r="AI434" s="73"/>
      <c r="AJ434" s="73"/>
      <c r="AK434" s="73"/>
    </row>
    <row r="435" spans="1:37" hidden="1" outlineLevel="2" x14ac:dyDescent="0.25">
      <c r="A435" s="16" t="s">
        <v>30</v>
      </c>
      <c r="B435" s="13">
        <f>+[1]Result!$C$29-[21]Result!$C$29</f>
        <v>17528.820027247653</v>
      </c>
      <c r="C435" s="13">
        <f>+[5]Result!$C$29-[1]Result!$C$29</f>
        <v>-20362.50237066939</v>
      </c>
      <c r="D435" s="32">
        <f>+[6]Result!$C$29-[5]Result!$C$29</f>
        <v>95736.272759141983</v>
      </c>
      <c r="E435" s="13">
        <f>+[7]Result!$C$29-[6]Result!$C$29</f>
        <v>-25925.236410097335</v>
      </c>
      <c r="F435" s="13">
        <f>+[8]Result!$C$29-[7]Result!$C$29</f>
        <v>24982.741378019564</v>
      </c>
      <c r="G435" s="32">
        <f>+[9]Result!$C$29-[8]Result!$C$29</f>
        <v>27217.320988583844</v>
      </c>
      <c r="H435" s="13">
        <f>+[10]Result!$C$29-[9]Result!$C$29</f>
        <v>12376.657724305405</v>
      </c>
      <c r="I435" s="13">
        <f>+[11]Result!$C$29-[10]Result!$C$29</f>
        <v>12227.277660537628</v>
      </c>
      <c r="J435" s="32">
        <f>+[12]Result!$C$29-[11]Result!$C$29</f>
        <v>-41333.347506840946</v>
      </c>
      <c r="K435" s="13">
        <f>+[13]Result!$C$29-[12]Result!$C$29</f>
        <v>-422.8483622376807</v>
      </c>
      <c r="L435" s="13">
        <f>+[14]Result!$C$29-[13]Result!$C$29</f>
        <v>27624.925486596185</v>
      </c>
      <c r="M435" s="13">
        <f>+[15]Result!$C$29-[14]Result!$C$29</f>
        <v>193408.15813957399</v>
      </c>
      <c r="N435" s="32">
        <f>+[16]Result!$C$29-[15]Result!$C$29</f>
        <v>-8333.7677582521574</v>
      </c>
      <c r="O435" s="13">
        <f>+[17]Result!$C$29-[16]Result!$C$29</f>
        <v>-22971.856373616902</v>
      </c>
      <c r="P435" s="13">
        <f>+[18]Result!$C$29-[17]Result!$C$29</f>
        <v>937.86905037343968</v>
      </c>
      <c r="Q435" s="32">
        <f>+[19]Result!$C$29-[18]Result!$C$29</f>
        <v>4125.9297783822403</v>
      </c>
      <c r="R435" s="32">
        <f>+[20]Result!$C$29-[19]Result!$C$29</f>
        <v>-1289.3306466210051</v>
      </c>
      <c r="S435" s="70">
        <f>+[22]Result!$C$29-[20]Result!$C$29</f>
        <v>-8745.7908438846935</v>
      </c>
      <c r="AI435" s="73"/>
      <c r="AJ435" s="73"/>
      <c r="AK435" s="73"/>
    </row>
    <row r="436" spans="1:37" hidden="1" outlineLevel="2" x14ac:dyDescent="0.25">
      <c r="A436" s="16" t="s">
        <v>31</v>
      </c>
      <c r="B436" s="13">
        <f>+[1]Result!$C$30-[21]Result!$C$30</f>
        <v>14154.463880697265</v>
      </c>
      <c r="C436" s="13">
        <f>+[5]Result!$C$30-[1]Result!$C$30</f>
        <v>-16994.991877467954</v>
      </c>
      <c r="D436" s="32">
        <f>+[6]Result!$C$30-[5]Result!$C$30</f>
        <v>76181.667595685227</v>
      </c>
      <c r="E436" s="13">
        <f>+[7]Result!$C$30-[6]Result!$C$30</f>
        <v>-19837.518215496559</v>
      </c>
      <c r="F436" s="13">
        <f>+[8]Result!$C$30-[7]Result!$C$30</f>
        <v>19978.604596785619</v>
      </c>
      <c r="G436" s="32">
        <f>+[9]Result!$C$30-[8]Result!$C$30</f>
        <v>25581.23319965892</v>
      </c>
      <c r="H436" s="13">
        <f>+[10]Result!$C$30-[9]Result!$C$30</f>
        <v>9679.5940693367738</v>
      </c>
      <c r="I436" s="13">
        <f>+[11]Result!$C$30-[10]Result!$C$30</f>
        <v>9815.3930984393228</v>
      </c>
      <c r="J436" s="32">
        <f>+[12]Result!$C$30-[11]Result!$C$30</f>
        <v>-39180.573811838753</v>
      </c>
      <c r="K436" s="13">
        <f>+[13]Result!$C$30-[12]Result!$C$30</f>
        <v>-204.930339114042</v>
      </c>
      <c r="L436" s="13">
        <f>+[14]Result!$C$30-[13]Result!$C$30</f>
        <v>22104.826583438553</v>
      </c>
      <c r="M436" s="13">
        <f>+[15]Result!$C$30-[14]Result!$C$30</f>
        <v>177231.27287155489</v>
      </c>
      <c r="N436" s="32">
        <f>+[16]Result!$C$30-[15]Result!$C$30</f>
        <v>-6289.5372240653378</v>
      </c>
      <c r="O436" s="13">
        <f>+[17]Result!$C$30-[16]Result!$C$30</f>
        <v>-16958.933180236258</v>
      </c>
      <c r="P436" s="13">
        <f>+[18]Result!$C$30-[17]Result!$C$30</f>
        <v>249.48872261535143</v>
      </c>
      <c r="Q436" s="32">
        <f>+[19]Result!$C$30-[18]Result!$C$30</f>
        <v>3007.7250398644246</v>
      </c>
      <c r="R436" s="32">
        <f>+[20]Result!$C$30-[19]Result!$C$30</f>
        <v>-830.09220378729515</v>
      </c>
      <c r="S436" s="70">
        <f>+[22]Result!$C$30-[20]Result!$C$30</f>
        <v>-6477.7546224795515</v>
      </c>
      <c r="AI436" s="73"/>
      <c r="AJ436" s="73"/>
      <c r="AK436" s="73"/>
    </row>
    <row r="437" spans="1:37" hidden="1" outlineLevel="2" x14ac:dyDescent="0.25">
      <c r="A437" s="16" t="s">
        <v>32</v>
      </c>
      <c r="B437" s="13">
        <f>+[1]Result!$C$31-[21]Result!$C$31</f>
        <v>11030.455081183056</v>
      </c>
      <c r="C437" s="13">
        <f>+[5]Result!$C$31-[1]Result!$C$31</f>
        <v>-13491.759486281895</v>
      </c>
      <c r="D437" s="32">
        <f>+[6]Result!$C$31-[5]Result!$C$31</f>
        <v>54913.6092193636</v>
      </c>
      <c r="E437" s="13">
        <f>+[7]Result!$C$31-[6]Result!$C$31</f>
        <v>-14840.833364904975</v>
      </c>
      <c r="F437" s="13">
        <f>+[8]Result!$C$31-[7]Result!$C$31</f>
        <v>15548.619074818096</v>
      </c>
      <c r="G437" s="32">
        <f>+[9]Result!$C$31-[8]Result!$C$31</f>
        <v>19682.217219704995</v>
      </c>
      <c r="H437" s="13">
        <f>+[10]Result!$C$31-[9]Result!$C$31</f>
        <v>7369.8766331755905</v>
      </c>
      <c r="I437" s="13">
        <f>+[11]Result!$C$31-[10]Result!$C$31</f>
        <v>7676.859318002942</v>
      </c>
      <c r="J437" s="32">
        <f>+[12]Result!$C$31-[11]Result!$C$31</f>
        <v>-37376.522545004322</v>
      </c>
      <c r="K437" s="13">
        <f>+[13]Result!$C$31-[12]Result!$C$31</f>
        <v>-163.68348998809233</v>
      </c>
      <c r="L437" s="13">
        <f>+[14]Result!$C$31-[13]Result!$C$31</f>
        <v>17389.204393837659</v>
      </c>
      <c r="M437" s="13">
        <f>+[15]Result!$C$31-[14]Result!$C$31</f>
        <v>166492.29626904539</v>
      </c>
      <c r="N437" s="32">
        <f>+[16]Result!$C$31-[15]Result!$C$31</f>
        <v>-4500.7307590735145</v>
      </c>
      <c r="O437" s="13">
        <f>+[17]Result!$C$31-[16]Result!$C$31</f>
        <v>-11754.443095993367</v>
      </c>
      <c r="P437" s="13">
        <f>+[18]Result!$C$31-[17]Result!$C$31</f>
        <v>686.76968859971385</v>
      </c>
      <c r="Q437" s="32">
        <f>+[19]Result!$C$31-[18]Result!$C$31</f>
        <v>2056.0386179286579</v>
      </c>
      <c r="R437" s="32">
        <f>+[20]Result!$C$31-[19]Result!$C$31</f>
        <v>-520.56028161317226</v>
      </c>
      <c r="S437" s="70">
        <f>+[22]Result!$C$31-[20]Result!$C$31</f>
        <v>-4469.6582534267509</v>
      </c>
      <c r="AI437" s="73"/>
      <c r="AJ437" s="73"/>
      <c r="AK437" s="73"/>
    </row>
    <row r="438" spans="1:37" hidden="1" outlineLevel="2" x14ac:dyDescent="0.25">
      <c r="A438" s="16" t="s">
        <v>33</v>
      </c>
      <c r="B438" s="13">
        <f>+[1]Result!$C$32-[21]Result!$C$32</f>
        <v>8117.0011113338405</v>
      </c>
      <c r="C438" s="13">
        <f>+[5]Result!$C$32-[1]Result!$C$32</f>
        <v>-10121.733698177733</v>
      </c>
      <c r="D438" s="32">
        <f>+[6]Result!$C$32-[5]Result!$C$32</f>
        <v>37322.967255164112</v>
      </c>
      <c r="E438" s="13">
        <f>+[7]Result!$C$32-[6]Result!$C$32</f>
        <v>-10566.481990913511</v>
      </c>
      <c r="F438" s="13">
        <f>+[8]Result!$C$32-[7]Result!$C$32</f>
        <v>11457.845408663969</v>
      </c>
      <c r="G438" s="32">
        <f>+[9]Result!$C$32-[8]Result!$C$32</f>
        <v>13554.872742063832</v>
      </c>
      <c r="H438" s="13">
        <f>+[10]Result!$C$32-[9]Result!$C$32</f>
        <v>5344.7749033988803</v>
      </c>
      <c r="I438" s="13">
        <f>+[11]Result!$C$32-[10]Result!$C$32</f>
        <v>5686.9931540639373</v>
      </c>
      <c r="J438" s="32">
        <f>+[12]Result!$C$32-[11]Result!$C$32</f>
        <v>-40892.678642256535</v>
      </c>
      <c r="K438" s="13">
        <f>+[13]Result!$C$32-[12]Result!$C$32</f>
        <v>-84.773777797876392</v>
      </c>
      <c r="L438" s="13">
        <f>+[14]Result!$C$32-[13]Result!$C$32</f>
        <v>13345.247930309968</v>
      </c>
      <c r="M438" s="13">
        <f>+[15]Result!$C$32-[14]Result!$C$32</f>
        <v>146984.99838728367</v>
      </c>
      <c r="N438" s="32">
        <f>+[16]Result!$C$32-[15]Result!$C$32</f>
        <v>-3078.8206898539793</v>
      </c>
      <c r="O438" s="13">
        <f>+[17]Result!$C$32-[16]Result!$C$32</f>
        <v>-7915.9296358867723</v>
      </c>
      <c r="P438" s="13">
        <f>+[18]Result!$C$32-[17]Result!$C$32</f>
        <v>-11749.410489389906</v>
      </c>
      <c r="Q438" s="32">
        <f>+[19]Result!$C$32-[18]Result!$C$32</f>
        <v>1462.4808481856599</v>
      </c>
      <c r="R438" s="32">
        <f>+[20]Result!$C$32-[19]Result!$C$32</f>
        <v>-334.46216615388403</v>
      </c>
      <c r="S438" s="70">
        <f>+[22]Result!$C$32-[20]Result!$C$32</f>
        <v>-3235.3110230470193</v>
      </c>
      <c r="AI438" s="73"/>
      <c r="AJ438" s="73"/>
      <c r="AK438" s="73"/>
    </row>
    <row r="439" spans="1:37" hidden="1" outlineLevel="2" x14ac:dyDescent="0.25">
      <c r="A439" s="16" t="s">
        <v>34</v>
      </c>
      <c r="B439" s="13">
        <f>+[1]Result!$C$33-[21]Result!$C$33</f>
        <v>5969.7081096627226</v>
      </c>
      <c r="C439" s="13">
        <f>+[5]Result!$C$33-[1]Result!$C$33</f>
        <v>-7562.999669556506</v>
      </c>
      <c r="D439" s="32">
        <f>+[6]Result!$C$33-[5]Result!$C$33</f>
        <v>7997.9428510763391</v>
      </c>
      <c r="E439" s="13">
        <f>+[7]Result!$C$33-[6]Result!$C$33</f>
        <v>-8178.1258632236859</v>
      </c>
      <c r="F439" s="13">
        <f>+[8]Result!$C$33-[7]Result!$C$33</f>
        <v>9094.8203549360042</v>
      </c>
      <c r="G439" s="32">
        <f>+[9]Result!$C$33-[8]Result!$C$33</f>
        <v>-11655.388952329522</v>
      </c>
      <c r="H439" s="13">
        <f>+[10]Result!$C$33-[9]Result!$C$33</f>
        <v>4643.7028502450557</v>
      </c>
      <c r="I439" s="13">
        <f>+[11]Result!$C$33-[10]Result!$C$33</f>
        <v>5046.6147254504904</v>
      </c>
      <c r="J439" s="32">
        <f>+[12]Result!$C$33-[11]Result!$C$33</f>
        <v>-40106.804459339241</v>
      </c>
      <c r="K439" s="13">
        <f>+[13]Result!$C$33-[12]Result!$C$33</f>
        <v>0</v>
      </c>
      <c r="L439" s="13">
        <f>+[14]Result!$C$33-[13]Result!$C$33</f>
        <v>11864.056444094167</v>
      </c>
      <c r="M439" s="13">
        <f>+[15]Result!$C$33-[14]Result!$C$33</f>
        <v>121226.34576036059</v>
      </c>
      <c r="N439" s="32">
        <f>+[16]Result!$C$33-[15]Result!$C$33</f>
        <v>-2897.4628628471983</v>
      </c>
      <c r="O439" s="13">
        <f>+[17]Result!$C$33-[16]Result!$C$33</f>
        <v>-7402.994246379094</v>
      </c>
      <c r="P439" s="13">
        <f>+[18]Result!$C$33-[17]Result!$C$33</f>
        <v>-20541.824142901576</v>
      </c>
      <c r="Q439" s="32">
        <f>+[19]Result!$C$33-[18]Result!$C$33</f>
        <v>1421.6505283383885</v>
      </c>
      <c r="R439" s="32">
        <f>+[20]Result!$C$33-[19]Result!$C$33</f>
        <v>-264.11266585462727</v>
      </c>
      <c r="S439" s="70">
        <f>+[22]Result!$C$33-[20]Result!$C$33</f>
        <v>-3226.8932188904437</v>
      </c>
      <c r="AI439" s="73"/>
      <c r="AJ439" s="73"/>
      <c r="AK439" s="73"/>
    </row>
    <row r="440" spans="1:37" hidden="1" outlineLevel="2" x14ac:dyDescent="0.25">
      <c r="A440" s="16" t="s">
        <v>35</v>
      </c>
      <c r="B440" s="13">
        <f>+[1]Result!$C$34-[21]Result!$C$34</f>
        <v>6186.8908607279591</v>
      </c>
      <c r="C440" s="13">
        <f>+[5]Result!$C$34-[1]Result!$C$34</f>
        <v>-7938.5689196679159</v>
      </c>
      <c r="D440" s="32">
        <f>+[6]Result!$C$34-[5]Result!$C$34</f>
        <v>9361.7621742084739</v>
      </c>
      <c r="E440" s="13">
        <f>+[7]Result!$C$34-[6]Result!$C$34</f>
        <v>-8196.7653841011925</v>
      </c>
      <c r="F440" s="13">
        <f>+[8]Result!$C$34-[7]Result!$C$34</f>
        <v>9330.2601738885278</v>
      </c>
      <c r="G440" s="32">
        <f>+[9]Result!$C$34-[8]Result!$C$34</f>
        <v>-10037.164990565914</v>
      </c>
      <c r="H440" s="13">
        <f>+[10]Result!$C$34-[9]Result!$C$34</f>
        <v>4729.0485521630326</v>
      </c>
      <c r="I440" s="13">
        <f>+[11]Result!$C$34-[10]Result!$C$34</f>
        <v>5217.7505596307747</v>
      </c>
      <c r="J440" s="32">
        <f>+[12]Result!$C$34-[11]Result!$C$34</f>
        <v>-3405.2693846464099</v>
      </c>
      <c r="K440" s="13">
        <f>+[13]Result!$C$34-[12]Result!$C$34</f>
        <v>0</v>
      </c>
      <c r="L440" s="13">
        <f>+[14]Result!$C$34-[13]Result!$C$34</f>
        <v>10536.857651885453</v>
      </c>
      <c r="M440" s="13">
        <f>+[15]Result!$C$34-[14]Result!$C$34</f>
        <v>86965.359009598382</v>
      </c>
      <c r="N440" s="32">
        <f>+[16]Result!$C$34-[15]Result!$C$34</f>
        <v>-2981.7852016474062</v>
      </c>
      <c r="O440" s="13">
        <f>+[17]Result!$C$34-[16]Result!$C$34</f>
        <v>-7569.53981141033</v>
      </c>
      <c r="P440" s="13">
        <f>+[18]Result!$C$34-[17]Result!$C$34</f>
        <v>-11442.058208706323</v>
      </c>
      <c r="Q440" s="32">
        <f>+[19]Result!$C$34-[18]Result!$C$34</f>
        <v>1350.9474937411142</v>
      </c>
      <c r="R440" s="32">
        <f>+[20]Result!$C$34-[19]Result!$C$34</f>
        <v>-212.53085398758412</v>
      </c>
      <c r="S440" s="70">
        <f>+[22]Result!$C$34-[20]Result!$C$34</f>
        <v>-3126.0622420534201</v>
      </c>
      <c r="AI440" s="73"/>
      <c r="AJ440" s="73"/>
      <c r="AK440" s="73"/>
    </row>
    <row r="441" spans="1:37" hidden="1" outlineLevel="1" x14ac:dyDescent="0.25">
      <c r="A441" s="15" t="s">
        <v>36</v>
      </c>
      <c r="B441" s="13">
        <f>+'[1]Stat by Mat'!$G$7-'[21]Stat by Mat'!$G$7</f>
        <v>11380.023569957702</v>
      </c>
      <c r="C441" s="13">
        <f>+'[5]Stat by Mat'!$G$7-'[1]Stat by Mat'!$G$7</f>
        <v>-14965.728585041419</v>
      </c>
      <c r="D441" s="32">
        <f>+'[6]Stat by Mat'!$G$7-'[5]Stat by Mat'!$G$7</f>
        <v>24021.272879716882</v>
      </c>
      <c r="E441" s="13">
        <f>+'[7]Stat by Mat'!$G$7-'[6]Stat by Mat'!$G$7</f>
        <v>-14036.221882432234</v>
      </c>
      <c r="F441" s="13">
        <f>+'[8]Stat by Mat'!$G$7-'[7]Stat by Mat'!$G$7</f>
        <v>16795.759726507938</v>
      </c>
      <c r="G441" s="32">
        <f>+'[9]Stat by Mat'!$G$7-'[8]Stat by Mat'!$G$7</f>
        <v>-4949.3069745713146</v>
      </c>
      <c r="H441" s="13">
        <f>+'[10]Stat by Mat'!$G$7-'[9]Stat by Mat'!$G$7</f>
        <v>8087.2490059958072</v>
      </c>
      <c r="I441" s="13">
        <f>+'[11]Stat by Mat'!$G$7-'[10]Stat by Mat'!$G$7</f>
        <v>9299.3066219831817</v>
      </c>
      <c r="J441" s="32">
        <f>+'[12]Stat by Mat'!$G$7-'[11]Stat by Mat'!$G$7</f>
        <v>-17930.587595229328</v>
      </c>
      <c r="K441" s="13">
        <f>+'[13]Stat by Mat'!$G$7-'[12]Stat by Mat'!$G$7</f>
        <v>134.09108255105093</v>
      </c>
      <c r="L441" s="13">
        <f>+'[14]Stat by Mat'!$G$7-'[13]Stat by Mat'!$G$7</f>
        <v>19025.760849185637</v>
      </c>
      <c r="M441" s="13">
        <f>+'[15]Stat by Mat'!$G$7-'[14]Stat by Mat'!$G$7</f>
        <v>218916.43720724905</v>
      </c>
      <c r="N441" s="32">
        <f>+'[16]Stat by Mat'!$G$7-'[15]Stat by Mat'!$G$7</f>
        <v>-4000.5673451072653</v>
      </c>
      <c r="O441" s="13">
        <f>+'[17]Stat by Mat'!$G$7-'[16]Stat by Mat'!$G$7</f>
        <v>-10049.272822614003</v>
      </c>
      <c r="P441" s="13">
        <f>+'[18]Stat by Mat'!$G$7-'[17]Stat by Mat'!$G$7</f>
        <v>-65017.353207875422</v>
      </c>
      <c r="Q441" s="32">
        <f>+'[19]Stat by Mat'!$G$7-'[18]Stat by Mat'!$G$7</f>
        <v>2098.1465296524402</v>
      </c>
      <c r="R441" s="32">
        <f>+'[20]Stat by Mat'!$G$7-'[19]Stat by Mat'!$G$7</f>
        <v>-185.52584797795862</v>
      </c>
      <c r="S441" s="70">
        <f>+'[22]Stat by Mat'!$G$7-'[20]Stat by Mat'!$G$7</f>
        <v>-5103.9306601588614</v>
      </c>
      <c r="T441" s="13">
        <f>+B441-SUM(B442:B461)</f>
        <v>0</v>
      </c>
      <c r="U441" s="13">
        <f t="shared" ref="U441:W441" si="336">+C441-SUM(C442:C461)</f>
        <v>-4.9112713895738125E-11</v>
      </c>
      <c r="V441" s="13">
        <f t="shared" si="336"/>
        <v>0</v>
      </c>
      <c r="W441" s="13">
        <f t="shared" si="336"/>
        <v>0</v>
      </c>
      <c r="X441" s="13">
        <f t="shared" ref="X441" si="337">+F441-SUM(F442:F461)</f>
        <v>2.9103830456733704E-11</v>
      </c>
      <c r="Y441" s="13">
        <f t="shared" ref="Y441:AE441" si="338">+G441-SUM(G442:G461)</f>
        <v>-4.1836756281554699E-11</v>
      </c>
      <c r="Z441" s="13">
        <f t="shared" si="338"/>
        <v>5.0931703299283981E-11</v>
      </c>
      <c r="AA441" s="13">
        <f t="shared" si="338"/>
        <v>-7.2759576141834259E-11</v>
      </c>
      <c r="AB441" s="13">
        <f t="shared" si="338"/>
        <v>0</v>
      </c>
      <c r="AC441" s="13">
        <f t="shared" si="338"/>
        <v>7.0599526225123554E-11</v>
      </c>
      <c r="AD441" s="13">
        <f t="shared" si="338"/>
        <v>-5.4569682106375694E-11</v>
      </c>
      <c r="AE441" s="13">
        <f t="shared" si="338"/>
        <v>0</v>
      </c>
      <c r="AF441" s="13">
        <f t="shared" ref="AF441" si="339">+N441-SUM(N442:N461)</f>
        <v>3.637978807091713E-12</v>
      </c>
      <c r="AG441" s="13">
        <f t="shared" ref="AG441:AH441" si="340">+O441-SUM(O442:O461)</f>
        <v>0</v>
      </c>
      <c r="AH441" s="13">
        <f t="shared" si="340"/>
        <v>0</v>
      </c>
      <c r="AI441" s="73">
        <f t="shared" ref="AI441" si="341">+Q441-SUM(Q442:Q461)</f>
        <v>1.0004441719502211E-11</v>
      </c>
      <c r="AJ441" s="73">
        <f t="shared" ref="AJ441:AK441" si="342">+R441-SUM(R442:R461)</f>
        <v>1.2249756764504127E-11</v>
      </c>
      <c r="AK441" s="73">
        <f t="shared" si="342"/>
        <v>-5.4569682106375694E-11</v>
      </c>
    </row>
    <row r="442" spans="1:37" hidden="1" outlineLevel="2" x14ac:dyDescent="0.25">
      <c r="A442" s="16" t="s">
        <v>37</v>
      </c>
      <c r="B442" s="13">
        <f>+[1]Result!$C$35-[21]Result!$C$35</f>
        <v>3474.8621272260789</v>
      </c>
      <c r="C442" s="13">
        <f>+[5]Result!$C$35-[1]Result!$C$35</f>
        <v>-4496.5071969309938</v>
      </c>
      <c r="D442" s="32">
        <f>+[6]Result!$C$35-[5]Result!$C$35</f>
        <v>6362.0029017741326</v>
      </c>
      <c r="E442" s="13">
        <f>+[7]Result!$C$35-[6]Result!$C$35</f>
        <v>-4465.7104844938149</v>
      </c>
      <c r="F442" s="13">
        <f>+[8]Result!$C$35-[7]Result!$C$35</f>
        <v>5185.4663309763127</v>
      </c>
      <c r="G442" s="32">
        <f>+[9]Result!$C$35-[8]Result!$C$35</f>
        <v>-2686.9393176134326</v>
      </c>
      <c r="H442" s="13">
        <f>+[10]Result!$C$35-[9]Result!$C$35</f>
        <v>2544.1341044118599</v>
      </c>
      <c r="I442" s="13">
        <f>+[11]Result!$C$35-[10]Result!$C$35</f>
        <v>2854.4201939108752</v>
      </c>
      <c r="J442" s="32">
        <f>+[12]Result!$C$35-[11]Result!$C$35</f>
        <v>-2814.1204095379217</v>
      </c>
      <c r="K442" s="13">
        <f>+[13]Result!$C$35-[12]Result!$C$35</f>
        <v>19.373540755244903</v>
      </c>
      <c r="L442" s="13">
        <f>+[14]Result!$C$35-[13]Result!$C$35</f>
        <v>5768.7808065986464</v>
      </c>
      <c r="M442" s="13">
        <f>+[15]Result!$C$35-[14]Result!$C$35</f>
        <v>52304.765246895768</v>
      </c>
      <c r="N442" s="32">
        <f>+[16]Result!$C$35-[15]Result!$C$35</f>
        <v>-1528.4123144147015</v>
      </c>
      <c r="O442" s="13">
        <f>+[17]Result!$C$35-[16]Result!$C$35</f>
        <v>-3881.3984838567849</v>
      </c>
      <c r="P442" s="13">
        <f>+[18]Result!$C$35-[17]Result!$C$35</f>
        <v>-8797.4843121458398</v>
      </c>
      <c r="Q442" s="32">
        <f>+[19]Result!$C$35-[18]Result!$C$35</f>
        <v>703.04702908670879</v>
      </c>
      <c r="R442" s="32">
        <f>+[20]Result!$C$35-[19]Result!$C$35</f>
        <v>-101.89603654445091</v>
      </c>
      <c r="S442" s="70">
        <f>+[22]Result!$C$35-[20]Result!$C$35</f>
        <v>-1647.3574877973006</v>
      </c>
      <c r="AI442" s="73"/>
      <c r="AJ442" s="73"/>
      <c r="AK442" s="73"/>
    </row>
    <row r="443" spans="1:37" hidden="1" outlineLevel="2" x14ac:dyDescent="0.25">
      <c r="A443" s="16" t="s">
        <v>38</v>
      </c>
      <c r="B443" s="13">
        <f>+[1]Result!$C$36-[21]Result!$C$36</f>
        <v>2085.7063959799998</v>
      </c>
      <c r="C443" s="13">
        <f>+[5]Result!$C$36-[1]Result!$C$36</f>
        <v>-2722.4854432920838</v>
      </c>
      <c r="D443" s="32">
        <f>+[6]Result!$C$36-[5]Result!$C$36</f>
        <v>4900.7989728740067</v>
      </c>
      <c r="E443" s="13">
        <f>+[7]Result!$C$36-[6]Result!$C$36</f>
        <v>-2593.8308793985052</v>
      </c>
      <c r="F443" s="13">
        <f>+[8]Result!$C$36-[7]Result!$C$36</f>
        <v>3062.3385055761028</v>
      </c>
      <c r="G443" s="32">
        <f>+[9]Result!$C$36-[8]Result!$C$36</f>
        <v>-296.94647728392738</v>
      </c>
      <c r="H443" s="13">
        <f>+[10]Result!$C$36-[9]Result!$C$36</f>
        <v>1471.497001657699</v>
      </c>
      <c r="I443" s="13">
        <f>+[11]Result!$C$36-[10]Result!$C$36</f>
        <v>1666.7967941492243</v>
      </c>
      <c r="J443" s="32">
        <f>+[12]Result!$C$36-[11]Result!$C$36</f>
        <v>-3663.6751081640978</v>
      </c>
      <c r="K443" s="13">
        <f>+[13]Result!$C$36-[12]Result!$C$36</f>
        <v>23.538156544513186</v>
      </c>
      <c r="L443" s="13">
        <f>+[14]Result!$C$36-[13]Result!$C$36</f>
        <v>3436.7274252124625</v>
      </c>
      <c r="M443" s="13">
        <f>+[15]Result!$C$36-[14]Result!$C$36</f>
        <v>38325.269081519451</v>
      </c>
      <c r="N443" s="32">
        <f>+[16]Result!$C$36-[15]Result!$C$36</f>
        <v>-759.19203921657027</v>
      </c>
      <c r="O443" s="13">
        <f>+[17]Result!$C$36-[16]Result!$C$36</f>
        <v>-1909.1751960417387</v>
      </c>
      <c r="P443" s="13">
        <f>+[18]Result!$C$36-[17]Result!$C$36</f>
        <v>-8057.9266239240897</v>
      </c>
      <c r="Q443" s="32">
        <f>+[19]Result!$C$36-[18]Result!$C$36</f>
        <v>369.83148267638899</v>
      </c>
      <c r="R443" s="32">
        <f>+[20]Result!$C$36-[19]Result!$C$36</f>
        <v>-48.669278028290137</v>
      </c>
      <c r="S443" s="70">
        <f>+[22]Result!$C$36-[20]Result!$C$36</f>
        <v>-878.18218760451418</v>
      </c>
      <c r="AI443" s="73"/>
      <c r="AJ443" s="73"/>
      <c r="AK443" s="73"/>
    </row>
    <row r="444" spans="1:37" hidden="1" outlineLevel="2" x14ac:dyDescent="0.25">
      <c r="A444" s="16" t="s">
        <v>39</v>
      </c>
      <c r="B444" s="13">
        <f>+[1]Result!$C$37-[21]Result!$C$37</f>
        <v>1451.251117700871</v>
      </c>
      <c r="C444" s="13">
        <f>+[5]Result!$C$37-[1]Result!$C$37</f>
        <v>-1914.0212661891419</v>
      </c>
      <c r="D444" s="32">
        <f>+[6]Result!$C$37-[5]Result!$C$37</f>
        <v>3148.4868797496747</v>
      </c>
      <c r="E444" s="13">
        <f>+[7]Result!$C$37-[6]Result!$C$37</f>
        <v>-1780.2867055391107</v>
      </c>
      <c r="F444" s="13">
        <f>+[8]Result!$C$37-[7]Result!$C$37</f>
        <v>2140.8553733013105</v>
      </c>
      <c r="G444" s="32">
        <f>+[9]Result!$C$37-[8]Result!$C$37</f>
        <v>-178.99508504653204</v>
      </c>
      <c r="H444" s="13">
        <f>+[10]Result!$C$37-[9]Result!$C$37</f>
        <v>1019.5152218740259</v>
      </c>
      <c r="I444" s="13">
        <f>+[11]Result!$C$37-[10]Result!$C$37</f>
        <v>1175.9500896156169</v>
      </c>
      <c r="J444" s="32">
        <f>+[12]Result!$C$37-[11]Result!$C$37</f>
        <v>-4328.5127331634649</v>
      </c>
      <c r="K444" s="13">
        <f>+[13]Result!$C$37-[12]Result!$C$37</f>
        <v>17.396478740280145</v>
      </c>
      <c r="L444" s="13">
        <f>+[14]Result!$C$37-[13]Result!$C$37</f>
        <v>2496.7321257856893</v>
      </c>
      <c r="M444" s="13">
        <f>+[15]Result!$C$37-[14]Result!$C$37</f>
        <v>31704.021479000872</v>
      </c>
      <c r="N444" s="32">
        <f>+[16]Result!$C$37-[15]Result!$C$37</f>
        <v>-462.55375471463776</v>
      </c>
      <c r="O444" s="13">
        <f>+[17]Result!$C$37-[16]Result!$C$37</f>
        <v>-1151.515944382023</v>
      </c>
      <c r="P444" s="13">
        <f>+[18]Result!$C$37-[17]Result!$C$37</f>
        <v>-7626.8824199871015</v>
      </c>
      <c r="Q444" s="32">
        <f>+[19]Result!$C$37-[18]Result!$C$37</f>
        <v>241.23547574424447</v>
      </c>
      <c r="R444" s="32">
        <f>+[20]Result!$C$37-[19]Result!$C$37</f>
        <v>-23.564715351581981</v>
      </c>
      <c r="S444" s="70">
        <f>+[22]Result!$C$37-[20]Result!$C$37</f>
        <v>-585.69283024215474</v>
      </c>
      <c r="AI444" s="73"/>
      <c r="AJ444" s="73"/>
      <c r="AK444" s="73"/>
    </row>
    <row r="445" spans="1:37" hidden="1" outlineLevel="2" x14ac:dyDescent="0.25">
      <c r="A445" s="16" t="s">
        <v>40</v>
      </c>
      <c r="B445" s="13">
        <f>+[1]Result!$C$38-[21]Result!$C$38</f>
        <v>1184.2563188935237</v>
      </c>
      <c r="C445" s="13">
        <f>+[5]Result!$C$38-[1]Result!$C$38</f>
        <v>-1571.2835155952926</v>
      </c>
      <c r="D445" s="32">
        <f>+[6]Result!$C$38-[5]Result!$C$38</f>
        <v>2251.9210628518631</v>
      </c>
      <c r="E445" s="13">
        <f>+[7]Result!$C$38-[6]Result!$C$38</f>
        <v>-1456.4212034810189</v>
      </c>
      <c r="F445" s="13">
        <f>+[8]Result!$C$38-[7]Result!$C$38</f>
        <v>1767.1584674998085</v>
      </c>
      <c r="G445" s="32">
        <f>+[9]Result!$C$38-[8]Result!$C$38</f>
        <v>-306.23874312647968</v>
      </c>
      <c r="H445" s="13">
        <f>+[10]Result!$C$38-[9]Result!$C$38</f>
        <v>833.69327961887757</v>
      </c>
      <c r="I445" s="13">
        <f>+[11]Result!$C$38-[10]Result!$C$38</f>
        <v>980.08835178261506</v>
      </c>
      <c r="J445" s="32">
        <f>+[12]Result!$C$38-[11]Result!$C$38</f>
        <v>-2118.8436272037216</v>
      </c>
      <c r="K445" s="13">
        <f>+[13]Result!$C$38-[12]Result!$C$38</f>
        <v>14.234009066902217</v>
      </c>
      <c r="L445" s="13">
        <f>+[14]Result!$C$38-[13]Result!$C$38</f>
        <v>2007.5353650076067</v>
      </c>
      <c r="M445" s="13">
        <f>+[15]Result!$C$38-[14]Result!$C$38</f>
        <v>27219.713227061529</v>
      </c>
      <c r="N445" s="32">
        <f>+[16]Result!$C$38-[15]Result!$C$38</f>
        <v>-326.42643018297895</v>
      </c>
      <c r="O445" s="13">
        <f>+[17]Result!$C$38-[16]Result!$C$38</f>
        <v>-812.56641609437793</v>
      </c>
      <c r="P445" s="13">
        <f>+[18]Result!$C$38-[17]Result!$C$38</f>
        <v>-6095.5609468641997</v>
      </c>
      <c r="Q445" s="32">
        <f>+[19]Result!$C$38-[18]Result!$C$38</f>
        <v>172.40109732536439</v>
      </c>
      <c r="R445" s="32">
        <f>+[20]Result!$C$38-[19]Result!$C$38</f>
        <v>-10.518029522747383</v>
      </c>
      <c r="S445" s="70">
        <f>+[22]Result!$C$38-[20]Result!$C$38</f>
        <v>-428.51078152167247</v>
      </c>
      <c r="AI445" s="73"/>
      <c r="AJ445" s="73"/>
      <c r="AK445" s="73"/>
    </row>
    <row r="446" spans="1:37" hidden="1" outlineLevel="2" x14ac:dyDescent="0.25">
      <c r="A446" s="16" t="s">
        <v>41</v>
      </c>
      <c r="B446" s="13">
        <f>+[1]Result!$C$39-[21]Result!$C$39</f>
        <v>953.8468757452647</v>
      </c>
      <c r="C446" s="13">
        <f>+[5]Result!$C$39-[1]Result!$C$39</f>
        <v>-1271.5377853902319</v>
      </c>
      <c r="D446" s="32">
        <f>+[6]Result!$C$39-[5]Result!$C$39</f>
        <v>2691.8385746821004</v>
      </c>
      <c r="E446" s="13">
        <f>+[7]Result!$C$39-[6]Result!$C$39</f>
        <v>-1130.193208016135</v>
      </c>
      <c r="F446" s="13">
        <f>+[8]Result!$C$39-[7]Result!$C$39</f>
        <v>1378.6868141742525</v>
      </c>
      <c r="G446" s="32">
        <f>+[9]Result!$C$39-[8]Result!$C$39</f>
        <v>172.05459775790223</v>
      </c>
      <c r="H446" s="13">
        <f>+[10]Result!$C$39-[9]Result!$C$39</f>
        <v>647.40548054219107</v>
      </c>
      <c r="I446" s="13">
        <f>+[11]Result!$C$39-[10]Result!$C$39</f>
        <v>757.71183289136025</v>
      </c>
      <c r="J446" s="32">
        <f>+[12]Result!$C$39-[11]Result!$C$39</f>
        <v>-950.248159539271</v>
      </c>
      <c r="K446" s="13">
        <f>+[13]Result!$C$39-[12]Result!$C$39</f>
        <v>11.013110407999193</v>
      </c>
      <c r="L446" s="13">
        <f>+[14]Result!$C$39-[13]Result!$C$39</f>
        <v>1520.7434708009641</v>
      </c>
      <c r="M446" s="13">
        <f>+[15]Result!$C$39-[14]Result!$C$39</f>
        <v>22147.751862865465</v>
      </c>
      <c r="N446" s="32">
        <f>+[16]Result!$C$39-[15]Result!$C$39</f>
        <v>-209.95593001574525</v>
      </c>
      <c r="O446" s="13">
        <f>+[17]Result!$C$39-[16]Result!$C$39</f>
        <v>-522.57358875924183</v>
      </c>
      <c r="P446" s="13">
        <f>+[18]Result!$C$39-[17]Result!$C$39</f>
        <v>-4725.8171200853067</v>
      </c>
      <c r="Q446" s="32">
        <f>+[19]Result!$C$39-[18]Result!$C$39</f>
        <v>117.19175090515273</v>
      </c>
      <c r="R446" s="32">
        <f>+[20]Result!$C$39-[19]Result!$C$39</f>
        <v>-4.8636948700132052</v>
      </c>
      <c r="S446" s="70">
        <f>+[22]Result!$C$39-[20]Result!$C$39</f>
        <v>-292.42611687883982</v>
      </c>
      <c r="AI446" s="73"/>
      <c r="AJ446" s="73"/>
      <c r="AK446" s="73"/>
    </row>
    <row r="447" spans="1:37" hidden="1" outlineLevel="2" x14ac:dyDescent="0.25">
      <c r="A447" s="16" t="s">
        <v>42</v>
      </c>
      <c r="B447" s="13">
        <f>+[1]Result!$C$40-[21]Result!$C$40</f>
        <v>648.15218657724836</v>
      </c>
      <c r="C447" s="13">
        <f>+[5]Result!$C$40-[1]Result!$C$40</f>
        <v>-868.22975544272413</v>
      </c>
      <c r="D447" s="32">
        <f>+[6]Result!$C$40-[5]Result!$C$40</f>
        <v>1634.1095688423557</v>
      </c>
      <c r="E447" s="13">
        <f>+[7]Result!$C$40-[6]Result!$C$40</f>
        <v>-760.94110878065112</v>
      </c>
      <c r="F447" s="13">
        <f>+[8]Result!$C$40-[7]Result!$C$40</f>
        <v>938.37266807839478</v>
      </c>
      <c r="G447" s="32">
        <f>+[9]Result!$C$40-[8]Result!$C$40</f>
        <v>-167.80981722249635</v>
      </c>
      <c r="H447" s="13">
        <f>+[10]Result!$C$40-[9]Result!$C$40</f>
        <v>449.75056215382938</v>
      </c>
      <c r="I447" s="13">
        <f>+[11]Result!$C$40-[10]Result!$C$40</f>
        <v>523.95918187858842</v>
      </c>
      <c r="J447" s="32">
        <f>+[12]Result!$C$40-[11]Result!$C$40</f>
        <v>-1325.1654522786012</v>
      </c>
      <c r="K447" s="13">
        <f>+[13]Result!$C$40-[12]Result!$C$40</f>
        <v>12.012024664029013</v>
      </c>
      <c r="L447" s="13">
        <f>+[14]Result!$C$40-[13]Result!$C$40</f>
        <v>1082.7261808842923</v>
      </c>
      <c r="M447" s="13">
        <f>+[15]Result!$C$40-[14]Result!$C$40</f>
        <v>18154.01109429614</v>
      </c>
      <c r="N447" s="32">
        <f>+[16]Result!$C$40-[15]Result!$C$40</f>
        <v>-92.669080846444558</v>
      </c>
      <c r="O447" s="13">
        <f>+[17]Result!$C$40-[16]Result!$C$40</f>
        <v>-230.60677288274019</v>
      </c>
      <c r="P447" s="13">
        <f>+[18]Result!$C$40-[17]Result!$C$40</f>
        <v>-4252.2628998515975</v>
      </c>
      <c r="Q447" s="32">
        <f>+[19]Result!$C$40-[18]Result!$C$40</f>
        <v>69.109345984270476</v>
      </c>
      <c r="R447" s="32">
        <f>+[20]Result!$C$40-[19]Result!$C$40</f>
        <v>-2.9290235550743091</v>
      </c>
      <c r="S447" s="70">
        <f>+[22]Result!$C$40-[20]Result!$C$40</f>
        <v>-171.67365484373113</v>
      </c>
      <c r="AI447" s="73"/>
      <c r="AJ447" s="73"/>
      <c r="AK447" s="73"/>
    </row>
    <row r="448" spans="1:37" hidden="1" outlineLevel="2" x14ac:dyDescent="0.25">
      <c r="A448" s="16" t="s">
        <v>43</v>
      </c>
      <c r="B448" s="13">
        <f>+[1]Result!$C$41-[21]Result!$C$41</f>
        <v>466.42612410574293</v>
      </c>
      <c r="C448" s="13">
        <f>+[5]Result!$C$41-[1]Result!$C$41</f>
        <v>-624.82771745100763</v>
      </c>
      <c r="D448" s="32">
        <f>+[6]Result!$C$41-[5]Result!$C$41</f>
        <v>900.79678646503817</v>
      </c>
      <c r="E448" s="13">
        <f>+[7]Result!$C$41-[6]Result!$C$41</f>
        <v>-549.47784394716291</v>
      </c>
      <c r="F448" s="13">
        <f>+[8]Result!$C$41-[7]Result!$C$41</f>
        <v>684.73140712995155</v>
      </c>
      <c r="G448" s="32">
        <f>+[9]Result!$C$41-[8]Result!$C$41</f>
        <v>-293.2164586928302</v>
      </c>
      <c r="H448" s="13">
        <f>+[10]Result!$C$41-[9]Result!$C$41</f>
        <v>329.9476611007849</v>
      </c>
      <c r="I448" s="13">
        <f>+[11]Result!$C$41-[10]Result!$C$41</f>
        <v>388.85530612229377</v>
      </c>
      <c r="J448" s="32">
        <f>+[12]Result!$C$41-[11]Result!$C$41</f>
        <v>-1517.5711427222868</v>
      </c>
      <c r="K448" s="13">
        <f>+[13]Result!$C$41-[12]Result!$C$41</f>
        <v>9.3482631109800423</v>
      </c>
      <c r="L448" s="13">
        <f>+[14]Result!$C$41-[13]Result!$C$41</f>
        <v>826.11678241217669</v>
      </c>
      <c r="M448" s="13">
        <f>+[15]Result!$C$41-[14]Result!$C$41</f>
        <v>15539.414259494839</v>
      </c>
      <c r="N448" s="32">
        <f>+[16]Result!$C$41-[15]Result!$C$41</f>
        <v>-28.248812494307458</v>
      </c>
      <c r="O448" s="13">
        <f>+[17]Result!$C$41-[16]Result!$C$41</f>
        <v>-70.280841280911545</v>
      </c>
      <c r="P448" s="13">
        <f>+[18]Result!$C$41-[17]Result!$C$41</f>
        <v>-3875.7707040164009</v>
      </c>
      <c r="Q448" s="32">
        <f>+[19]Result!$C$41-[18]Result!$C$41</f>
        <v>41.062802931564875</v>
      </c>
      <c r="R448" s="32">
        <f>+[20]Result!$C$41-[19]Result!$C$41</f>
        <v>-0.91090813985374552</v>
      </c>
      <c r="S448" s="70">
        <f>+[22]Result!$C$41-[20]Result!$C$41</f>
        <v>-104.69532012581385</v>
      </c>
      <c r="AI448" s="73"/>
      <c r="AJ448" s="73"/>
      <c r="AK448" s="73"/>
    </row>
    <row r="449" spans="1:37" hidden="1" outlineLevel="2" x14ac:dyDescent="0.25">
      <c r="A449" s="16" t="s">
        <v>44</v>
      </c>
      <c r="B449" s="13">
        <f>+[1]Result!$C$42-[21]Result!$C$42</f>
        <v>356.09273106048931</v>
      </c>
      <c r="C449" s="13">
        <f>+[5]Result!$C$42-[1]Result!$C$42</f>
        <v>-477.03212246402109</v>
      </c>
      <c r="D449" s="32">
        <f>+[6]Result!$C$42-[5]Result!$C$42</f>
        <v>343.28077775392558</v>
      </c>
      <c r="E449" s="13">
        <f>+[7]Result!$C$42-[6]Result!$C$42</f>
        <v>-427.48384252783217</v>
      </c>
      <c r="F449" s="13">
        <f>+[8]Result!$C$42-[7]Result!$C$42</f>
        <v>535.65554845335646</v>
      </c>
      <c r="G449" s="32">
        <f>+[9]Result!$C$42-[8]Result!$C$42</f>
        <v>-438.98031166673536</v>
      </c>
      <c r="H449" s="13">
        <f>+[10]Result!$C$42-[9]Result!$C$42</f>
        <v>260.93249571881279</v>
      </c>
      <c r="I449" s="13">
        <f>+[11]Result!$C$42-[10]Result!$C$42</f>
        <v>311.26611671106184</v>
      </c>
      <c r="J449" s="32">
        <f>+[12]Result!$C$42-[11]Result!$C$42</f>
        <v>-1596.8427212450988</v>
      </c>
      <c r="K449" s="13">
        <f>+[13]Result!$C$42-[12]Result!$C$42</f>
        <v>7.7983055019649328</v>
      </c>
      <c r="L449" s="13">
        <f>+[14]Result!$C$42-[13]Result!$C$42</f>
        <v>677.46065555294081</v>
      </c>
      <c r="M449" s="13">
        <f>+[15]Result!$C$42-[14]Result!$C$42</f>
        <v>13322.576701577806</v>
      </c>
      <c r="N449" s="32">
        <f>+[16]Result!$C$42-[15]Result!$C$42</f>
        <v>-6.9636776244221892</v>
      </c>
      <c r="O449" s="13">
        <f>+[17]Result!$C$42-[16]Result!$C$42</f>
        <v>-17.131365781788077</v>
      </c>
      <c r="P449" s="13">
        <f>+[18]Result!$C$42-[17]Result!$C$42</f>
        <v>-3830.2723286794203</v>
      </c>
      <c r="Q449" s="32">
        <f>+[19]Result!$C$42-[18]Result!$C$42</f>
        <v>33.009147281885816</v>
      </c>
      <c r="R449" s="32">
        <f>+[20]Result!$C$42-[19]Result!$C$42</f>
        <v>0</v>
      </c>
      <c r="S449" s="70">
        <f>+[22]Result!$C$42-[20]Result!$C$42</f>
        <v>-85.324251561182791</v>
      </c>
      <c r="AI449" s="73"/>
      <c r="AJ449" s="73"/>
      <c r="AK449" s="73"/>
    </row>
    <row r="450" spans="1:37" hidden="1" outlineLevel="2" x14ac:dyDescent="0.25">
      <c r="A450" s="16" t="s">
        <v>45</v>
      </c>
      <c r="B450" s="13">
        <f>+[1]Result!$C$43-[21]Result!$C$43</f>
        <v>317.40873140608346</v>
      </c>
      <c r="C450" s="13">
        <f>+[5]Result!$C$43-[1]Result!$C$43</f>
        <v>-425.22780020090977</v>
      </c>
      <c r="D450" s="32">
        <f>+[6]Result!$C$43-[5]Result!$C$43</f>
        <v>231.62826892583325</v>
      </c>
      <c r="E450" s="13">
        <f>+[7]Result!$C$43-[6]Result!$C$43</f>
        <v>-382.58303345238528</v>
      </c>
      <c r="F450" s="13">
        <f>+[8]Result!$C$43-[7]Result!$C$43</f>
        <v>481.60216622709231</v>
      </c>
      <c r="G450" s="32">
        <f>+[9]Result!$C$43-[8]Result!$C$43</f>
        <v>-195.05645904276025</v>
      </c>
      <c r="H450" s="13">
        <f>+[10]Result!$C$43-[9]Result!$C$43</f>
        <v>230.54795055825525</v>
      </c>
      <c r="I450" s="13">
        <f>+[11]Result!$C$43-[10]Result!$C$43</f>
        <v>275.8920272348405</v>
      </c>
      <c r="J450" s="32">
        <f>+[12]Result!$C$43-[11]Result!$C$43</f>
        <v>-444.93716102929284</v>
      </c>
      <c r="K450" s="13">
        <f>+[13]Result!$C$43-[12]Result!$C$43</f>
        <v>8.6497354769071535</v>
      </c>
      <c r="L450" s="13">
        <f>+[14]Result!$C$43-[13]Result!$C$43</f>
        <v>550.32198998602871</v>
      </c>
      <c r="M450" s="13">
        <f>+[15]Result!$C$43-[14]Result!$C$43</f>
        <v>11071.462033163554</v>
      </c>
      <c r="N450" s="32">
        <f>+[16]Result!$C$43-[15]Result!$C$43</f>
        <v>1.2648155857955885</v>
      </c>
      <c r="O450" s="13">
        <f>+[17]Result!$C$43-[16]Result!$C$43</f>
        <v>3.1097469868887728</v>
      </c>
      <c r="P450" s="13">
        <f>+[18]Result!$C$43-[17]Result!$C$43</f>
        <v>-2712.4183852264709</v>
      </c>
      <c r="Q450" s="32">
        <f>+[19]Result!$C$43-[18]Result!$C$43</f>
        <v>21.214958437754376</v>
      </c>
      <c r="R450" s="32">
        <f>+[20]Result!$C$43-[19]Result!$C$43</f>
        <v>0</v>
      </c>
      <c r="S450" s="70">
        <f>+[22]Result!$C$43-[20]Result!$C$43</f>
        <v>-54.619945733607437</v>
      </c>
      <c r="AI450" s="73"/>
      <c r="AJ450" s="73"/>
      <c r="AK450" s="73"/>
    </row>
    <row r="451" spans="1:37" hidden="1" outlineLevel="2" x14ac:dyDescent="0.25">
      <c r="A451" s="16" t="s">
        <v>46</v>
      </c>
      <c r="B451" s="13">
        <f>+[1]Result!$C$44-[21]Result!$C$44</f>
        <v>253.39049222896028</v>
      </c>
      <c r="C451" s="13">
        <f>+[5]Result!$C$44-[1]Result!$C$44</f>
        <v>-339.46357932115643</v>
      </c>
      <c r="D451" s="32">
        <f>+[6]Result!$C$44-[5]Result!$C$44</f>
        <v>999.24881860069036</v>
      </c>
      <c r="E451" s="13">
        <f>+[7]Result!$C$44-[6]Result!$C$44</f>
        <v>-277.58326662370746</v>
      </c>
      <c r="F451" s="13">
        <f>+[8]Result!$C$44-[7]Result!$C$44</f>
        <v>351.10643058145433</v>
      </c>
      <c r="G451" s="32">
        <f>+[9]Result!$C$44-[8]Result!$C$44</f>
        <v>-306.63871963938436</v>
      </c>
      <c r="H451" s="13">
        <f>+[10]Result!$C$44-[9]Result!$C$44</f>
        <v>169.65237193531539</v>
      </c>
      <c r="I451" s="13">
        <f>+[11]Result!$C$44-[10]Result!$C$44</f>
        <v>205.66304038185081</v>
      </c>
      <c r="J451" s="32">
        <f>+[12]Result!$C$44-[11]Result!$C$44</f>
        <v>488.02599338966775</v>
      </c>
      <c r="K451" s="13">
        <f>+[13]Result!$C$44-[12]Result!$C$44</f>
        <v>5.9213379062966851</v>
      </c>
      <c r="L451" s="13">
        <f>+[14]Result!$C$44-[13]Result!$C$44</f>
        <v>369.45789505766243</v>
      </c>
      <c r="M451" s="13">
        <f>+[15]Result!$C$44-[14]Result!$C$44</f>
        <v>7634.1806827838172</v>
      </c>
      <c r="N451" s="32">
        <f>+[16]Result!$C$44-[15]Result!$C$44</f>
        <v>6.8638127822457022</v>
      </c>
      <c r="O451" s="13">
        <f>+[17]Result!$C$44-[16]Result!$C$44</f>
        <v>17.058439473472959</v>
      </c>
      <c r="P451" s="13">
        <f>+[18]Result!$C$44-[17]Result!$C$44</f>
        <v>-2201.8468296810884</v>
      </c>
      <c r="Q451" s="32">
        <f>+[19]Result!$C$44-[18]Result!$C$44</f>
        <v>15.162328532444008</v>
      </c>
      <c r="R451" s="32">
        <f>+[20]Result!$C$44-[19]Result!$C$44</f>
        <v>0</v>
      </c>
      <c r="S451" s="70">
        <f>+[22]Result!$C$44-[20]Result!$C$44</f>
        <v>-38.876834128669088</v>
      </c>
      <c r="AI451" s="73"/>
      <c r="AJ451" s="73"/>
      <c r="AK451" s="73"/>
    </row>
    <row r="452" spans="1:37" hidden="1" outlineLevel="2" x14ac:dyDescent="0.25">
      <c r="A452" s="16" t="s">
        <v>47</v>
      </c>
      <c r="B452" s="13">
        <f>+[1]Result!$C$45-[21]Result!$C$45</f>
        <v>100.68992476544008</v>
      </c>
      <c r="C452" s="13">
        <f>+[5]Result!$C$45-[1]Result!$C$45</f>
        <v>-135.87193502841001</v>
      </c>
      <c r="D452" s="32">
        <f>+[6]Result!$C$45-[5]Result!$C$45</f>
        <v>333.02068529380949</v>
      </c>
      <c r="E452" s="13">
        <f>+[7]Result!$C$45-[6]Result!$C$45</f>
        <v>-112.29844566489282</v>
      </c>
      <c r="F452" s="13">
        <f>+[8]Result!$C$45-[7]Result!$C$45</f>
        <v>142.94283681960997</v>
      </c>
      <c r="G452" s="32">
        <f>+[9]Result!$C$45-[8]Result!$C$45</f>
        <v>-141.46694434752499</v>
      </c>
      <c r="H452" s="13">
        <f>+[10]Result!$C$45-[9]Result!$C$45</f>
        <v>68.997504616127117</v>
      </c>
      <c r="I452" s="13">
        <f>+[11]Result!$C$45-[10]Result!$C$45</f>
        <v>84.132860059867653</v>
      </c>
      <c r="J452" s="32">
        <f>+[12]Result!$C$45-[11]Result!$C$45</f>
        <v>208.56557326991242</v>
      </c>
      <c r="K452" s="13">
        <f>+[13]Result!$C$45-[12]Result!$C$45</f>
        <v>2.4726020862608493</v>
      </c>
      <c r="L452" s="13">
        <f>+[14]Result!$C$45-[13]Result!$C$45</f>
        <v>151.83186364498306</v>
      </c>
      <c r="M452" s="13">
        <f>+[15]Result!$C$45-[14]Result!$C$45</f>
        <v>-11587.963557936579</v>
      </c>
      <c r="N452" s="32">
        <f>+[16]Result!$C$45-[15]Result!$C$45</f>
        <v>-355.85656201590973</v>
      </c>
      <c r="O452" s="13">
        <f>+[17]Result!$C$45-[16]Result!$C$45</f>
        <v>-883.99627228453392</v>
      </c>
      <c r="P452" s="13">
        <f>+[18]Result!$C$45-[17]Result!$C$45</f>
        <v>-6187.3812556754638</v>
      </c>
      <c r="Q452" s="32">
        <f>+[19]Result!$C$45-[18]Result!$C$45</f>
        <v>176.33732324704033</v>
      </c>
      <c r="R452" s="32">
        <f>+[20]Result!$C$45-[19]Result!$C$45</f>
        <v>4.2664929141428729</v>
      </c>
      <c r="S452" s="70">
        <f>+[22]Result!$C$45-[20]Result!$C$45</f>
        <v>-458.7596545523229</v>
      </c>
      <c r="AI452" s="73"/>
      <c r="AJ452" s="73"/>
      <c r="AK452" s="73"/>
    </row>
    <row r="453" spans="1:37" hidden="1" outlineLevel="2" x14ac:dyDescent="0.25">
      <c r="A453" s="16" t="s">
        <v>48</v>
      </c>
      <c r="B453" s="13">
        <f>+[1]Result!$C$46-[21]Result!$C$46</f>
        <v>41.14274245912452</v>
      </c>
      <c r="C453" s="13">
        <f>+[5]Result!$C$46-[1]Result!$C$46</f>
        <v>-55.83566681629577</v>
      </c>
      <c r="D453" s="32">
        <f>+[6]Result!$C$46-[5]Result!$C$46</f>
        <v>115.76015404854206</v>
      </c>
      <c r="E453" s="13">
        <f>+[7]Result!$C$46-[6]Result!$C$46</f>
        <v>-46.427771521220393</v>
      </c>
      <c r="F453" s="13">
        <f>+[8]Result!$C$46-[7]Result!$C$46</f>
        <v>59.131312878215795</v>
      </c>
      <c r="G453" s="32">
        <f>+[9]Result!$C$46-[8]Result!$C$46</f>
        <v>-59.521305840333071</v>
      </c>
      <c r="H453" s="13">
        <f>+[10]Result!$C$46-[9]Result!$C$46</f>
        <v>28.676508750501398</v>
      </c>
      <c r="I453" s="13">
        <f>+[11]Result!$C$46-[10]Result!$C$46</f>
        <v>34.821833801772527</v>
      </c>
      <c r="J453" s="32">
        <f>+[12]Result!$C$46-[11]Result!$C$46</f>
        <v>68.55956771944102</v>
      </c>
      <c r="K453" s="13">
        <f>+[13]Result!$C$46-[12]Result!$C$46</f>
        <v>1.0626493176660006</v>
      </c>
      <c r="L453" s="13">
        <f>+[14]Result!$C$46-[13]Result!$C$46</f>
        <v>63.952780682605862</v>
      </c>
      <c r="M453" s="13">
        <f>+[15]Result!$C$46-[14]Result!$C$46</f>
        <v>-4191.0922486760401</v>
      </c>
      <c r="N453" s="32">
        <f>+[16]Result!$C$46-[15]Result!$C$46</f>
        <v>-133.99570890938867</v>
      </c>
      <c r="O453" s="13">
        <f>+[17]Result!$C$46-[16]Result!$C$46</f>
        <v>-332.68241237469829</v>
      </c>
      <c r="P453" s="13">
        <f>+[18]Result!$C$46-[17]Result!$C$46</f>
        <v>-4294.4727486613556</v>
      </c>
      <c r="Q453" s="32">
        <f>+[19]Result!$C$46-[18]Result!$C$46</f>
        <v>81.752020852802161</v>
      </c>
      <c r="R453" s="32">
        <f>+[20]Result!$C$46-[19]Result!$C$46</f>
        <v>2.0433793746306037</v>
      </c>
      <c r="S453" s="70">
        <f>+[22]Result!$C$46-[20]Result!$C$46</f>
        <v>-213.93655026668057</v>
      </c>
      <c r="AI453" s="73"/>
      <c r="AJ453" s="73"/>
      <c r="AK453" s="73"/>
    </row>
    <row r="454" spans="1:37" hidden="1" outlineLevel="2" x14ac:dyDescent="0.25">
      <c r="A454" s="16" t="s">
        <v>49</v>
      </c>
      <c r="B454" s="13">
        <f>+[1]Result!$C$47-[21]Result!$C$47</f>
        <v>20.802786330267054</v>
      </c>
      <c r="C454" s="13">
        <f>+[5]Result!$C$47-[1]Result!$C$47</f>
        <v>-28.186465057883197</v>
      </c>
      <c r="D454" s="32">
        <f>+[6]Result!$C$47-[5]Result!$C$47</f>
        <v>45.037901989014017</v>
      </c>
      <c r="E454" s="13">
        <f>+[7]Result!$C$47-[6]Result!$C$47</f>
        <v>-23.816564877818337</v>
      </c>
      <c r="F454" s="13">
        <f>+[8]Result!$C$47-[7]Result!$C$47</f>
        <v>30.308165257127825</v>
      </c>
      <c r="G454" s="32">
        <f>+[9]Result!$C$47-[8]Result!$C$47</f>
        <v>-23.174120515718755</v>
      </c>
      <c r="H454" s="13">
        <f>+[10]Result!$C$47-[9]Result!$C$47</f>
        <v>14.542670772129668</v>
      </c>
      <c r="I454" s="13">
        <f>+[11]Result!$C$47-[10]Result!$C$47</f>
        <v>17.728127961419887</v>
      </c>
      <c r="J454" s="32">
        <f>+[12]Result!$C$47-[11]Result!$C$47</f>
        <v>27.055271532263532</v>
      </c>
      <c r="K454" s="13">
        <f>+[13]Result!$C$47-[12]Result!$C$47</f>
        <v>0.55614833719482704</v>
      </c>
      <c r="L454" s="13">
        <f>+[14]Result!$C$47-[13]Result!$C$47</f>
        <v>32.789708261581495</v>
      </c>
      <c r="M454" s="13">
        <f>+[15]Result!$C$47-[14]Result!$C$47</f>
        <v>-1508.6140503280371</v>
      </c>
      <c r="N454" s="32">
        <f>+[16]Result!$C$47-[15]Result!$C$47</f>
        <v>-53.730301896824585</v>
      </c>
      <c r="O454" s="13">
        <f>+[17]Result!$C$47-[16]Result!$C$47</f>
        <v>-132.23161898105127</v>
      </c>
      <c r="P454" s="13">
        <f>+[18]Result!$C$47-[17]Result!$C$47</f>
        <v>-1521.4241678589278</v>
      </c>
      <c r="Q454" s="32">
        <f>+[19]Result!$C$47-[18]Result!$C$47</f>
        <v>31.634704700136353</v>
      </c>
      <c r="R454" s="32">
        <f>+[20]Result!$C$47-[19]Result!$C$47</f>
        <v>0.78405090393562205</v>
      </c>
      <c r="S454" s="70">
        <f>+[22]Result!$C$47-[20]Result!$C$47</f>
        <v>-80.380475015860156</v>
      </c>
      <c r="AI454" s="73"/>
      <c r="AJ454" s="73"/>
      <c r="AK454" s="73"/>
    </row>
    <row r="455" spans="1:37" hidden="1" outlineLevel="2" x14ac:dyDescent="0.25">
      <c r="A455" s="16" t="s">
        <v>50</v>
      </c>
      <c r="B455" s="13">
        <f>+[1]Result!$C$48-[21]Result!$C$48</f>
        <v>12.297363352603327</v>
      </c>
      <c r="C455" s="13">
        <f>+[5]Result!$C$48-[1]Result!$C$48</f>
        <v>-16.665852381801585</v>
      </c>
      <c r="D455" s="32">
        <f>+[6]Result!$C$48-[5]Result!$C$48</f>
        <v>31.409119010687562</v>
      </c>
      <c r="E455" s="13">
        <f>+[7]Result!$C$48-[6]Result!$C$48</f>
        <v>-13.783851652172245</v>
      </c>
      <c r="F455" s="13">
        <f>+[8]Result!$C$48-[7]Result!$C$48</f>
        <v>17.663723595583292</v>
      </c>
      <c r="G455" s="32">
        <f>+[9]Result!$C$48-[8]Result!$C$48</f>
        <v>-9.7446118687836929</v>
      </c>
      <c r="H455" s="13">
        <f>+[10]Result!$C$48-[9]Result!$C$48</f>
        <v>8.4365194099262908</v>
      </c>
      <c r="I455" s="13">
        <f>+[11]Result!$C$48-[10]Result!$C$48</f>
        <v>10.326419724041614</v>
      </c>
      <c r="J455" s="32">
        <f>+[12]Result!$C$48-[11]Result!$C$48</f>
        <v>15.855167516925405</v>
      </c>
      <c r="K455" s="13">
        <f>+[13]Result!$C$48-[12]Result!$C$48</f>
        <v>0.32919577568924296</v>
      </c>
      <c r="L455" s="13">
        <f>+[14]Result!$C$48-[13]Result!$C$48</f>
        <v>19.085061017155681</v>
      </c>
      <c r="M455" s="13">
        <f>+[15]Result!$C$48-[14]Result!$C$48</f>
        <v>-665.29902174294193</v>
      </c>
      <c r="N455" s="32">
        <f>+[16]Result!$C$48-[15]Result!$C$48</f>
        <v>-26.064480220034056</v>
      </c>
      <c r="O455" s="13">
        <f>+[17]Result!$C$48-[16]Result!$C$48</f>
        <v>-64.324611080398654</v>
      </c>
      <c r="P455" s="13">
        <f>+[18]Result!$C$48-[17]Result!$C$48</f>
        <v>-469.26944053624698</v>
      </c>
      <c r="Q455" s="32">
        <f>+[19]Result!$C$48-[18]Result!$C$48</f>
        <v>13.393212885470575</v>
      </c>
      <c r="R455" s="32">
        <f>+[20]Result!$C$48-[19]Result!$C$48</f>
        <v>0.33488913365931694</v>
      </c>
      <c r="S455" s="70">
        <f>+[22]Result!$C$48-[20]Result!$C$48</f>
        <v>-33.354601844840772</v>
      </c>
      <c r="AI455" s="73"/>
      <c r="AJ455" s="73"/>
      <c r="AK455" s="73"/>
    </row>
    <row r="456" spans="1:37" hidden="1" outlineLevel="2" x14ac:dyDescent="0.25">
      <c r="A456" s="16" t="s">
        <v>51</v>
      </c>
      <c r="B456" s="13">
        <f>+[1]Result!$C$49-[21]Result!$C$49</f>
        <v>6.801346587578422</v>
      </c>
      <c r="C456" s="13">
        <f>+[5]Result!$C$49-[1]Result!$C$49</f>
        <v>-9.2201887475765716</v>
      </c>
      <c r="D456" s="32">
        <f>+[6]Result!$C$49-[5]Result!$C$49</f>
        <v>14.695813040988014</v>
      </c>
      <c r="E456" s="13">
        <f>+[7]Result!$C$49-[6]Result!$C$49</f>
        <v>-7.6843192591655054</v>
      </c>
      <c r="F456" s="13">
        <f>+[8]Result!$C$49-[7]Result!$C$49</f>
        <v>9.8554119814646697</v>
      </c>
      <c r="G456" s="32">
        <f>+[9]Result!$C$49-[8]Result!$C$49</f>
        <v>-7.1545738459151096</v>
      </c>
      <c r="H456" s="13">
        <f>+[10]Result!$C$49-[9]Result!$C$49</f>
        <v>4.7623729535285122</v>
      </c>
      <c r="I456" s="13">
        <f>+[11]Result!$C$49-[10]Result!$C$49</f>
        <v>5.8048864371762647</v>
      </c>
      <c r="J456" s="32">
        <f>+[12]Result!$C$49-[11]Result!$C$49</f>
        <v>8.34832906145175</v>
      </c>
      <c r="K456" s="13">
        <f>+[13]Result!$C$49-[12]Result!$C$49</f>
        <v>0.1903456746084089</v>
      </c>
      <c r="L456" s="13">
        <f>+[14]Result!$C$49-[13]Result!$C$49</f>
        <v>10.803309840816837</v>
      </c>
      <c r="M456" s="13">
        <f>+[15]Result!$C$49-[14]Result!$C$49</f>
        <v>-334.19844075976664</v>
      </c>
      <c r="N456" s="32">
        <f>+[16]Result!$C$49-[15]Result!$C$49</f>
        <v>-13.756297187645032</v>
      </c>
      <c r="O456" s="13">
        <f>+[17]Result!$C$49-[16]Result!$C$49</f>
        <v>-34.053764821925142</v>
      </c>
      <c r="P456" s="13">
        <f>+[18]Result!$C$49-[17]Result!$C$49</f>
        <v>-180.29914513700533</v>
      </c>
      <c r="Q456" s="32">
        <f>+[19]Result!$C$49-[18]Result!$C$49</f>
        <v>6.4623899529738082</v>
      </c>
      <c r="R456" s="32">
        <f>+[20]Result!$C$49-[19]Result!$C$49</f>
        <v>0.16414730504186537</v>
      </c>
      <c r="S456" s="70">
        <f>+[22]Result!$C$49-[20]Result!$C$49</f>
        <v>-16.339412466871522</v>
      </c>
      <c r="AI456" s="73"/>
      <c r="AJ456" s="73"/>
      <c r="AK456" s="73"/>
    </row>
    <row r="457" spans="1:37" hidden="1" outlineLevel="2" x14ac:dyDescent="0.25">
      <c r="A457" s="16" t="s">
        <v>52</v>
      </c>
      <c r="B457" s="13">
        <f>+[1]Result!$C$50-[21]Result!$C$50</f>
        <v>3.7219609179722113</v>
      </c>
      <c r="C457" s="13">
        <f>+[5]Result!$C$50-[1]Result!$C$50</f>
        <v>-5.036578633025897</v>
      </c>
      <c r="D457" s="32">
        <f>+[6]Result!$C$50-[5]Result!$C$50</f>
        <v>8.4078593792334999</v>
      </c>
      <c r="E457" s="13">
        <f>+[7]Result!$C$50-[6]Result!$C$50</f>
        <v>-4.1724062932741361</v>
      </c>
      <c r="F457" s="13">
        <f>+[8]Result!$C$50-[7]Result!$C$50</f>
        <v>5.3473142201334838</v>
      </c>
      <c r="G457" s="32">
        <f>+[9]Result!$C$50-[8]Result!$C$50</f>
        <v>-4.0280519040011598</v>
      </c>
      <c r="H457" s="13">
        <f>+[10]Result!$C$50-[9]Result!$C$50</f>
        <v>2.5572136809048231</v>
      </c>
      <c r="I457" s="13">
        <f>+[11]Result!$C$50-[10]Result!$C$50</f>
        <v>3.1651028113835196</v>
      </c>
      <c r="J457" s="32">
        <f>+[12]Result!$C$50-[11]Result!$C$50</f>
        <v>5.7619409995623698</v>
      </c>
      <c r="K457" s="13">
        <f>+[13]Result!$C$50-[12]Result!$C$50</f>
        <v>0.10452084103198445</v>
      </c>
      <c r="L457" s="13">
        <f>+[14]Result!$C$50-[13]Result!$C$50</f>
        <v>5.8047564348572536</v>
      </c>
      <c r="M457" s="13">
        <f>+[15]Result!$C$50-[14]Result!$C$50</f>
        <v>-162.79313069423534</v>
      </c>
      <c r="N457" s="32">
        <f>+[16]Result!$C$50-[15]Result!$C$50</f>
        <v>-7.0003782620144079</v>
      </c>
      <c r="O457" s="13">
        <f>+[17]Result!$C$50-[16]Result!$C$50</f>
        <v>-17.313730464900289</v>
      </c>
      <c r="P457" s="13">
        <f>+[18]Result!$C$50-[17]Result!$C$50</f>
        <v>-90.488192771078104</v>
      </c>
      <c r="Q457" s="32">
        <f>+[19]Result!$C$50-[18]Result!$C$50</f>
        <v>3.1689317735065288</v>
      </c>
      <c r="R457" s="32">
        <f>+[20]Result!$C$50-[19]Result!$C$50</f>
        <v>0.17051893794587158</v>
      </c>
      <c r="S457" s="70">
        <f>+[22]Result!$C$50-[20]Result!$C$50</f>
        <v>-8.2730742742600114</v>
      </c>
      <c r="AI457" s="73"/>
      <c r="AJ457" s="73"/>
      <c r="AK457" s="73"/>
    </row>
    <row r="458" spans="1:37" hidden="1" outlineLevel="2" x14ac:dyDescent="0.25">
      <c r="A458" s="16" t="s">
        <v>53</v>
      </c>
      <c r="B458" s="13">
        <f>+[1]Result!$C$51-[21]Result!$C$51</f>
        <v>1.9168795509733627</v>
      </c>
      <c r="C458" s="13">
        <f>+[5]Result!$C$51-[1]Result!$C$51</f>
        <v>-2.5945737403789906</v>
      </c>
      <c r="D458" s="32">
        <f>+[6]Result!$C$51-[5]Result!$C$51</f>
        <v>4.1857581921221509</v>
      </c>
      <c r="E458" s="13">
        <f>+[7]Result!$C$51-[6]Result!$C$51</f>
        <v>-2.1605149463747892</v>
      </c>
      <c r="F458" s="13">
        <f>+[8]Result!$C$51-[7]Result!$C$51</f>
        <v>2.7816097507512154</v>
      </c>
      <c r="G458" s="32">
        <f>+[9]Result!$C$51-[8]Result!$C$51</f>
        <v>-2.8271617405479503</v>
      </c>
      <c r="H458" s="13">
        <f>+[10]Result!$C$51-[9]Result!$C$51</f>
        <v>1.3361781629292295</v>
      </c>
      <c r="I458" s="13">
        <f>+[11]Result!$C$51-[10]Result!$C$51</f>
        <v>1.6620140569702073</v>
      </c>
      <c r="J458" s="32">
        <f>+[12]Result!$C$51-[11]Result!$C$51</f>
        <v>3.9588032940081845</v>
      </c>
      <c r="K458" s="13">
        <f>+[13]Result!$C$51-[12]Result!$C$51</f>
        <v>5.5002871627635841E-2</v>
      </c>
      <c r="L458" s="13">
        <f>+[14]Result!$C$51-[13]Result!$C$51</f>
        <v>3.0008039807394411</v>
      </c>
      <c r="M458" s="13">
        <f>+[15]Result!$C$51-[14]Result!$C$51</f>
        <v>-59.941723281145116</v>
      </c>
      <c r="N458" s="32">
        <f>+[16]Result!$C$51-[15]Result!$C$51</f>
        <v>-3.0090851842563922</v>
      </c>
      <c r="O458" s="13">
        <f>+[17]Result!$C$51-[16]Result!$C$51</f>
        <v>-7.4654285948502235</v>
      </c>
      <c r="P458" s="13">
        <f>+[18]Result!$C$51-[17]Result!$C$51</f>
        <v>-53.513669042233175</v>
      </c>
      <c r="Q458" s="32">
        <f>+[19]Result!$C$51-[18]Result!$C$51</f>
        <v>1.4687285940690344</v>
      </c>
      <c r="R458" s="32">
        <f>+[20]Result!$C$51-[19]Result!$C$51</f>
        <v>4.0843620172296369E-2</v>
      </c>
      <c r="S458" s="70">
        <f>+[22]Result!$C$51-[20]Result!$C$51</f>
        <v>-3.8185865532869911</v>
      </c>
      <c r="AI458" s="73"/>
      <c r="AJ458" s="73"/>
      <c r="AK458" s="73"/>
    </row>
    <row r="459" spans="1:37" hidden="1" outlineLevel="2" x14ac:dyDescent="0.25">
      <c r="A459" s="16" t="s">
        <v>54</v>
      </c>
      <c r="B459" s="13">
        <f>+[1]Result!$C$52-[21]Result!$C$52</f>
        <v>0.85885696580357163</v>
      </c>
      <c r="C459" s="13">
        <f>+[5]Result!$C$52-[1]Result!$C$52</f>
        <v>-1.1627428146256946</v>
      </c>
      <c r="D459" s="32">
        <f>+[6]Result!$C$52-[5]Result!$C$52</f>
        <v>2.8200859765876665</v>
      </c>
      <c r="E459" s="13">
        <f>+[7]Result!$C$52-[6]Result!$C$52</f>
        <v>-0.9471816734944305</v>
      </c>
      <c r="F459" s="13">
        <f>+[8]Result!$C$52-[7]Result!$C$52</f>
        <v>1.2167705815279248</v>
      </c>
      <c r="G459" s="32">
        <f>+[9]Result!$C$52-[8]Result!$C$52</f>
        <v>-2.1564955279818783</v>
      </c>
      <c r="H459" s="13">
        <f>+[10]Result!$C$52-[9]Result!$C$52</f>
        <v>0.60568220971952513</v>
      </c>
      <c r="I459" s="13">
        <f>+[11]Result!$C$52-[10]Result!$C$52</f>
        <v>0.74153836945445306</v>
      </c>
      <c r="J459" s="32">
        <f>+[12]Result!$C$52-[11]Result!$C$52</f>
        <v>2.0566645410433004</v>
      </c>
      <c r="K459" s="13">
        <f>+[13]Result!$C$52-[12]Result!$C$52</f>
        <v>2.4961032414616113E-2</v>
      </c>
      <c r="L459" s="13">
        <f>+[14]Result!$C$52-[13]Result!$C$52</f>
        <v>1.3314929857182563</v>
      </c>
      <c r="M459" s="13">
        <f>+[15]Result!$C$52-[14]Result!$C$52</f>
        <v>-6.62435955283987</v>
      </c>
      <c r="N459" s="32">
        <f>+[16]Result!$C$52-[15]Result!$C$52</f>
        <v>-0.83657746536980682</v>
      </c>
      <c r="O459" s="13">
        <f>+[17]Result!$C$52-[16]Result!$C$52</f>
        <v>-2.0632994302062215</v>
      </c>
      <c r="P459" s="13">
        <f>+[18]Result!$C$52-[17]Result!$C$52</f>
        <v>-31.753425209329599</v>
      </c>
      <c r="Q459" s="32">
        <f>+[19]Result!$C$52-[18]Result!$C$52</f>
        <v>0.55281932093780028</v>
      </c>
      <c r="R459" s="32">
        <f>+[20]Result!$C$52-[19]Result!$C$52</f>
        <v>1.5203326550590646E-2</v>
      </c>
      <c r="S459" s="70">
        <f>+[22]Result!$C$52-[20]Result!$C$52</f>
        <v>-1.4217744108949262</v>
      </c>
      <c r="AI459" s="73"/>
      <c r="AJ459" s="73"/>
      <c r="AK459" s="73"/>
    </row>
    <row r="460" spans="1:37" hidden="1" outlineLevel="2" x14ac:dyDescent="0.25">
      <c r="A460" s="16" t="s">
        <v>55</v>
      </c>
      <c r="B460" s="13">
        <f>+[1]Result!$C$53-[21]Result!$C$53</f>
        <v>0.31638908534844212</v>
      </c>
      <c r="C460" s="13">
        <f>+[5]Result!$C$53-[1]Result!$C$53</f>
        <v>-0.42752613199387035</v>
      </c>
      <c r="D460" s="32">
        <f>+[6]Result!$C$53-[5]Result!$C$53</f>
        <v>1.3076998103355955</v>
      </c>
      <c r="E460" s="13">
        <f>+[7]Result!$C$53-[6]Result!$C$53</f>
        <v>-0.33823756052550813</v>
      </c>
      <c r="F460" s="13">
        <f>+[8]Result!$C$53-[7]Result!$C$53</f>
        <v>0.43418792387707583</v>
      </c>
      <c r="G460" s="32">
        <f>+[9]Result!$C$53-[8]Result!$C$53</f>
        <v>-0.2662656060916273</v>
      </c>
      <c r="H460" s="13">
        <f>+[10]Result!$C$53-[9]Result!$C$53</f>
        <v>0.20593283545112762</v>
      </c>
      <c r="I460" s="13">
        <f>+[11]Result!$C$53-[10]Result!$C$53</f>
        <v>0.25564566542696632</v>
      </c>
      <c r="J460" s="32">
        <f>+[12]Result!$C$53-[11]Result!$C$53</f>
        <v>0.89304131513732798</v>
      </c>
      <c r="K460" s="13">
        <f>+[13]Result!$C$53-[12]Result!$C$53</f>
        <v>8.5033327911805401E-3</v>
      </c>
      <c r="L460" s="13">
        <f>+[14]Result!$C$53-[13]Result!$C$53</f>
        <v>0.44525837773879218</v>
      </c>
      <c r="M460" s="13">
        <f>+[15]Result!$C$53-[14]Result!$C$53</f>
        <v>7.6289334944714087</v>
      </c>
      <c r="N460" s="32">
        <f>+[16]Result!$C$53-[15]Result!$C$53</f>
        <v>-2.459194294949818E-2</v>
      </c>
      <c r="O460" s="13">
        <f>+[17]Result!$C$53-[16]Result!$C$53</f>
        <v>-6.138613083127753E-2</v>
      </c>
      <c r="P460" s="13">
        <f>+[18]Result!$C$53-[17]Result!$C$53</f>
        <v>-12.508535588580335</v>
      </c>
      <c r="Q460" s="32">
        <f>+[19]Result!$C$53-[18]Result!$C$53</f>
        <v>0.11099601743328691</v>
      </c>
      <c r="R460" s="32">
        <f>+[20]Result!$C$53-[19]Result!$C$53</f>
        <v>6.3134900056027732E-3</v>
      </c>
      <c r="S460" s="70">
        <f>+[22]Result!$C$53-[20]Result!$C$53</f>
        <v>-0.28716355939089766</v>
      </c>
      <c r="AI460" s="73"/>
      <c r="AJ460" s="73"/>
      <c r="AK460" s="73"/>
    </row>
    <row r="461" spans="1:37" hidden="1" outlineLevel="2" x14ac:dyDescent="0.25">
      <c r="A461" s="16" t="s">
        <v>56</v>
      </c>
      <c r="B461" s="13">
        <f>+[1]Result!$C$54-[21]Result!$C$54</f>
        <v>8.2219018321512571E-2</v>
      </c>
      <c r="C461" s="13">
        <f>+[5]Result!$C$54-[1]Result!$C$54</f>
        <v>-0.11087341181436061</v>
      </c>
      <c r="D461" s="32">
        <f>+[6]Result!$C$54-[5]Result!$C$54</f>
        <v>0.51519045594723911</v>
      </c>
      <c r="E461" s="13">
        <f>+[7]Result!$C$54-[6]Result!$C$54</f>
        <v>-8.1012722980000174E-2</v>
      </c>
      <c r="F461" s="13">
        <f>+[8]Result!$C$54-[7]Result!$C$54</f>
        <v>0.10468150158206857</v>
      </c>
      <c r="G461" s="32">
        <f>+[9]Result!$C$54-[8]Result!$C$54</f>
        <v>-0.20065179769741004</v>
      </c>
      <c r="H461" s="13">
        <f>+[10]Result!$C$54-[9]Result!$C$54</f>
        <v>5.2293032887074098E-2</v>
      </c>
      <c r="I461" s="13">
        <f>+[11]Result!$C$54-[10]Result!$C$54</f>
        <v>6.5258417412909608E-2</v>
      </c>
      <c r="J461" s="32">
        <f>+[12]Result!$C$54-[11]Result!$C$54</f>
        <v>0.24856701501781631</v>
      </c>
      <c r="K461" s="13">
        <f>+[13]Result!$C$54-[12]Result!$C$54</f>
        <v>2.1911065781190509E-3</v>
      </c>
      <c r="L461" s="13">
        <f>+[14]Result!$C$54-[13]Result!$C$54</f>
        <v>0.11311666102792195</v>
      </c>
      <c r="M461" s="13">
        <f>+[15]Result!$C$54-[14]Result!$C$54</f>
        <v>2.1691380668721774</v>
      </c>
      <c r="N461" s="32">
        <f>+[16]Result!$C$54-[15]Result!$C$54</f>
        <v>4.9118890180204411E-5</v>
      </c>
      <c r="O461" s="13">
        <f>+[17]Result!$C$54-[16]Result!$C$54</f>
        <v>1.2416865519588281E-4</v>
      </c>
      <c r="P461" s="13">
        <f>+[18]Result!$C$54-[17]Result!$C$54</f>
        <v>-5.6933701567544407E-5</v>
      </c>
      <c r="Q461" s="32">
        <f>+[19]Result!$C$54-[18]Result!$C$54</f>
        <v>-1.6597719044246159E-5</v>
      </c>
      <c r="R461" s="32">
        <f>+[20]Result!$C$54-[19]Result!$C$54</f>
        <v>-9.7204384425690973E-7</v>
      </c>
      <c r="S461" s="70">
        <f>+[22]Result!$C$54-[20]Result!$C$54</f>
        <v>4.3223086647870956E-5</v>
      </c>
      <c r="AI461" s="73"/>
      <c r="AJ461" s="73"/>
      <c r="AK461" s="73"/>
    </row>
    <row r="462" spans="1:37" collapsed="1" x14ac:dyDescent="0.25">
      <c r="A462" s="12" t="s">
        <v>90</v>
      </c>
      <c r="B462" s="13">
        <f>+SUM([1]Result!$K$5:$K$54)-SUM([21]Result!$K$5:$K$54)</f>
        <v>987097.30057477951</v>
      </c>
      <c r="C462" s="13">
        <f>+SUM([5]Result!$K$5:$K$54)-SUM([1]Result!$K$5:$K$54)</f>
        <v>-1672642.316460371</v>
      </c>
      <c r="D462" s="32">
        <f>+SUM([6]Result!$K$5:$K$54)-SUM([5]Result!$K$5:$K$54)</f>
        <v>-32409740.424649477</v>
      </c>
      <c r="E462" s="13">
        <f>+SUM([7]Result!$K$5:$K$54)-SUM([6]Result!$K$5:$K$54)</f>
        <v>-3784033.1792185307</v>
      </c>
      <c r="F462" s="13">
        <f>+SUM([8]Result!$K$5:$K$54)-SUM([7]Result!$K$5:$K$54)</f>
        <v>1245487.0398031473</v>
      </c>
      <c r="G462" s="32">
        <f>+SUM([9]Result!$K$5:$K$54)-SUM([8]Result!$K$5:$K$54)</f>
        <v>32303942.07989347</v>
      </c>
      <c r="H462" s="13">
        <f>+SUM([10]Result!$K$5:$K$54)-SUM([9]Result!$K$5:$K$54)</f>
        <v>1272731.1105713844</v>
      </c>
      <c r="I462" s="13">
        <f>+SUM([11]Result!$K$5:$K$54)-SUM([10]Result!$K$5:$K$54)</f>
        <v>-128284.51732873917</v>
      </c>
      <c r="J462" s="32">
        <f>+SUM([12]Result!$K$5:$K$54)-SUM([11]Result!$K$5:$K$54)</f>
        <v>-3120663.0612255335</v>
      </c>
      <c r="K462" s="13">
        <f>+SUM([13]Result!$K$5:$K$54)-SUM([12]Result!$K$5:$K$54)</f>
        <v>-491380.55487835407</v>
      </c>
      <c r="L462" s="13">
        <f>+SUM([14]Result!$K$5:$K$54)-SUM([13]Result!$K$5:$K$54)</f>
        <v>1549816.1018503904</v>
      </c>
      <c r="M462" s="32">
        <f>+SUM([15]Result!$K$5:$K$54)-SUM([14]Result!$K$5:$K$54)</f>
        <v>103992334.39380503</v>
      </c>
      <c r="N462" s="13">
        <f>+SUM([16]Result!$K$5:$K$54)-SUM([15]Result!$K$5:$K$54)</f>
        <v>-676549.34521484375</v>
      </c>
      <c r="O462" s="13">
        <f>+SUM([17]Result!$K$5:$K$54)-SUM([16]Result!$K$5:$K$54)</f>
        <v>-1994435.8262432814</v>
      </c>
      <c r="P462" s="32">
        <f>+SUM([18]Result!$K$5:$K$54)-SUM([17]Result!$K$5:$K$54)</f>
        <v>-104597212.95130301</v>
      </c>
      <c r="Q462" s="13">
        <f>+SUM([19]Result!$K$5:$K$54)-SUM([18]Result!$K$5:$K$54)</f>
        <v>255299.35097503662</v>
      </c>
      <c r="R462" s="13">
        <f>+SUM([20]Result!$K$5:$K$54)-SUM([19]Result!$K$5:$K$54)</f>
        <v>-1165732.8671293259</v>
      </c>
      <c r="S462" s="70">
        <f>+SUM([22]Result!$K$5:$K$54)-SUM([20]Result!$K$5:$K$54)</f>
        <v>-609614.69558763504</v>
      </c>
      <c r="T462" s="13">
        <f>+B462-(B463+B469+B475+B486+B497)</f>
        <v>1.9802246242761612E-7</v>
      </c>
      <c r="U462" s="13">
        <f t="shared" ref="U462:W462" si="343">+C462-(C463+C469+C475+C486+C497)</f>
        <v>-2.3003667593002319E-7</v>
      </c>
      <c r="V462" s="13">
        <f t="shared" si="343"/>
        <v>-4.4330954551696777E-7</v>
      </c>
      <c r="W462" s="13">
        <f t="shared" si="343"/>
        <v>5.6158751249313354E-7</v>
      </c>
      <c r="X462" s="13">
        <f t="shared" ref="X462" si="344">+F462-(F463+F469+F475+F486+F497)</f>
        <v>1.0477378964424133E-7</v>
      </c>
      <c r="Y462" s="13">
        <f t="shared" ref="Y462:AE462" si="345">+G462-(G463+G469+G475+G486+G497)</f>
        <v>-1.3411045074462891E-7</v>
      </c>
      <c r="Z462" s="13">
        <f t="shared" si="345"/>
        <v>-1.4668330550193787E-8</v>
      </c>
      <c r="AA462" s="13">
        <f t="shared" si="345"/>
        <v>2.1478626877069473E-7</v>
      </c>
      <c r="AB462" s="13">
        <f t="shared" si="345"/>
        <v>-5.9558078646659851E-7</v>
      </c>
      <c r="AC462" s="13">
        <f t="shared" si="345"/>
        <v>2.043088898062706E-7</v>
      </c>
      <c r="AD462" s="13">
        <f t="shared" si="345"/>
        <v>-2.5867484509944916E-7</v>
      </c>
      <c r="AE462" s="13">
        <f t="shared" si="345"/>
        <v>7.0035457611083984E-7</v>
      </c>
      <c r="AF462" s="13">
        <f t="shared" ref="AF462" si="346">+N462-(N463+N469+N475+N486+N497)</f>
        <v>-3.511086106300354E-7</v>
      </c>
      <c r="AG462" s="13">
        <f t="shared" ref="AG462:AH462" si="347">+O462-(O463+O469+O475+O486+O497)</f>
        <v>2.7799978852272034E-7</v>
      </c>
      <c r="AH462" s="13">
        <f t="shared" si="347"/>
        <v>0</v>
      </c>
      <c r="AI462" s="73">
        <f t="shared" ref="AI462" si="348">+Q462-(Q463+Q469+Q475+Q486+Q497)</f>
        <v>-2.3026950657367706E-7</v>
      </c>
      <c r="AJ462" s="73">
        <f t="shared" ref="AJ462:AK462" si="349">+R462-(R463+R469+R475+R486+R497)</f>
        <v>-6.6123902797698975E-8</v>
      </c>
      <c r="AK462" s="73">
        <f t="shared" si="349"/>
        <v>4.3911859393119812E-7</v>
      </c>
    </row>
    <row r="463" spans="1:37" hidden="1" outlineLevel="1" x14ac:dyDescent="0.25">
      <c r="A463" s="15" t="s">
        <v>2</v>
      </c>
      <c r="B463" s="13">
        <f>+'[1]Stat by Mat'!$M$3-'[21]Stat by Mat'!$M$3</f>
        <v>306248.26305341721</v>
      </c>
      <c r="C463" s="13">
        <f>+'[5]Stat by Mat'!$M$3-'[1]Stat by Mat'!$M$3</f>
        <v>-623506.44979333878</v>
      </c>
      <c r="D463" s="32">
        <f>+'[6]Stat by Mat'!$M$3-'[5]Stat by Mat'!$M$3</f>
        <v>-42697288.256077886</v>
      </c>
      <c r="E463" s="13">
        <f>+'[7]Stat by Mat'!$M$3-'[6]Stat by Mat'!$M$3</f>
        <v>-1435021.0854007006</v>
      </c>
      <c r="F463" s="13">
        <f>+'[8]Stat by Mat'!$M$3-'[7]Stat by Mat'!$M$3</f>
        <v>262316.35996079445</v>
      </c>
      <c r="G463" s="32">
        <f>+'[9]Stat by Mat'!$M$3-'[8]Stat by Mat'!$M$3</f>
        <v>31880567.846008897</v>
      </c>
      <c r="H463" s="13">
        <f>+'[10]Stat by Mat'!$M$3-'[9]Stat by Mat'!$M$3</f>
        <v>455792.99577367306</v>
      </c>
      <c r="I463" s="13">
        <f>+'[11]Stat by Mat'!$M$3-'[10]Stat by Mat'!$M$3</f>
        <v>-205320.52739286423</v>
      </c>
      <c r="J463" s="32">
        <f>+'[12]Stat by Mat'!$M$3-'[11]Stat by Mat'!$M$3</f>
        <v>-1895800.7153972387</v>
      </c>
      <c r="K463" s="13">
        <f>+'[13]Stat by Mat'!$M$3-'[12]Stat by Mat'!$M$3</f>
        <v>-165365.90228104591</v>
      </c>
      <c r="L463" s="13">
        <f>+'[14]Stat by Mat'!$M$3-'[13]Stat by Mat'!$M$3</f>
        <v>244991.3566737175</v>
      </c>
      <c r="M463" s="13">
        <f>+'[15]Stat by Mat'!$M$3-'[14]Stat by Mat'!$M$3</f>
        <v>67967064.721944213</v>
      </c>
      <c r="N463" s="32">
        <f>+'[16]Stat by Mat'!$M$3-'[15]Stat by Mat'!$M$3</f>
        <v>-190334.68591451645</v>
      </c>
      <c r="O463" s="13">
        <f>+'[17]Stat by Mat'!$M$3-'[16]Stat by Mat'!$M$3</f>
        <v>-462573.30778980255</v>
      </c>
      <c r="P463" s="13">
        <f>+'[18]Stat by Mat'!$M$3-'[17]Stat by Mat'!$M$3</f>
        <v>-99683148.544593215</v>
      </c>
      <c r="Q463" s="32">
        <f>+'[19]Stat by Mat'!$M$3-'[18]Stat by Mat'!$M$3</f>
        <v>131676.88029587269</v>
      </c>
      <c r="R463" s="32">
        <f>+'[20]Stat by Mat'!$M$3-'[19]Stat by Mat'!$M$3</f>
        <v>-556894.21211981773</v>
      </c>
      <c r="S463" s="70">
        <f>+'[22]Stat by Mat'!$M$3-'[20]Stat by Mat'!$M$3</f>
        <v>-92797.686791300774</v>
      </c>
      <c r="T463" s="13">
        <f>+B463-SUM(B464:B468)</f>
        <v>-6.7055225372314453E-8</v>
      </c>
      <c r="U463" s="13">
        <f t="shared" ref="U463:W463" si="350">+C463-SUM(C464:C468)</f>
        <v>8.1956386566162109E-8</v>
      </c>
      <c r="V463" s="13">
        <f t="shared" si="350"/>
        <v>0</v>
      </c>
      <c r="W463" s="13">
        <f t="shared" si="350"/>
        <v>5.2154064178466797E-8</v>
      </c>
      <c r="X463" s="13">
        <f t="shared" ref="X463" si="351">+F463-SUM(F464:F468)</f>
        <v>-1.1920928955078125E-7</v>
      </c>
      <c r="Y463" s="13">
        <f t="shared" ref="Y463:AE463" si="352">+G463-SUM(G464:G468)</f>
        <v>-5.2154064178466797E-8</v>
      </c>
      <c r="Z463" s="13">
        <f t="shared" si="352"/>
        <v>0</v>
      </c>
      <c r="AA463" s="13">
        <f t="shared" si="352"/>
        <v>5.9604644775390625E-8</v>
      </c>
      <c r="AB463" s="13">
        <f t="shared" si="352"/>
        <v>-1.0430812835693359E-7</v>
      </c>
      <c r="AC463" s="13">
        <f t="shared" si="352"/>
        <v>1.4901161193847656E-7</v>
      </c>
      <c r="AD463" s="13">
        <f t="shared" si="352"/>
        <v>5.2154064178466797E-8</v>
      </c>
      <c r="AE463" s="13">
        <f t="shared" si="352"/>
        <v>0</v>
      </c>
      <c r="AF463" s="13">
        <f t="shared" ref="AF463" si="353">+N463-SUM(N464:N468)</f>
        <v>2.2351741790771484E-8</v>
      </c>
      <c r="AG463" s="13">
        <f t="shared" ref="AG463:AH463" si="354">+O463-SUM(O464:O468)</f>
        <v>2.2351741790771484E-8</v>
      </c>
      <c r="AH463" s="13">
        <f t="shared" si="354"/>
        <v>0</v>
      </c>
      <c r="AI463" s="73">
        <f t="shared" ref="AI463" si="355">+Q463-SUM(Q464:Q468)</f>
        <v>-9.6857547760009766E-8</v>
      </c>
      <c r="AJ463" s="73">
        <f t="shared" ref="AJ463:AK463" si="356">+R463-SUM(R464:R468)</f>
        <v>6.7055225372314453E-8</v>
      </c>
      <c r="AK463" s="73">
        <f t="shared" si="356"/>
        <v>-2.2351741790771484E-8</v>
      </c>
    </row>
    <row r="464" spans="1:37" hidden="1" outlineLevel="2" x14ac:dyDescent="0.25">
      <c r="A464" s="16" t="s">
        <v>3</v>
      </c>
      <c r="B464" s="13">
        <f>+[1]Result!$K$5-[21]Result!$K$5</f>
        <v>28430.556383192539</v>
      </c>
      <c r="C464" s="13">
        <f>+[5]Result!$K$5-[1]Result!$K$5</f>
        <v>-77187.074959516525</v>
      </c>
      <c r="D464" s="32">
        <f>+[6]Result!$K$5-[5]Result!$K$5</f>
        <v>-1011725.7249961495</v>
      </c>
      <c r="E464" s="13">
        <f>+[7]Result!$K$5-[6]Result!$K$5</f>
        <v>-144728.81510806084</v>
      </c>
      <c r="F464" s="13">
        <f>+[8]Result!$K$5-[7]Result!$K$5</f>
        <v>8159.1735637784004</v>
      </c>
      <c r="G464" s="32">
        <f>+[9]Result!$K$5-[8]Result!$K$5</f>
        <v>37490276.686077714</v>
      </c>
      <c r="H464" s="13">
        <f>+[10]Result!$K$5-[9]Result!$K$5</f>
        <v>31502.104270577431</v>
      </c>
      <c r="I464" s="13">
        <f>+[11]Result!$K$5-[10]Result!$K$5</f>
        <v>-5558.4203790426254</v>
      </c>
      <c r="J464" s="32">
        <f>+[12]Result!$K$5-[11]Result!$K$5</f>
        <v>19940788.619441032</v>
      </c>
      <c r="K464" s="13">
        <f>+[13]Result!$K$5-[12]Result!$K$5</f>
        <v>1753.45022970438</v>
      </c>
      <c r="L464" s="13">
        <f>+[14]Result!$K$5-[13]Result!$K$5</f>
        <v>5260.1413428783417</v>
      </c>
      <c r="M464" s="13">
        <f>+[15]Result!$K$5-[14]Result!$K$5</f>
        <v>21882694.573082924</v>
      </c>
      <c r="N464" s="32">
        <f>+[16]Result!$K$5-[15]Result!$K$5</f>
        <v>-1644.5419823527336</v>
      </c>
      <c r="O464" s="13">
        <f>+[17]Result!$K$5-[16]Result!$K$5</f>
        <v>-11512.710137724876</v>
      </c>
      <c r="P464" s="13">
        <f>+[18]Result!$K$5-[17]Result!$K$5</f>
        <v>-56430124.261426449</v>
      </c>
      <c r="Q464" s="32">
        <f>+[19]Result!$K$5-[18]Result!$K$5</f>
        <v>34567.158662259579</v>
      </c>
      <c r="R464" s="32">
        <f>+[20]Result!$K$5-[19]Result!$K$5</f>
        <v>-40329.553821861744</v>
      </c>
      <c r="S464" s="70">
        <f>+[22]Result!$K$5-[20]Result!$K$5</f>
        <v>-1920.8747238516808</v>
      </c>
      <c r="AI464" s="73"/>
      <c r="AJ464" s="73"/>
      <c r="AK464" s="73"/>
    </row>
    <row r="465" spans="1:37" hidden="1" outlineLevel="2" x14ac:dyDescent="0.25">
      <c r="A465" s="16" t="s">
        <v>4</v>
      </c>
      <c r="B465" s="13">
        <f>+[1]Result!$K$6-[21]Result!$K$6</f>
        <v>67309.320291936398</v>
      </c>
      <c r="C465" s="13">
        <f>+[5]Result!$K$6-[1]Result!$K$6</f>
        <v>-136942.38324704766</v>
      </c>
      <c r="D465" s="32">
        <f>+[6]Result!$K$6-[5]Result!$K$6</f>
        <v>-40001475.996899009</v>
      </c>
      <c r="E465" s="13">
        <f>+[7]Result!$K$6-[6]Result!$K$6</f>
        <v>-366667.79995965958</v>
      </c>
      <c r="F465" s="13">
        <f>+[8]Result!$K$6-[7]Result!$K$6</f>
        <v>54016.801913499832</v>
      </c>
      <c r="G465" s="32">
        <f>+[9]Result!$K$6-[8]Result!$K$6</f>
        <v>-6023183.792186141</v>
      </c>
      <c r="H465" s="13">
        <f>+[10]Result!$K$6-[9]Result!$K$6</f>
        <v>111860.73987832665</v>
      </c>
      <c r="I465" s="13">
        <f>+[11]Result!$K$6-[10]Result!$K$6</f>
        <v>-38113.262988358736</v>
      </c>
      <c r="J465" s="32">
        <f>+[12]Result!$K$6-[11]Result!$K$6</f>
        <v>-9557732.8629067838</v>
      </c>
      <c r="K465" s="13">
        <f>+[13]Result!$K$6-[12]Result!$K$6</f>
        <v>-28537.795865654945</v>
      </c>
      <c r="L465" s="13">
        <f>+[14]Result!$K$6-[13]Result!$K$6</f>
        <v>44913.049545288086</v>
      </c>
      <c r="M465" s="13">
        <f>+[15]Result!$K$6-[14]Result!$K$6</f>
        <v>23335370.927494526</v>
      </c>
      <c r="N465" s="32">
        <f>+[16]Result!$K$6-[15]Result!$K$6</f>
        <v>-31102.239475131035</v>
      </c>
      <c r="O465" s="13">
        <f>+[17]Result!$K$6-[16]Result!$K$6</f>
        <v>-75998.213648736477</v>
      </c>
      <c r="P465" s="13">
        <f>+[18]Result!$K$6-[17]Result!$K$6</f>
        <v>-31377797.778374076</v>
      </c>
      <c r="Q465" s="32">
        <f>+[19]Result!$K$6-[18]Result!$K$6</f>
        <v>78454.671223461628</v>
      </c>
      <c r="R465" s="32">
        <f>+[20]Result!$K$6-[19]Result!$K$6</f>
        <v>-152451.35614866018</v>
      </c>
      <c r="S465" s="70">
        <f>+[22]Result!$K$6-[20]Result!$K$6</f>
        <v>-20954.954147100449</v>
      </c>
      <c r="AI465" s="73"/>
      <c r="AJ465" s="73"/>
      <c r="AK465" s="73"/>
    </row>
    <row r="466" spans="1:37" hidden="1" outlineLevel="2" x14ac:dyDescent="0.25">
      <c r="A466" s="16" t="s">
        <v>5</v>
      </c>
      <c r="B466" s="13">
        <f>+[1]Result!$K$7-[21]Result!$K$7</f>
        <v>81662.619394794106</v>
      </c>
      <c r="C466" s="13">
        <f>+[5]Result!$K$7-[1]Result!$K$7</f>
        <v>-149521.98669692874</v>
      </c>
      <c r="D466" s="32">
        <f>+[6]Result!$K$7-[5]Result!$K$7</f>
        <v>-854781.38229419291</v>
      </c>
      <c r="E466" s="13">
        <f>+[7]Result!$K$7-[6]Result!$K$7</f>
        <v>-329376.72774559259</v>
      </c>
      <c r="F466" s="13">
        <f>+[8]Result!$K$7-[7]Result!$K$7</f>
        <v>64343.006234675646</v>
      </c>
      <c r="G466" s="32">
        <f>+[9]Result!$K$7-[8]Result!$K$7</f>
        <v>578307.65697196126</v>
      </c>
      <c r="H466" s="13">
        <f>+[10]Result!$K$7-[9]Result!$K$7</f>
        <v>112233.61401939392</v>
      </c>
      <c r="I466" s="13">
        <f>+[11]Result!$K$7-[10]Result!$K$7</f>
        <v>-55761.227302625775</v>
      </c>
      <c r="J466" s="32">
        <f>+[12]Result!$K$7-[11]Result!$K$7</f>
        <v>-8611754.8784289509</v>
      </c>
      <c r="K466" s="13">
        <f>+[13]Result!$K$7-[12]Result!$K$7</f>
        <v>-44017.248351439834</v>
      </c>
      <c r="L466" s="13">
        <f>+[14]Result!$K$7-[13]Result!$K$7</f>
        <v>57345.560499250889</v>
      </c>
      <c r="M466" s="13">
        <f>+[15]Result!$K$7-[14]Result!$K$7</f>
        <v>8867284.5770589858</v>
      </c>
      <c r="N466" s="32">
        <f>+[16]Result!$K$7-[15]Result!$K$7</f>
        <v>-54510.413428172469</v>
      </c>
      <c r="O466" s="13">
        <f>+[17]Result!$K$7-[16]Result!$K$7</f>
        <v>-110813.79265990853</v>
      </c>
      <c r="P466" s="13">
        <f>+[18]Result!$K$7-[17]Result!$K$7</f>
        <v>-6894650.0911461115</v>
      </c>
      <c r="Q466" s="32">
        <f>+[19]Result!$K$7-[18]Result!$K$7</f>
        <v>23584.130347818136</v>
      </c>
      <c r="R466" s="32">
        <f>+[20]Result!$K$7-[19]Result!$K$7</f>
        <v>-142315.28459708393</v>
      </c>
      <c r="S466" s="70">
        <f>+[22]Result!$K$7-[20]Result!$K$7</f>
        <v>-18264.07642108202</v>
      </c>
      <c r="AI466" s="73"/>
      <c r="AJ466" s="73"/>
      <c r="AK466" s="73"/>
    </row>
    <row r="467" spans="1:37" hidden="1" outlineLevel="2" x14ac:dyDescent="0.25">
      <c r="A467" s="16" t="s">
        <v>6</v>
      </c>
      <c r="B467" s="13">
        <f>+[1]Result!$K$8-[21]Result!$K$8</f>
        <v>68490.086249016225</v>
      </c>
      <c r="C467" s="13">
        <f>+[5]Result!$K$8-[1]Result!$K$8</f>
        <v>-131734.04543023556</v>
      </c>
      <c r="D467" s="32">
        <f>+[6]Result!$K$8-[5]Result!$K$8</f>
        <v>-1226061.0027088821</v>
      </c>
      <c r="E467" s="13">
        <f>+[7]Result!$K$8-[6]Result!$K$8</f>
        <v>-299882.40051330626</v>
      </c>
      <c r="F467" s="13">
        <f>+[8]Result!$K$8-[7]Result!$K$8</f>
        <v>66675.971051029861</v>
      </c>
      <c r="G467" s="32">
        <f>+[9]Result!$K$8-[8]Result!$K$8</f>
        <v>-49667.314254648983</v>
      </c>
      <c r="H467" s="13">
        <f>+[10]Result!$K$8-[9]Result!$K$8</f>
        <v>102808.28770296276</v>
      </c>
      <c r="I467" s="13">
        <f>+[11]Result!$K$8-[10]Result!$K$8</f>
        <v>-56054.687654644251</v>
      </c>
      <c r="J467" s="32">
        <f>+[12]Result!$K$8-[11]Result!$K$8</f>
        <v>-2682862.2858815566</v>
      </c>
      <c r="K467" s="13">
        <f>+[13]Result!$K$8-[12]Result!$K$8</f>
        <v>-45925.57212010771</v>
      </c>
      <c r="L467" s="13">
        <f>+[14]Result!$K$8-[13]Result!$K$8</f>
        <v>63184.575029946864</v>
      </c>
      <c r="M467" s="13">
        <f>+[15]Result!$K$8-[14]Result!$K$8</f>
        <v>7096467.4806523398</v>
      </c>
      <c r="N467" s="32">
        <f>+[16]Result!$K$8-[15]Result!$K$8</f>
        <v>-53087.356026604772</v>
      </c>
      <c r="O467" s="13">
        <f>+[17]Result!$K$8-[16]Result!$K$8</f>
        <v>-126673.01971124113</v>
      </c>
      <c r="P467" s="13">
        <f>+[18]Result!$K$8-[17]Result!$K$8</f>
        <v>-2781047.618395105</v>
      </c>
      <c r="Q467" s="32">
        <f>+[19]Result!$K$8-[18]Result!$K$8</f>
        <v>-2599.2561101764441</v>
      </c>
      <c r="R467" s="32">
        <f>+[20]Result!$K$8-[19]Result!$K$8</f>
        <v>-116866.72571598738</v>
      </c>
      <c r="S467" s="70">
        <f>+[22]Result!$K$8-[20]Result!$K$8</f>
        <v>-20526.225284740329</v>
      </c>
      <c r="AI467" s="73"/>
      <c r="AJ467" s="73"/>
      <c r="AK467" s="73"/>
    </row>
    <row r="468" spans="1:37" hidden="1" outlineLevel="2" x14ac:dyDescent="0.25">
      <c r="A468" s="16" t="s">
        <v>7</v>
      </c>
      <c r="B468" s="13">
        <f>+[1]Result!$K$9-[21]Result!$K$9</f>
        <v>60355.680734544992</v>
      </c>
      <c r="C468" s="13">
        <f>+[5]Result!$K$9-[1]Result!$K$9</f>
        <v>-128120.95945969224</v>
      </c>
      <c r="D468" s="32">
        <f>+[6]Result!$K$9-[5]Result!$K$9</f>
        <v>396755.85082029551</v>
      </c>
      <c r="E468" s="13">
        <f>+[7]Result!$K$9-[6]Result!$K$9</f>
        <v>-294365.34207413346</v>
      </c>
      <c r="F468" s="13">
        <f>+[8]Result!$K$9-[7]Result!$K$9</f>
        <v>69121.407197929919</v>
      </c>
      <c r="G468" s="32">
        <f>+[9]Result!$K$9-[8]Result!$K$9</f>
        <v>-115165.39059993625</v>
      </c>
      <c r="H468" s="13">
        <f>+[10]Result!$K$9-[9]Result!$K$9</f>
        <v>97388.249902412295</v>
      </c>
      <c r="I468" s="13">
        <f>+[11]Result!$K$9-[10]Result!$K$9</f>
        <v>-49832.929068252444</v>
      </c>
      <c r="J468" s="32">
        <f>+[12]Result!$K$9-[11]Result!$K$9</f>
        <v>-984239.30762087554</v>
      </c>
      <c r="K468" s="13">
        <f>+[13]Result!$K$9-[12]Result!$K$9</f>
        <v>-48638.736173696816</v>
      </c>
      <c r="L468" s="13">
        <f>+[14]Result!$K$9-[13]Result!$K$9</f>
        <v>74288.030256301165</v>
      </c>
      <c r="M468" s="13">
        <f>+[15]Result!$K$9-[14]Result!$K$9</f>
        <v>6785247.1636554822</v>
      </c>
      <c r="N468" s="32">
        <f>+[16]Result!$K$9-[15]Result!$K$9</f>
        <v>-49990.135002277792</v>
      </c>
      <c r="O468" s="13">
        <f>+[17]Result!$K$9-[16]Result!$K$9</f>
        <v>-137575.57163221389</v>
      </c>
      <c r="P468" s="13">
        <f>+[18]Result!$K$9-[17]Result!$K$9</f>
        <v>-2199528.7952514514</v>
      </c>
      <c r="Q468" s="32">
        <f>+[19]Result!$K$9-[18]Result!$K$9</f>
        <v>-2329.823827393353</v>
      </c>
      <c r="R468" s="32">
        <f>+[20]Result!$K$9-[19]Result!$K$9</f>
        <v>-104931.29183629155</v>
      </c>
      <c r="S468" s="70">
        <f>+[22]Result!$K$9-[20]Result!$K$9</f>
        <v>-31131.556214503944</v>
      </c>
      <c r="AI468" s="73"/>
      <c r="AJ468" s="73"/>
      <c r="AK468" s="73"/>
    </row>
    <row r="469" spans="1:37" hidden="1" outlineLevel="1" x14ac:dyDescent="0.25">
      <c r="A469" s="15" t="s">
        <v>8</v>
      </c>
      <c r="B469" s="13">
        <f>+'[1]Stat by Mat'!$M$4-'[21]Stat by Mat'!$M$4</f>
        <v>243016.36912921071</v>
      </c>
      <c r="C469" s="13">
        <f>+'[5]Stat by Mat'!$M$4-'[1]Stat by Mat'!$M$4</f>
        <v>-518563.95455530286</v>
      </c>
      <c r="D469" s="32">
        <f>+'[6]Stat by Mat'!$M$4-'[5]Stat by Mat'!$M$4</f>
        <v>3777148.3378871083</v>
      </c>
      <c r="E469" s="13">
        <f>+'[7]Stat by Mat'!$M$4-'[6]Stat by Mat'!$M$4</f>
        <v>-1179245.8555745184</v>
      </c>
      <c r="F469" s="13">
        <f>+'[8]Stat by Mat'!$M$4-'[7]Stat by Mat'!$M$4</f>
        <v>329591.82499042153</v>
      </c>
      <c r="G469" s="32">
        <f>+'[9]Stat by Mat'!$M$4-'[8]Stat by Mat'!$M$4</f>
        <v>-271845.57160578668</v>
      </c>
      <c r="H469" s="13">
        <f>+'[10]Stat by Mat'!$M$4-'[9]Stat by Mat'!$M$4</f>
        <v>376972.81808231771</v>
      </c>
      <c r="I469" s="13">
        <f>+'[11]Stat by Mat'!$M$4-'[10]Stat by Mat'!$M$4</f>
        <v>-139126.42229820788</v>
      </c>
      <c r="J469" s="32">
        <f>+'[12]Stat by Mat'!$M$4-'[11]Stat by Mat'!$M$4</f>
        <v>-328850.75213108957</v>
      </c>
      <c r="K469" s="13">
        <f>+'[13]Stat by Mat'!$M$4-'[12]Stat by Mat'!$M$4</f>
        <v>-203998.75663951039</v>
      </c>
      <c r="L469" s="13">
        <f>+'[14]Stat by Mat'!$M$4-'[13]Stat by Mat'!$M$4</f>
        <v>450739.23301051557</v>
      </c>
      <c r="M469" s="13">
        <f>+'[15]Stat by Mat'!$M$4-'[14]Stat by Mat'!$M$4</f>
        <v>21935291.172637194</v>
      </c>
      <c r="N469" s="32">
        <f>+'[16]Stat by Mat'!$M$4-'[15]Stat by Mat'!$M$4</f>
        <v>-217998.4509793371</v>
      </c>
      <c r="O469" s="13">
        <f>+'[17]Stat by Mat'!$M$4-'[16]Stat by Mat'!$M$4</f>
        <v>-658879.50799940526</v>
      </c>
      <c r="P469" s="13">
        <f>+'[18]Stat by Mat'!$M$4-'[17]Stat by Mat'!$M$4</f>
        <v>-4130333.4080601335</v>
      </c>
      <c r="Q469" s="32">
        <f>+'[19]Stat by Mat'!$M$4-'[18]Stat by Mat'!$M$4</f>
        <v>12708.566720455885</v>
      </c>
      <c r="R469" s="32">
        <f>+'[20]Stat by Mat'!$M$4-'[19]Stat by Mat'!$M$4</f>
        <v>-389971.6557739526</v>
      </c>
      <c r="S469" s="70">
        <f>+'[22]Stat by Mat'!$M$4-'[20]Stat by Mat'!$M$4</f>
        <v>-191584.70316085219</v>
      </c>
      <c r="T469" s="13">
        <f>+B469-SUM(B470:B474)</f>
        <v>5.5879354476928711E-9</v>
      </c>
      <c r="U469" s="13">
        <f t="shared" ref="U469:W469" si="357">+C469-SUM(C470:C474)</f>
        <v>-1.862645149230957E-9</v>
      </c>
      <c r="V469" s="13">
        <f t="shared" si="357"/>
        <v>-1.1175870895385742E-8</v>
      </c>
      <c r="W469" s="13">
        <f t="shared" si="357"/>
        <v>-1.862645149230957E-9</v>
      </c>
      <c r="X469" s="13">
        <f t="shared" ref="X469" si="358">+F469-SUM(F470:F474)</f>
        <v>0</v>
      </c>
      <c r="Y469" s="13">
        <f t="shared" ref="Y469:AE469" si="359">+G469-SUM(G470:G474)</f>
        <v>1.862645149230957E-9</v>
      </c>
      <c r="Z469" s="13">
        <f t="shared" si="359"/>
        <v>1.6763806343078613E-8</v>
      </c>
      <c r="AA469" s="13">
        <f t="shared" si="359"/>
        <v>-1.6763806343078613E-8</v>
      </c>
      <c r="AB469" s="13">
        <f t="shared" si="359"/>
        <v>0</v>
      </c>
      <c r="AC469" s="13">
        <f t="shared" si="359"/>
        <v>1.3038516044616699E-8</v>
      </c>
      <c r="AD469" s="13">
        <f t="shared" si="359"/>
        <v>0</v>
      </c>
      <c r="AE469" s="13">
        <f t="shared" si="359"/>
        <v>0</v>
      </c>
      <c r="AF469" s="13">
        <f t="shared" ref="AF469" si="360">+N469-SUM(N470:N474)</f>
        <v>3.7252902984619141E-9</v>
      </c>
      <c r="AG469" s="13">
        <f t="shared" ref="AG469:AH469" si="361">+O469-SUM(O470:O474)</f>
        <v>7.4505805969238281E-9</v>
      </c>
      <c r="AH469" s="13">
        <f t="shared" si="361"/>
        <v>-1.3969838619232178E-8</v>
      </c>
      <c r="AI469" s="73">
        <f t="shared" ref="AI469" si="362">+Q469-SUM(Q470:Q474)</f>
        <v>1.6763806343078613E-8</v>
      </c>
      <c r="AJ469" s="73">
        <f t="shared" ref="AJ469:AK469" si="363">+R469-SUM(R470:R474)</f>
        <v>-1.1175870895385742E-8</v>
      </c>
      <c r="AK469" s="73">
        <f t="shared" si="363"/>
        <v>2.2351741790771484E-8</v>
      </c>
    </row>
    <row r="470" spans="1:37" hidden="1" outlineLevel="2" x14ac:dyDescent="0.25">
      <c r="A470" s="16" t="s">
        <v>9</v>
      </c>
      <c r="B470" s="13">
        <f>+[1]Result!$K$10-[21]Result!$K$10</f>
        <v>58389.307297192514</v>
      </c>
      <c r="C470" s="13">
        <f>+[5]Result!$K$10-[1]Result!$K$10</f>
        <v>-129504.81274535134</v>
      </c>
      <c r="D470" s="32">
        <f>+[6]Result!$K$10-[5]Result!$K$10</f>
        <v>688193.55935398117</v>
      </c>
      <c r="E470" s="13">
        <f>+[7]Result!$K$10-[6]Result!$K$10</f>
        <v>-290568.08989796788</v>
      </c>
      <c r="F470" s="13">
        <f>+[8]Result!$K$10-[7]Result!$K$10</f>
        <v>71372.483867615461</v>
      </c>
      <c r="G470" s="32">
        <f>+[9]Result!$K$10-[8]Result!$K$10</f>
        <v>53446.843993362039</v>
      </c>
      <c r="H470" s="13">
        <f>+[10]Result!$K$10-[9]Result!$K$10</f>
        <v>93701.569188375026</v>
      </c>
      <c r="I470" s="13">
        <f>+[11]Result!$K$10-[10]Result!$K$10</f>
        <v>-44971.783602703363</v>
      </c>
      <c r="J470" s="32">
        <f>+[12]Result!$K$10-[11]Result!$K$10</f>
        <v>-272180.87650868297</v>
      </c>
      <c r="K470" s="13">
        <f>+[13]Result!$K$10-[12]Result!$K$10</f>
        <v>-50083.996219199151</v>
      </c>
      <c r="L470" s="13">
        <f>+[14]Result!$K$10-[13]Result!$K$10</f>
        <v>87231.464352641255</v>
      </c>
      <c r="M470" s="13">
        <f>+[15]Result!$K$10-[14]Result!$K$10</f>
        <v>5623790.1947650239</v>
      </c>
      <c r="N470" s="32">
        <f>+[16]Result!$K$10-[15]Result!$K$10</f>
        <v>-51056.378648109734</v>
      </c>
      <c r="O470" s="13">
        <f>+[17]Result!$K$10-[16]Result!$K$10</f>
        <v>-145865.93917505816</v>
      </c>
      <c r="P470" s="13">
        <f>+[18]Result!$K$10-[17]Result!$K$10</f>
        <v>-1344020.563314762</v>
      </c>
      <c r="Q470" s="32">
        <f>+[19]Result!$K$10-[18]Result!$K$10</f>
        <v>0</v>
      </c>
      <c r="R470" s="32">
        <f>+[20]Result!$K$10-[19]Result!$K$10</f>
        <v>-99081.876034405082</v>
      </c>
      <c r="S470" s="70">
        <f>+[22]Result!$K$10-[20]Result!$K$10</f>
        <v>-38576.746098406613</v>
      </c>
      <c r="AI470" s="73"/>
      <c r="AJ470" s="73"/>
      <c r="AK470" s="73"/>
    </row>
    <row r="471" spans="1:37" hidden="1" outlineLevel="2" x14ac:dyDescent="0.25">
      <c r="A471" s="16" t="s">
        <v>10</v>
      </c>
      <c r="B471" s="13">
        <f>+[1]Result!$K$11-[21]Result!$K$11</f>
        <v>50614.000757828355</v>
      </c>
      <c r="C471" s="13">
        <f>+[5]Result!$K$11-[1]Result!$K$11</f>
        <v>-115501.71513130888</v>
      </c>
      <c r="D471" s="32">
        <f>+[6]Result!$K$11-[5]Result!$K$11</f>
        <v>625200.27354507521</v>
      </c>
      <c r="E471" s="13">
        <f>+[7]Result!$K$11-[6]Result!$K$11</f>
        <v>-266962.0203159526</v>
      </c>
      <c r="F471" s="13">
        <f>+[8]Result!$K$11-[7]Result!$K$11</f>
        <v>69799.118520006537</v>
      </c>
      <c r="G471" s="32">
        <f>+[9]Result!$K$11-[8]Result!$K$11</f>
        <v>-75991.990766793489</v>
      </c>
      <c r="H471" s="13">
        <f>+[10]Result!$K$11-[9]Result!$K$11</f>
        <v>84079.725811276585</v>
      </c>
      <c r="I471" s="13">
        <f>+[11]Result!$K$11-[10]Result!$K$11</f>
        <v>-37845.834743786603</v>
      </c>
      <c r="J471" s="32">
        <f>+[12]Result!$K$11-[11]Result!$K$11</f>
        <v>-133382.06396345794</v>
      </c>
      <c r="K471" s="13">
        <f>+[13]Result!$K$11-[12]Result!$K$11</f>
        <v>-46356.565370801836</v>
      </c>
      <c r="L471" s="13">
        <f>+[14]Result!$K$11-[13]Result!$K$11</f>
        <v>93041.102642945945</v>
      </c>
      <c r="M471" s="13">
        <f>+[15]Result!$K$11-[14]Result!$K$11</f>
        <v>4760464.7540506534</v>
      </c>
      <c r="N471" s="32">
        <f>+[16]Result!$K$11-[15]Result!$K$11</f>
        <v>-50291.068267002702</v>
      </c>
      <c r="O471" s="13">
        <f>+[17]Result!$K$11-[16]Result!$K$11</f>
        <v>-145700.73152622208</v>
      </c>
      <c r="P471" s="13">
        <f>+[18]Result!$K$11-[17]Result!$K$11</f>
        <v>-1067685.416458942</v>
      </c>
      <c r="Q471" s="32">
        <f>+[19]Result!$K$11-[18]Result!$K$11</f>
        <v>743.10695572197437</v>
      </c>
      <c r="R471" s="32">
        <f>+[20]Result!$K$11-[19]Result!$K$11</f>
        <v>-90957.766081474721</v>
      </c>
      <c r="S471" s="70">
        <f>+[22]Result!$K$11-[20]Result!$K$11</f>
        <v>-40157.132889654487</v>
      </c>
      <c r="AI471" s="73"/>
      <c r="AJ471" s="73"/>
      <c r="AK471" s="73"/>
    </row>
    <row r="472" spans="1:37" hidden="1" outlineLevel="2" x14ac:dyDescent="0.25">
      <c r="A472" s="16" t="s">
        <v>11</v>
      </c>
      <c r="B472" s="13">
        <f>+[1]Result!$K$12-[21]Result!$K$12</f>
        <v>43601.242844671011</v>
      </c>
      <c r="C472" s="13">
        <f>+[5]Result!$K$12-[1]Result!$K$12</f>
        <v>-99004.211232345551</v>
      </c>
      <c r="D472" s="32">
        <f>+[6]Result!$K$12-[5]Result!$K$12</f>
        <v>601457.21765737236</v>
      </c>
      <c r="E472" s="13">
        <f>+[7]Result!$K$12-[6]Result!$K$12</f>
        <v>-236993.7110292688</v>
      </c>
      <c r="F472" s="13">
        <f>+[8]Result!$K$12-[7]Result!$K$12</f>
        <v>66220.593443963677</v>
      </c>
      <c r="G472" s="32">
        <f>+[9]Result!$K$12-[8]Result!$K$12</f>
        <v>-131056.42246935889</v>
      </c>
      <c r="H472" s="13">
        <f>+[10]Result!$K$12-[9]Result!$K$12</f>
        <v>73472.720420423895</v>
      </c>
      <c r="I472" s="13">
        <f>+[11]Result!$K$12-[10]Result!$K$12</f>
        <v>-28151.567157190293</v>
      </c>
      <c r="J472" s="32">
        <f>+[12]Result!$K$12-[11]Result!$K$12</f>
        <v>-66373.240395184606</v>
      </c>
      <c r="K472" s="13">
        <f>+[13]Result!$K$12-[12]Result!$K$12</f>
        <v>-40914.59800716117</v>
      </c>
      <c r="L472" s="13">
        <f>+[14]Result!$K$12-[13]Result!$K$12</f>
        <v>92925.598404273391</v>
      </c>
      <c r="M472" s="13">
        <f>+[15]Result!$K$12-[14]Result!$K$12</f>
        <v>4049511.9822268952</v>
      </c>
      <c r="N472" s="32">
        <f>+[16]Result!$K$12-[15]Result!$K$12</f>
        <v>-46280.179070990533</v>
      </c>
      <c r="O472" s="13">
        <f>+[17]Result!$K$12-[16]Result!$K$12</f>
        <v>-138858.67204202339</v>
      </c>
      <c r="P472" s="13">
        <f>+[18]Result!$K$12-[17]Result!$K$12</f>
        <v>-769880.01537671871</v>
      </c>
      <c r="Q472" s="32">
        <f>+[19]Result!$K$12-[18]Result!$K$12</f>
        <v>3157.0239858701825</v>
      </c>
      <c r="R472" s="32">
        <f>+[20]Result!$K$12-[19]Result!$K$12</f>
        <v>-81704.320024143904</v>
      </c>
      <c r="S472" s="70">
        <f>+[22]Result!$K$12-[20]Result!$K$12</f>
        <v>-39564.264644285664</v>
      </c>
      <c r="AI472" s="73"/>
      <c r="AJ472" s="73"/>
      <c r="AK472" s="73"/>
    </row>
    <row r="473" spans="1:37" hidden="1" outlineLevel="2" x14ac:dyDescent="0.25">
      <c r="A473" s="16" t="s">
        <v>12</v>
      </c>
      <c r="B473" s="13">
        <f>+[1]Result!$K$13-[21]Result!$K$13</f>
        <v>41256.017955033109</v>
      </c>
      <c r="C473" s="13">
        <f>+[5]Result!$K$13-[1]Result!$K$13</f>
        <v>-85696.88949447684</v>
      </c>
      <c r="D473" s="32">
        <f>+[6]Result!$K$13-[5]Result!$K$13</f>
        <v>1083319.7211417239</v>
      </c>
      <c r="E473" s="13">
        <f>+[7]Result!$K$13-[6]Result!$K$13</f>
        <v>-199631.1473786328</v>
      </c>
      <c r="F473" s="13">
        <f>+[8]Result!$K$13-[7]Result!$K$13</f>
        <v>60639.179557109252</v>
      </c>
      <c r="G473" s="32">
        <f>+[9]Result!$K$13-[8]Result!$K$13</f>
        <v>17862.071410777047</v>
      </c>
      <c r="H473" s="13">
        <f>+[10]Result!$K$13-[9]Result!$K$13</f>
        <v>61359.937537902966</v>
      </c>
      <c r="I473" s="13">
        <f>+[11]Result!$K$13-[10]Result!$K$13</f>
        <v>-17626.167249105871</v>
      </c>
      <c r="J473" s="32">
        <f>+[12]Result!$K$13-[11]Result!$K$13</f>
        <v>32710.718626268208</v>
      </c>
      <c r="K473" s="13">
        <f>+[13]Result!$K$13-[12]Result!$K$13</f>
        <v>-34289.415496312082</v>
      </c>
      <c r="L473" s="13">
        <f>+[14]Result!$K$13-[13]Result!$K$13</f>
        <v>85719.348661158234</v>
      </c>
      <c r="M473" s="13">
        <f>+[15]Result!$K$13-[14]Result!$K$13</f>
        <v>3106292.0858446043</v>
      </c>
      <c r="N473" s="32">
        <f>+[16]Result!$K$13-[15]Result!$K$13</f>
        <v>-38376.706100288779</v>
      </c>
      <c r="O473" s="13">
        <f>+[17]Result!$K$13-[16]Result!$K$13</f>
        <v>-123994.17799838819</v>
      </c>
      <c r="P473" s="13">
        <f>+[18]Result!$K$13-[17]Result!$K$13</f>
        <v>-551424.03587028943</v>
      </c>
      <c r="Q473" s="32">
        <f>+[19]Result!$K$13-[18]Result!$K$13</f>
        <v>3003.1705200821161</v>
      </c>
      <c r="R473" s="32">
        <f>+[20]Result!$K$13-[19]Result!$K$13</f>
        <v>-67695.929204933345</v>
      </c>
      <c r="S473" s="70">
        <f>+[22]Result!$K$13-[20]Result!$K$13</f>
        <v>-39094.544596889988</v>
      </c>
      <c r="AI473" s="73"/>
      <c r="AJ473" s="73"/>
      <c r="AK473" s="73"/>
    </row>
    <row r="474" spans="1:37" hidden="1" outlineLevel="2" x14ac:dyDescent="0.25">
      <c r="A474" s="16" t="s">
        <v>13</v>
      </c>
      <c r="B474" s="13">
        <f>+[1]Result!$K$14-[21]Result!$K$14</f>
        <v>49155.800274480134</v>
      </c>
      <c r="C474" s="13">
        <f>+[5]Result!$K$14-[1]Result!$K$14</f>
        <v>-88856.325951818377</v>
      </c>
      <c r="D474" s="32">
        <f>+[6]Result!$K$14-[5]Result!$K$14</f>
        <v>778977.56618896686</v>
      </c>
      <c r="E474" s="13">
        <f>+[7]Result!$K$14-[6]Result!$K$14</f>
        <v>-185090.88695269451</v>
      </c>
      <c r="F474" s="13">
        <f>+[8]Result!$K$14-[7]Result!$K$14</f>
        <v>61560.449601726606</v>
      </c>
      <c r="G474" s="32">
        <f>+[9]Result!$K$14-[8]Result!$K$14</f>
        <v>-136106.07377377525</v>
      </c>
      <c r="H474" s="13">
        <f>+[10]Result!$K$14-[9]Result!$K$14</f>
        <v>64358.865124322474</v>
      </c>
      <c r="I474" s="13">
        <f>+[11]Result!$K$14-[10]Result!$K$14</f>
        <v>-10531.069545404986</v>
      </c>
      <c r="J474" s="32">
        <f>+[12]Result!$K$14-[11]Result!$K$14</f>
        <v>110374.71010996774</v>
      </c>
      <c r="K474" s="13">
        <f>+[13]Result!$K$14-[12]Result!$K$14</f>
        <v>-32354.181546049193</v>
      </c>
      <c r="L474" s="13">
        <f>+[14]Result!$K$14-[13]Result!$K$14</f>
        <v>91821.718949496746</v>
      </c>
      <c r="M474" s="13">
        <f>+[15]Result!$K$14-[14]Result!$K$14</f>
        <v>4395232.1557500334</v>
      </c>
      <c r="N474" s="32">
        <f>+[16]Result!$K$14-[15]Result!$K$14</f>
        <v>-31994.118892949075</v>
      </c>
      <c r="O474" s="13">
        <f>+[17]Result!$K$14-[16]Result!$K$14</f>
        <v>-104459.9872577209</v>
      </c>
      <c r="P474" s="13">
        <f>+[18]Result!$K$14-[17]Result!$K$14</f>
        <v>-397323.37703940738</v>
      </c>
      <c r="Q474" s="32">
        <f>+[19]Result!$K$14-[18]Result!$K$14</f>
        <v>5805.2652587648481</v>
      </c>
      <c r="R474" s="32">
        <f>+[20]Result!$K$14-[19]Result!$K$14</f>
        <v>-50531.764428984374</v>
      </c>
      <c r="S474" s="70">
        <f>+[22]Result!$K$14-[20]Result!$K$14</f>
        <v>-34192.014931637794</v>
      </c>
      <c r="AI474" s="73"/>
      <c r="AJ474" s="73"/>
      <c r="AK474" s="73"/>
    </row>
    <row r="475" spans="1:37" hidden="1" outlineLevel="1" x14ac:dyDescent="0.25">
      <c r="A475" s="15" t="s">
        <v>14</v>
      </c>
      <c r="B475" s="13">
        <f>+'[1]Stat by Mat'!$M$5-'[21]Stat by Mat'!$M$5</f>
        <v>296592.41076767445</v>
      </c>
      <c r="C475" s="13">
        <f>+'[5]Stat by Mat'!$M$5-'[1]Stat by Mat'!$M$5</f>
        <v>-375877.53586830944</v>
      </c>
      <c r="D475" s="32">
        <f>+'[6]Stat by Mat'!$M$5-'[5]Stat by Mat'!$M$5</f>
        <v>5616182.1556724831</v>
      </c>
      <c r="E475" s="13">
        <f>+'[7]Stat by Mat'!$M$5-'[6]Stat by Mat'!$M$5</f>
        <v>-938535.76716754586</v>
      </c>
      <c r="F475" s="13">
        <f>+'[8]Stat by Mat'!$M$5-'[7]Stat by Mat'!$M$5</f>
        <v>444345.06646315008</v>
      </c>
      <c r="G475" s="32">
        <f>+'[9]Stat by Mat'!$M$5-'[8]Stat by Mat'!$M$5</f>
        <v>486139.19627059996</v>
      </c>
      <c r="H475" s="13">
        <f>+'[10]Stat by Mat'!$M$5-'[9]Stat by Mat'!$M$5</f>
        <v>331094.67725779116</v>
      </c>
      <c r="I475" s="13">
        <f>+'[11]Stat by Mat'!$M$5-'[10]Stat by Mat'!$M$5</f>
        <v>113152.27542448789</v>
      </c>
      <c r="J475" s="32">
        <f>+'[12]Stat by Mat'!$M$5-'[11]Stat by Mat'!$M$5</f>
        <v>-371561.93322616071</v>
      </c>
      <c r="K475" s="13">
        <f>+'[13]Stat by Mat'!$M$5-'[12]Stat by Mat'!$M$5</f>
        <v>-116051.98722219467</v>
      </c>
      <c r="L475" s="13">
        <f>+'[14]Stat by Mat'!$M$5-'[13]Stat by Mat'!$M$5</f>
        <v>609327.47511200607</v>
      </c>
      <c r="M475" s="13">
        <f>+'[15]Stat by Mat'!$M$5-'[14]Stat by Mat'!$M$5</f>
        <v>11621043.469687462</v>
      </c>
      <c r="N475" s="32">
        <f>+'[16]Stat by Mat'!$M$5-'[15]Stat by Mat'!$M$5</f>
        <v>-197400.63593346626</v>
      </c>
      <c r="O475" s="13">
        <f>+'[17]Stat by Mat'!$M$5-'[16]Stat by Mat'!$M$5</f>
        <v>-672325.85791998357</v>
      </c>
      <c r="P475" s="13">
        <f>+'[18]Stat by Mat'!$M$5-'[17]Stat by Mat'!$M$5</f>
        <v>-564616.80506685376</v>
      </c>
      <c r="Q475" s="32">
        <f>+'[19]Stat by Mat'!$M$5-'[18]Stat by Mat'!$M$5</f>
        <v>72829.353254571557</v>
      </c>
      <c r="R475" s="32">
        <f>+'[20]Stat by Mat'!$M$5-'[19]Stat by Mat'!$M$5</f>
        <v>-204946.9343611598</v>
      </c>
      <c r="S475" s="70">
        <f>+'[22]Stat by Mat'!$M$5-'[20]Stat by Mat'!$M$5</f>
        <v>-247812.80023692548</v>
      </c>
      <c r="T475" s="13">
        <f>+B475-SUM(B476:B485)</f>
        <v>4.1909515857696533E-9</v>
      </c>
      <c r="U475" s="13">
        <f t="shared" ref="U475:W475" si="364">+C475-SUM(C476:C485)</f>
        <v>-6.9849193096160889E-9</v>
      </c>
      <c r="V475" s="13">
        <f t="shared" si="364"/>
        <v>1.9557774066925049E-8</v>
      </c>
      <c r="W475" s="13">
        <f t="shared" si="364"/>
        <v>-7.9162418842315674E-9</v>
      </c>
      <c r="X475" s="13">
        <f t="shared" ref="X475" si="365">+F475-SUM(F476:F485)</f>
        <v>-1.1641532182693481E-9</v>
      </c>
      <c r="Y475" s="13">
        <f t="shared" ref="Y475:AE475" si="366">+G475-SUM(G476:G485)</f>
        <v>-1.1641532182693481E-9</v>
      </c>
      <c r="Z475" s="13">
        <f t="shared" si="366"/>
        <v>-4.4237822294235229E-9</v>
      </c>
      <c r="AA475" s="13">
        <f t="shared" si="366"/>
        <v>9.5460563898086548E-9</v>
      </c>
      <c r="AB475" s="13">
        <f t="shared" si="366"/>
        <v>-6.7520886659622192E-9</v>
      </c>
      <c r="AC475" s="13">
        <f t="shared" si="366"/>
        <v>-1.0011717677116394E-8</v>
      </c>
      <c r="AD475" s="13">
        <f t="shared" si="366"/>
        <v>8.149072527885437E-9</v>
      </c>
      <c r="AE475" s="13">
        <f t="shared" si="366"/>
        <v>0</v>
      </c>
      <c r="AF475" s="13">
        <f t="shared" ref="AF475" si="367">+N475-SUM(N476:N485)</f>
        <v>-2.3283064365386963E-9</v>
      </c>
      <c r="AG475" s="13">
        <f t="shared" ref="AG475:AH475" si="368">+O475-SUM(O476:O485)</f>
        <v>-3.9581209421157837E-9</v>
      </c>
      <c r="AH475" s="13">
        <f t="shared" si="368"/>
        <v>126404.3530013056</v>
      </c>
      <c r="AI475" s="73">
        <f t="shared" ref="AI475" si="369">+Q475-SUM(Q476:Q485)</f>
        <v>206679.62834397866</v>
      </c>
      <c r="AJ475" s="73">
        <f t="shared" ref="AJ475:AK475" si="370">+R475-SUM(R476:R485)</f>
        <v>194478.42181098508</v>
      </c>
      <c r="AK475" s="73">
        <f t="shared" si="370"/>
        <v>233471.89060364291</v>
      </c>
    </row>
    <row r="476" spans="1:37" hidden="1" outlineLevel="2" x14ac:dyDescent="0.25">
      <c r="A476" s="16" t="s">
        <v>15</v>
      </c>
      <c r="B476" s="13">
        <f>+[1]Result!$K$15-[21]Result!$K$15</f>
        <v>43640.688852805644</v>
      </c>
      <c r="C476" s="13">
        <f>+[5]Result!$K$15-[1]Result!$K$15</f>
        <v>-74486.467875497416</v>
      </c>
      <c r="D476" s="32">
        <f>+[6]Result!$K$15-[5]Result!$K$15</f>
        <v>878737.51843590289</v>
      </c>
      <c r="E476" s="13">
        <f>+[7]Result!$K$15-[6]Result!$K$15</f>
        <v>-155769.9904807657</v>
      </c>
      <c r="F476" s="13">
        <f>+[8]Result!$K$15-[7]Result!$K$15</f>
        <v>55633.723926855251</v>
      </c>
      <c r="G476" s="32">
        <f>+[9]Result!$K$15-[8]Result!$K$15</f>
        <v>-72304.491307793185</v>
      </c>
      <c r="H476" s="13">
        <f>+[10]Result!$K$15-[9]Result!$K$15</f>
        <v>56523.705993907526</v>
      </c>
      <c r="I476" s="13">
        <f>+[11]Result!$K$15-[10]Result!$K$15</f>
        <v>-1352.0043940339237</v>
      </c>
      <c r="J476" s="32">
        <f>+[12]Result!$K$15-[11]Result!$K$15</f>
        <v>13570.436802649871</v>
      </c>
      <c r="K476" s="13">
        <f>+[13]Result!$K$15-[12]Result!$K$15</f>
        <v>-26684.689511757344</v>
      </c>
      <c r="L476" s="13">
        <f>+[14]Result!$K$15-[13]Result!$K$15</f>
        <v>83884.153080713004</v>
      </c>
      <c r="M476" s="13">
        <f>+[15]Result!$K$15-[14]Result!$K$15</f>
        <v>3712166.0462614093</v>
      </c>
      <c r="N476" s="32">
        <f>+[16]Result!$K$15-[15]Result!$K$15</f>
        <v>-26875.598763107322</v>
      </c>
      <c r="O476" s="13">
        <f>+[17]Result!$K$15-[16]Result!$K$15</f>
        <v>-88105.291634535417</v>
      </c>
      <c r="P476" s="13">
        <f>+[18]Result!$K$15-[17]Result!$K$15</f>
        <v>-283040.69596543722</v>
      </c>
      <c r="Q476" s="32">
        <f>+[19]Result!$K$15-[18]Result!$K$15</f>
        <v>4824.3023984795436</v>
      </c>
      <c r="R476" s="32">
        <f>+[20]Result!$K$15-[19]Result!$K$15</f>
        <v>-39180.85520422738</v>
      </c>
      <c r="S476" s="70">
        <f>+[22]Result!$K$15-[20]Result!$K$15</f>
        <v>-30574.30689900741</v>
      </c>
      <c r="AI476" s="73"/>
      <c r="AJ476" s="73"/>
      <c r="AK476" s="73"/>
    </row>
    <row r="477" spans="1:37" hidden="1" outlineLevel="2" x14ac:dyDescent="0.25">
      <c r="A477" s="16" t="s">
        <v>16</v>
      </c>
      <c r="B477" s="13">
        <f>+[1]Result!$K$16-[21]Result!$K$16</f>
        <v>29281.138195425272</v>
      </c>
      <c r="C477" s="13">
        <f>+[5]Result!$K$16-[1]Result!$K$16</f>
        <v>-52153.148962171748</v>
      </c>
      <c r="D477" s="32">
        <f>+[6]Result!$K$16-[5]Result!$K$16</f>
        <v>951888.89382404927</v>
      </c>
      <c r="E477" s="13">
        <f>+[7]Result!$K$16-[6]Result!$K$16</f>
        <v>-122096.78566111531</v>
      </c>
      <c r="F477" s="13">
        <f>+[8]Result!$K$16-[7]Result!$K$16</f>
        <v>46611.439845261164</v>
      </c>
      <c r="G477" s="32">
        <f>+[9]Result!$K$16-[8]Result!$K$16</f>
        <v>42076.751513682306</v>
      </c>
      <c r="H477" s="13">
        <f>+[10]Result!$K$16-[9]Result!$K$16</f>
        <v>39287.488224383444</v>
      </c>
      <c r="I477" s="13">
        <f>+[11]Result!$K$16-[10]Result!$K$16</f>
        <v>3891.9479711651802</v>
      </c>
      <c r="J477" s="32">
        <f>+[12]Result!$K$16-[11]Result!$K$16</f>
        <v>-49792.155109542422</v>
      </c>
      <c r="K477" s="13">
        <f>+[13]Result!$K$16-[12]Result!$K$16</f>
        <v>-19367.291221480817</v>
      </c>
      <c r="L477" s="13">
        <f>+[14]Result!$K$16-[13]Result!$K$16</f>
        <v>68479.930793286301</v>
      </c>
      <c r="M477" s="13">
        <f>+[15]Result!$K$16-[14]Result!$K$16</f>
        <v>1868490.3453419264</v>
      </c>
      <c r="N477" s="32">
        <f>+[16]Result!$K$16-[15]Result!$K$16</f>
        <v>-23729.432099952362</v>
      </c>
      <c r="O477" s="13">
        <f>+[17]Result!$K$16-[16]Result!$K$16</f>
        <v>-81665.431204738095</v>
      </c>
      <c r="P477" s="13">
        <f>+[18]Result!$K$16-[16]Result!$K$16</f>
        <v>-147024.78181943111</v>
      </c>
      <c r="Q477" s="32">
        <f>+[19]Result!$K$16-[16]Result!$K$16</f>
        <v>-143816.22214375157</v>
      </c>
      <c r="R477" s="32">
        <f>+[20]Result!$K$16-[16]Result!$K$16</f>
        <v>-177299.4564925665</v>
      </c>
      <c r="S477" s="70">
        <f>+[22]Result!$K$16-[16]Result!$K$16</f>
        <v>-208472.63527394459</v>
      </c>
      <c r="AI477" s="73"/>
      <c r="AJ477" s="73"/>
      <c r="AK477" s="73"/>
    </row>
    <row r="478" spans="1:37" hidden="1" outlineLevel="2" x14ac:dyDescent="0.25">
      <c r="A478" s="16" t="s">
        <v>17</v>
      </c>
      <c r="B478" s="13">
        <f>+[1]Result!$K$17-[21]Result!$K$17</f>
        <v>25750.049728025682</v>
      </c>
      <c r="C478" s="13">
        <f>+[5]Result!$K$17-[1]Result!$K$17</f>
        <v>-45895.957923974842</v>
      </c>
      <c r="D478" s="32">
        <f>+[6]Result!$K$17-[5]Result!$K$17</f>
        <v>809887.62648983859</v>
      </c>
      <c r="E478" s="13">
        <f>+[7]Result!$K$17-[6]Result!$K$17</f>
        <v>-111508.00368507393</v>
      </c>
      <c r="F478" s="13">
        <f>+[8]Result!$K$17-[7]Result!$K$17</f>
        <v>46074.283660328947</v>
      </c>
      <c r="G478" s="32">
        <f>+[9]Result!$K$17-[8]Result!$K$17</f>
        <v>66638.950314170681</v>
      </c>
      <c r="H478" s="13">
        <f>+[10]Result!$K$17-[9]Result!$K$17</f>
        <v>33128.745051760226</v>
      </c>
      <c r="I478" s="13">
        <f>+[11]Result!$K$17-[10]Result!$K$17</f>
        <v>8163.5375363612548</v>
      </c>
      <c r="J478" s="32">
        <f>+[12]Result!$K$17-[11]Result!$K$17</f>
        <v>-34304.018355074339</v>
      </c>
      <c r="K478" s="13">
        <f>+[13]Result!$K$17-[12]Result!$K$17</f>
        <v>-15885.346545117907</v>
      </c>
      <c r="L478" s="13">
        <f>+[14]Result!$K$17-[13]Result!$K$17</f>
        <v>65469.267807843164</v>
      </c>
      <c r="M478" s="13">
        <f>+[15]Result!$K$17-[14]Result!$K$17</f>
        <v>1442876.5216221306</v>
      </c>
      <c r="N478" s="32">
        <f>+[16]Result!$K$17-[15]Result!$K$17</f>
        <v>-23880.661029597744</v>
      </c>
      <c r="O478" s="13">
        <f>+[17]Result!$K$17-[16]Result!$K$17</f>
        <v>-78283.575486778282</v>
      </c>
      <c r="P478" s="13">
        <f>+[18]Result!$K$17-[17]Result!$K$17</f>
        <v>-65641.840240802616</v>
      </c>
      <c r="Q478" s="32">
        <f>+[19]Result!$K$17-[18]Result!$K$17</f>
        <v>4615.7907885592431</v>
      </c>
      <c r="R478" s="32">
        <f>+[20]Result!$K$17-[19]Result!$K$17</f>
        <v>-29606.146212027408</v>
      </c>
      <c r="S478" s="70">
        <f>+[22]Result!$K$17-[20]Result!$K$17</f>
        <v>-31793.678939360194</v>
      </c>
      <c r="AI478" s="73"/>
      <c r="AJ478" s="73"/>
      <c r="AK478" s="73"/>
    </row>
    <row r="479" spans="1:37" hidden="1" outlineLevel="2" x14ac:dyDescent="0.25">
      <c r="A479" s="16" t="s">
        <v>18</v>
      </c>
      <c r="B479" s="13">
        <f>+[1]Result!$K$18-[21]Result!$K$18</f>
        <v>27429.262522453442</v>
      </c>
      <c r="C479" s="13">
        <f>+[5]Result!$K$18-[1]Result!$K$18</f>
        <v>-43178.802756607533</v>
      </c>
      <c r="D479" s="32">
        <f>+[6]Result!$K$18-[5]Result!$K$18</f>
        <v>676936.92636262812</v>
      </c>
      <c r="E479" s="13">
        <f>+[7]Result!$K$18-[6]Result!$K$18</f>
        <v>-101924.36964297574</v>
      </c>
      <c r="F479" s="13">
        <f>+[8]Result!$K$18-[7]Result!$K$18</f>
        <v>46120.972210560925</v>
      </c>
      <c r="G479" s="32">
        <f>+[9]Result!$K$18-[8]Result!$K$18</f>
        <v>35772.06247362867</v>
      </c>
      <c r="H479" s="13">
        <f>+[10]Result!$K$18-[9]Result!$K$18</f>
        <v>31800.289844341576</v>
      </c>
      <c r="I479" s="13">
        <f>+[11]Result!$K$18-[10]Result!$K$18</f>
        <v>12226.760227639228</v>
      </c>
      <c r="J479" s="32">
        <f>+[12]Result!$K$18-[11]Result!$K$18</f>
        <v>-38813.828644710593</v>
      </c>
      <c r="K479" s="13">
        <f>+[13]Result!$K$18-[12]Result!$K$18</f>
        <v>-13602.260814021342</v>
      </c>
      <c r="L479" s="13">
        <f>+[14]Result!$K$18-[13]Result!$K$18</f>
        <v>63109.136765642092</v>
      </c>
      <c r="M479" s="13">
        <f>+[15]Result!$K$18-[14]Result!$K$18</f>
        <v>1139956.0464366893</v>
      </c>
      <c r="N479" s="32">
        <f>+[16]Result!$K$18-[15]Result!$K$18</f>
        <v>-25068.614902388304</v>
      </c>
      <c r="O479" s="13">
        <f>+[17]Result!$K$18-[16]Result!$K$18</f>
        <v>-75981.838973748498</v>
      </c>
      <c r="P479" s="13">
        <f>+[18]Result!$K$18-[17]Result!$K$18</f>
        <v>-55726.302344880532</v>
      </c>
      <c r="Q479" s="32">
        <f>+[19]Result!$K$18-[18]Result!$K$18</f>
        <v>3647.852751518134</v>
      </c>
      <c r="R479" s="32">
        <f>+[20]Result!$K$18-[19]Result!$K$18</f>
        <v>-27105.439054216258</v>
      </c>
      <c r="S479" s="70">
        <f>+[22]Result!$K$18-[20]Result!$K$18</f>
        <v>-30485.849922483787</v>
      </c>
      <c r="AI479" s="73"/>
      <c r="AJ479" s="73"/>
      <c r="AK479" s="73"/>
    </row>
    <row r="480" spans="1:37" hidden="1" outlineLevel="2" x14ac:dyDescent="0.25">
      <c r="A480" s="16" t="s">
        <v>19</v>
      </c>
      <c r="B480" s="13">
        <f>+[1]Result!$K$19-[21]Result!$K$19</f>
        <v>32986.736738103442</v>
      </c>
      <c r="C480" s="13">
        <f>+[5]Result!$K$19-[1]Result!$K$19</f>
        <v>-44432.66104651615</v>
      </c>
      <c r="D480" s="32">
        <f>+[6]Result!$K$19-[5]Result!$K$19</f>
        <v>586057.40617920831</v>
      </c>
      <c r="E480" s="13">
        <f>+[7]Result!$K$19-[6]Result!$K$19</f>
        <v>-95226.062482154928</v>
      </c>
      <c r="F480" s="13">
        <f>+[8]Result!$K$19-[7]Result!$K$19</f>
        <v>47447.398865969852</v>
      </c>
      <c r="G480" s="32">
        <f>+[9]Result!$K$19-[8]Result!$K$19</f>
        <v>69693.145743216388</v>
      </c>
      <c r="H480" s="13">
        <f>+[10]Result!$K$19-[9]Result!$K$19</f>
        <v>33667.551300263032</v>
      </c>
      <c r="I480" s="13">
        <f>+[11]Result!$K$19-[10]Result!$K$19</f>
        <v>14077.199867395684</v>
      </c>
      <c r="J480" s="32">
        <f>+[12]Result!$K$19-[11]Result!$K$19</f>
        <v>-3195.1715817144141</v>
      </c>
      <c r="K480" s="13">
        <f>+[13]Result!$K$19-[12]Result!$K$19</f>
        <v>-11864.763334673829</v>
      </c>
      <c r="L480" s="13">
        <f>+[14]Result!$K$19-[13]Result!$K$19</f>
        <v>64041.811924303882</v>
      </c>
      <c r="M480" s="13">
        <f>+[15]Result!$K$19-[14]Result!$K$19</f>
        <v>931006.48920803796</v>
      </c>
      <c r="N480" s="32">
        <f>+[16]Result!$K$19-[15]Result!$K$19</f>
        <v>-22779.61292781122</v>
      </c>
      <c r="O480" s="13">
        <f>+[17]Result!$K$19-[16]Result!$K$19</f>
        <v>-73155.422667284962</v>
      </c>
      <c r="P480" s="13">
        <f>+[18]Result!$K$19-[17]Result!$K$19</f>
        <v>-12035.59573660465</v>
      </c>
      <c r="Q480" s="32">
        <f>+[19]Result!$K$19-[18]Result!$K$19</f>
        <v>5539.4723036442883</v>
      </c>
      <c r="R480" s="32">
        <f>+[20]Result!$K$19-[19]Result!$K$19</f>
        <v>-23444.80100762099</v>
      </c>
      <c r="S480" s="70">
        <f>+[22]Result!$K$19-[20]Result!$K$19</f>
        <v>-27682.98012680281</v>
      </c>
      <c r="AI480" s="73"/>
      <c r="AJ480" s="73"/>
      <c r="AK480" s="73"/>
    </row>
    <row r="481" spans="1:37" hidden="1" outlineLevel="2" x14ac:dyDescent="0.25">
      <c r="A481" s="16" t="s">
        <v>20</v>
      </c>
      <c r="B481" s="13">
        <f>+[1]Result!$K$20-[21]Result!$K$20</f>
        <v>33815.504605432972</v>
      </c>
      <c r="C481" s="13">
        <f>+[5]Result!$K$20-[1]Result!$K$20</f>
        <v>-38241.562195008621</v>
      </c>
      <c r="D481" s="32">
        <f>+[6]Result!$K$20-[5]Result!$K$20</f>
        <v>495808.29921370745</v>
      </c>
      <c r="E481" s="13">
        <f>+[7]Result!$K$20-[6]Result!$K$20</f>
        <v>-85081.233205549885</v>
      </c>
      <c r="F481" s="13">
        <f>+[8]Result!$K$20-[7]Result!$K$20</f>
        <v>45269.933939732146</v>
      </c>
      <c r="G481" s="32">
        <f>+[9]Result!$K$20-[8]Result!$K$20</f>
        <v>83650.167409435846</v>
      </c>
      <c r="H481" s="13">
        <f>+[10]Result!$K$20-[9]Result!$K$20</f>
        <v>32523.48828944657</v>
      </c>
      <c r="I481" s="13">
        <f>+[11]Result!$K$20-[10]Result!$K$20</f>
        <v>14500.417882610578</v>
      </c>
      <c r="J481" s="32">
        <f>+[12]Result!$K$20-[11]Result!$K$20</f>
        <v>-22177.590117319021</v>
      </c>
      <c r="K481" s="13">
        <f>+[13]Result!$K$20-[12]Result!$K$20</f>
        <v>-9216.0730658075772</v>
      </c>
      <c r="L481" s="13">
        <f>+[14]Result!$K$20-[13]Result!$K$20</f>
        <v>61412.905671610497</v>
      </c>
      <c r="M481" s="13">
        <f>+[15]Result!$K$20-[14]Result!$K$20</f>
        <v>741190.47096111858</v>
      </c>
      <c r="N481" s="32">
        <f>+[16]Result!$K$20-[15]Result!$K$20</f>
        <v>-18195.581017613877</v>
      </c>
      <c r="O481" s="13">
        <f>+[17]Result!$K$20-[16]Result!$K$20</f>
        <v>-66881.825360675342</v>
      </c>
      <c r="P481" s="13">
        <f>+[18]Result!$K$20-[17]Result!$K$20</f>
        <v>-7843.490214087069</v>
      </c>
      <c r="Q481" s="32">
        <f>+[19]Result!$K$20-[18]Result!$K$20</f>
        <v>9507.5674579050392</v>
      </c>
      <c r="R481" s="32">
        <f>+[20]Result!$K$20-[19]Result!$K$20</f>
        <v>-17334.994821566623</v>
      </c>
      <c r="S481" s="70">
        <f>+[22]Result!$K$20-[20]Result!$K$20</f>
        <v>-23858.892504179385</v>
      </c>
      <c r="AI481" s="73"/>
      <c r="AJ481" s="73"/>
      <c r="AK481" s="73"/>
    </row>
    <row r="482" spans="1:37" hidden="1" outlineLevel="2" x14ac:dyDescent="0.25">
      <c r="A482" s="16" t="s">
        <v>21</v>
      </c>
      <c r="B482" s="13">
        <f>+[1]Result!$K$21-[21]Result!$K$21</f>
        <v>30893.233442449942</v>
      </c>
      <c r="C482" s="13">
        <f>+[5]Result!$K$21-[1]Result!$K$21</f>
        <v>-27914.584058411419</v>
      </c>
      <c r="D482" s="32">
        <f>+[6]Result!$K$21-[5]Result!$K$21</f>
        <v>415884.35781902773</v>
      </c>
      <c r="E482" s="13">
        <f>+[7]Result!$K$21-[6]Result!$K$21</f>
        <v>-78167.790953940246</v>
      </c>
      <c r="F482" s="13">
        <f>+[8]Result!$K$21-[7]Result!$K$21</f>
        <v>42968.529161826242</v>
      </c>
      <c r="G482" s="32">
        <f>+[9]Result!$K$21-[8]Result!$K$21</f>
        <v>78470.829287186265</v>
      </c>
      <c r="H482" s="13">
        <f>+[10]Result!$K$21-[9]Result!$K$21</f>
        <v>30330.036395153496</v>
      </c>
      <c r="I482" s="13">
        <f>+[11]Result!$K$21-[10]Result!$K$21</f>
        <v>14934.953245157842</v>
      </c>
      <c r="J482" s="32">
        <f>+[12]Result!$K$21-[11]Result!$K$21</f>
        <v>-34932.701126040891</v>
      </c>
      <c r="K482" s="13">
        <f>+[13]Result!$K$21-[12]Result!$K$21</f>
        <v>-7021.6351489447989</v>
      </c>
      <c r="L482" s="13">
        <f>+[14]Result!$K$21-[13]Result!$K$21</f>
        <v>57529.043278517202</v>
      </c>
      <c r="M482" s="13">
        <f>+[15]Result!$K$21-[14]Result!$K$21</f>
        <v>604447.00842068298</v>
      </c>
      <c r="N482" s="32">
        <f>+[16]Result!$K$21-[15]Result!$K$21</f>
        <v>-15452.384028586093</v>
      </c>
      <c r="O482" s="13">
        <f>+[17]Result!$K$21-[16]Result!$K$21</f>
        <v>-60196.205528097693</v>
      </c>
      <c r="P482" s="13">
        <f>+[18]Result!$K$21-[17]Result!$K$21</f>
        <v>-10222.622012698092</v>
      </c>
      <c r="Q482" s="32">
        <f>+[19]Result!$K$21-[18]Result!$K$21</f>
        <v>11025.481669850182</v>
      </c>
      <c r="R482" s="32">
        <f>+[20]Result!$K$21-[19]Result!$K$21</f>
        <v>-12623.126487209927</v>
      </c>
      <c r="S482" s="70">
        <f>+[22]Result!$K$21-[20]Result!$K$21</f>
        <v>-20530.120086791459</v>
      </c>
      <c r="AI482" s="73"/>
      <c r="AJ482" s="73"/>
      <c r="AK482" s="73"/>
    </row>
    <row r="483" spans="1:37" hidden="1" outlineLevel="2" x14ac:dyDescent="0.25">
      <c r="A483" s="16" t="s">
        <v>22</v>
      </c>
      <c r="B483" s="13">
        <f>+[1]Result!$K$22-[21]Result!$K$22</f>
        <v>26720.456927290186</v>
      </c>
      <c r="C483" s="13">
        <f>+[5]Result!$K$22-[1]Result!$K$22</f>
        <v>-19015.284656368196</v>
      </c>
      <c r="D483" s="32">
        <f>+[6]Result!$K$22-[5]Result!$K$22</f>
        <v>329844.04680036847</v>
      </c>
      <c r="E483" s="13">
        <f>+[7]Result!$K$22-[6]Result!$K$22</f>
        <v>-70830.007373503875</v>
      </c>
      <c r="F483" s="13">
        <f>+[8]Result!$K$22-[7]Result!$K$22</f>
        <v>40144.503679011948</v>
      </c>
      <c r="G483" s="32">
        <f>+[9]Result!$K$22-[8]Result!$K$22</f>
        <v>71544.981568617281</v>
      </c>
      <c r="H483" s="13">
        <f>+[10]Result!$K$22-[9]Result!$K$22</f>
        <v>27430.432442735415</v>
      </c>
      <c r="I483" s="13">
        <f>+[11]Result!$K$22-[10]Result!$K$22</f>
        <v>15372.549791048747</v>
      </c>
      <c r="J483" s="32">
        <f>+[12]Result!$K$22-[11]Result!$K$22</f>
        <v>-60769.494812177029</v>
      </c>
      <c r="K483" s="13">
        <f>+[13]Result!$K$22-[12]Result!$K$22</f>
        <v>-5369.6385183571838</v>
      </c>
      <c r="L483" s="13">
        <f>+[14]Result!$K$22-[13]Result!$K$22</f>
        <v>52820.729655686766</v>
      </c>
      <c r="M483" s="13">
        <f>+[15]Result!$K$22-[14]Result!$K$22</f>
        <v>480841.02775300015</v>
      </c>
      <c r="N483" s="32">
        <f>+[16]Result!$K$22-[15]Result!$K$22</f>
        <v>-14308.207465197425</v>
      </c>
      <c r="O483" s="13">
        <f>+[17]Result!$K$22-[16]Result!$K$22</f>
        <v>-54010.428840159439</v>
      </c>
      <c r="P483" s="13">
        <f>+[18]Result!$K$22-[17]Result!$K$22</f>
        <v>-23391.815170207061</v>
      </c>
      <c r="Q483" s="32">
        <f>+[19]Result!$K$22-[18]Result!$K$22</f>
        <v>11136.042460067663</v>
      </c>
      <c r="R483" s="32">
        <f>+[20]Result!$K$22-[19]Result!$K$22</f>
        <v>-9440.6016675755382</v>
      </c>
      <c r="S483" s="70">
        <f>+[22]Result!$K$22-[20]Result!$K$22</f>
        <v>-18674.988328797743</v>
      </c>
      <c r="AI483" s="73"/>
      <c r="AJ483" s="73"/>
      <c r="AK483" s="73"/>
    </row>
    <row r="484" spans="1:37" hidden="1" outlineLevel="2" x14ac:dyDescent="0.25">
      <c r="A484" s="16" t="s">
        <v>23</v>
      </c>
      <c r="B484" s="13">
        <f>+[1]Result!$K$23-[21]Result!$K$23</f>
        <v>23402.954479639884</v>
      </c>
      <c r="C484" s="13">
        <f>+[5]Result!$K$23-[1]Result!$K$23</f>
        <v>-14594.487501864322</v>
      </c>
      <c r="D484" s="32">
        <f>+[6]Result!$K$23-[5]Result!$K$23</f>
        <v>246903.4728337829</v>
      </c>
      <c r="E484" s="13">
        <f>+[7]Result!$K$23-[6]Result!$K$23</f>
        <v>-62577.174790665507</v>
      </c>
      <c r="F484" s="13">
        <f>+[8]Result!$K$23-[7]Result!$K$23</f>
        <v>37590.464415150229</v>
      </c>
      <c r="G484" s="32">
        <f>+[9]Result!$K$23-[8]Result!$K$23</f>
        <v>51148.813392877579</v>
      </c>
      <c r="H484" s="13">
        <f>+[10]Result!$K$23-[9]Result!$K$23</f>
        <v>24431.150244783144</v>
      </c>
      <c r="I484" s="13">
        <f>+[11]Result!$K$23-[10]Result!$K$23</f>
        <v>15554.462562456261</v>
      </c>
      <c r="J484" s="32">
        <f>+[12]Result!$K$23-[11]Result!$K$23</f>
        <v>-80967.788285716902</v>
      </c>
      <c r="K484" s="13">
        <f>+[13]Result!$K$23-[12]Result!$K$23</f>
        <v>-4063.6769768772647</v>
      </c>
      <c r="L484" s="13">
        <f>+[14]Result!$K$23-[13]Result!$K$23</f>
        <v>48347.099576925393</v>
      </c>
      <c r="M484" s="13">
        <f>+[15]Result!$K$23-[14]Result!$K$23</f>
        <v>378861.18870884483</v>
      </c>
      <c r="N484" s="32">
        <f>+[16]Result!$K$23-[15]Result!$K$23</f>
        <v>-13891.803520859918</v>
      </c>
      <c r="O484" s="13">
        <f>+[17]Result!$K$23-[16]Result!$K$23</f>
        <v>-49306.916427397635</v>
      </c>
      <c r="P484" s="13">
        <f>+[18]Result!$K$23-[17]Result!$K$23</f>
        <v>-26439.168039463926</v>
      </c>
      <c r="Q484" s="32">
        <f>+[19]Result!$K$23-[18]Result!$K$23</f>
        <v>10331.636891552946</v>
      </c>
      <c r="R484" s="32">
        <f>+[20]Result!$K$23-[19]Result!$K$23</f>
        <v>-7217.5011140578426</v>
      </c>
      <c r="S484" s="70">
        <f>+[22]Result!$K$23-[20]Result!$K$23</f>
        <v>-17325.75160512072</v>
      </c>
      <c r="AI484" s="73"/>
      <c r="AJ484" s="73"/>
      <c r="AK484" s="73"/>
    </row>
    <row r="485" spans="1:37" hidden="1" outlineLevel="2" x14ac:dyDescent="0.25">
      <c r="A485" s="16" t="s">
        <v>24</v>
      </c>
      <c r="B485" s="13">
        <f>+[1]Result!$K$24-[21]Result!$K$24</f>
        <v>22672.385276043788</v>
      </c>
      <c r="C485" s="13">
        <f>+[5]Result!$K$24-[1]Result!$K$24</f>
        <v>-15964.578891882207</v>
      </c>
      <c r="D485" s="32">
        <f>+[6]Result!$K$24-[5]Result!$K$24</f>
        <v>224233.60771394963</v>
      </c>
      <c r="E485" s="13">
        <f>+[7]Result!$K$24-[6]Result!$K$24</f>
        <v>-55354.348891792819</v>
      </c>
      <c r="F485" s="13">
        <f>+[8]Result!$K$24-[7]Result!$K$24</f>
        <v>36483.816758454544</v>
      </c>
      <c r="G485" s="32">
        <f>+[9]Result!$K$24-[8]Result!$K$24</f>
        <v>59447.985875579296</v>
      </c>
      <c r="H485" s="13">
        <f>+[10]Result!$K$24-[9]Result!$K$24</f>
        <v>21971.789471021155</v>
      </c>
      <c r="I485" s="13">
        <f>+[11]Result!$K$24-[10]Result!$K$24</f>
        <v>15782.450734677492</v>
      </c>
      <c r="J485" s="32">
        <f>+[12]Result!$K$24-[11]Result!$K$24</f>
        <v>-60179.621996508213</v>
      </c>
      <c r="K485" s="13">
        <f>+[13]Result!$K$24-[12]Result!$K$24</f>
        <v>-2976.6120851465967</v>
      </c>
      <c r="L485" s="13">
        <f>+[14]Result!$K$24-[13]Result!$K$24</f>
        <v>44233.396557469619</v>
      </c>
      <c r="M485" s="13">
        <f>+[15]Result!$K$24-[14]Result!$K$24</f>
        <v>321208.32497361349</v>
      </c>
      <c r="N485" s="32">
        <f>+[16]Result!$K$24-[15]Result!$K$24</f>
        <v>-13218.740178349661</v>
      </c>
      <c r="O485" s="13">
        <f>+[17]Result!$K$24-[16]Result!$K$24</f>
        <v>-44738.921796564246</v>
      </c>
      <c r="P485" s="13">
        <f>+[18]Result!$K$24-[16]Result!$K$24</f>
        <v>-59654.846524547087</v>
      </c>
      <c r="Q485" s="32">
        <f>+[19]Result!$K$24-[16]Result!$K$24</f>
        <v>-50662.199667232577</v>
      </c>
      <c r="R485" s="32">
        <f>+[20]Result!$K$24-[16]Result!$K$24</f>
        <v>-56172.434111076407</v>
      </c>
      <c r="S485" s="70">
        <f>+[22]Result!$K$24-[16]Result!$K$24</f>
        <v>-71885.4871540803</v>
      </c>
      <c r="AI485" s="73"/>
      <c r="AJ485" s="73"/>
      <c r="AK485" s="73"/>
    </row>
    <row r="486" spans="1:37" hidden="1" outlineLevel="1" x14ac:dyDescent="0.25">
      <c r="A486" s="15" t="s">
        <v>25</v>
      </c>
      <c r="B486" s="13">
        <f>+'[1]Stat by Mat'!$M$6-'[21]Stat by Mat'!$M$6</f>
        <v>130901.26927651279</v>
      </c>
      <c r="C486" s="13">
        <f>+'[5]Stat by Mat'!$M$6-'[1]Stat by Mat'!$M$6</f>
        <v>-141094.72252430953</v>
      </c>
      <c r="D486" s="32">
        <f>+'[6]Stat by Mat'!$M$6-'[5]Stat by Mat'!$M$6</f>
        <v>876946.84860748518</v>
      </c>
      <c r="E486" s="13">
        <f>+'[7]Stat by Mat'!$M$6-'[6]Stat by Mat'!$M$6</f>
        <v>-218277.67417144869</v>
      </c>
      <c r="F486" s="13">
        <f>+'[8]Stat by Mat'!$M$6-'[7]Stat by Mat'!$M$6</f>
        <v>193702.7019778695</v>
      </c>
      <c r="G486" s="32">
        <f>+'[9]Stat by Mat'!$M$6-'[8]Stat by Mat'!$M$6</f>
        <v>222239.33230191749</v>
      </c>
      <c r="H486" s="13">
        <f>+'[10]Stat by Mat'!$M$6-'[9]Stat by Mat'!$M$6</f>
        <v>101200.87783946283</v>
      </c>
      <c r="I486" s="13">
        <f>+'[11]Stat by Mat'!$M$6-'[10]Stat by Mat'!$M$6</f>
        <v>94206.549728480168</v>
      </c>
      <c r="J486" s="32">
        <f>+'[12]Stat by Mat'!$M$6-'[11]Stat by Mat'!$M$6</f>
        <v>-502339.73441515677</v>
      </c>
      <c r="K486" s="13">
        <f>+'[13]Stat by Mat'!$M$6-'[12]Stat by Mat'!$M$6</f>
        <v>-6092.088876998052</v>
      </c>
      <c r="L486" s="13">
        <f>+'[14]Stat by Mat'!$M$6-'[13]Stat by Mat'!$M$6</f>
        <v>226545.29175511934</v>
      </c>
      <c r="M486" s="13">
        <f>+'[15]Stat by Mat'!$M$6-'[14]Stat by Mat'!$M$6</f>
        <v>2185069.6941413721</v>
      </c>
      <c r="N486" s="32">
        <f>+'[16]Stat by Mat'!$M$6-'[15]Stat by Mat'!$M$6</f>
        <v>-66900.892810557969</v>
      </c>
      <c r="O486" s="13">
        <f>+'[17]Stat by Mat'!$M$6-'[16]Stat by Mat'!$M$6</f>
        <v>-190936.93048811983</v>
      </c>
      <c r="P486" s="13">
        <f>+'[18]Stat by Mat'!$M$6-'[17]Stat by Mat'!$M$6</f>
        <v>-129509.43292655889</v>
      </c>
      <c r="Q486" s="32">
        <f>+'[19]Stat by Mat'!$M$6-'[18]Stat by Mat'!$M$6</f>
        <v>36062.210924406536</v>
      </c>
      <c r="R486" s="32">
        <f>+'[20]Stat by Mat'!$M$6-'[19]Stat by Mat'!$M$6</f>
        <v>-13755.955874803476</v>
      </c>
      <c r="S486" s="70">
        <f>+'[22]Stat by Mat'!$M$6-'[20]Stat by Mat'!$M$6</f>
        <v>-72476.713568474166</v>
      </c>
      <c r="T486" s="13">
        <f>+B486-SUM(B487:B496)</f>
        <v>9.8953023552894592E-10</v>
      </c>
      <c r="U486" s="13">
        <f t="shared" ref="U486:W486" si="371">+C486-SUM(C487:C496)</f>
        <v>1.6880221664905548E-9</v>
      </c>
      <c r="V486" s="13">
        <f t="shared" si="371"/>
        <v>-2.0954757928848267E-9</v>
      </c>
      <c r="W486" s="13">
        <f t="shared" si="371"/>
        <v>2.7939677238464355E-9</v>
      </c>
      <c r="X486" s="13">
        <f t="shared" ref="X486" si="372">+F486-SUM(F487:F496)</f>
        <v>-1.2223608791828156E-9</v>
      </c>
      <c r="Y486" s="13">
        <f t="shared" ref="Y486:AE486" si="373">+G486-SUM(G487:G496)</f>
        <v>-2.9103830456733704E-10</v>
      </c>
      <c r="Z486" s="13">
        <f t="shared" si="373"/>
        <v>0</v>
      </c>
      <c r="AA486" s="13">
        <f t="shared" si="373"/>
        <v>3.4924596548080444E-10</v>
      </c>
      <c r="AB486" s="13">
        <f t="shared" si="373"/>
        <v>-7.5669959187507629E-10</v>
      </c>
      <c r="AC486" s="13">
        <f t="shared" si="373"/>
        <v>-1.1641532182693481E-10</v>
      </c>
      <c r="AD486" s="13">
        <f t="shared" si="373"/>
        <v>0</v>
      </c>
      <c r="AE486" s="13">
        <f t="shared" si="373"/>
        <v>0</v>
      </c>
      <c r="AF486" s="13">
        <f t="shared" ref="AF486" si="374">+N486-SUM(N487:N496)</f>
        <v>-2.0372681319713593E-10</v>
      </c>
      <c r="AG486" s="13">
        <f t="shared" ref="AG486:AH486" si="375">+O486-SUM(O487:O496)</f>
        <v>0</v>
      </c>
      <c r="AH486" s="13">
        <f t="shared" si="375"/>
        <v>4.6566128730773926E-10</v>
      </c>
      <c r="AI486" s="73">
        <f t="shared" ref="AI486" si="376">+Q486-SUM(Q487:Q496)</f>
        <v>5.2386894822120667E-10</v>
      </c>
      <c r="AJ486" s="73">
        <f t="shared" ref="AJ486:AK486" si="377">+R486-SUM(R487:R496)</f>
        <v>5.2386894822120667E-10</v>
      </c>
      <c r="AK486" s="73">
        <f t="shared" si="377"/>
        <v>-1.3678800314664841E-9</v>
      </c>
    </row>
    <row r="487" spans="1:37" hidden="1" outlineLevel="2" x14ac:dyDescent="0.25">
      <c r="A487" s="16" t="s">
        <v>26</v>
      </c>
      <c r="B487" s="13">
        <f>+[1]Result!$K$25-[21]Result!$K$25</f>
        <v>21767.007944380632</v>
      </c>
      <c r="C487" s="13">
        <f>+[5]Result!$K$25-[1]Result!$K$25</f>
        <v>-18583.984236335615</v>
      </c>
      <c r="D487" s="32">
        <f>+[6]Result!$K$25-[5]Result!$K$25</f>
        <v>197029.59171720082</v>
      </c>
      <c r="E487" s="13">
        <f>+[7]Result!$K$25-[6]Result!$K$25</f>
        <v>-46168.217086913995</v>
      </c>
      <c r="F487" s="13">
        <f>+[8]Result!$K$25-[7]Result!$K$25</f>
        <v>33545.421171647264</v>
      </c>
      <c r="G487" s="32">
        <f>+[9]Result!$K$25-[8]Result!$K$25</f>
        <v>58121.383614599938</v>
      </c>
      <c r="H487" s="13">
        <f>+[10]Result!$K$25-[9]Result!$K$25</f>
        <v>18991.245292346459</v>
      </c>
      <c r="I487" s="13">
        <f>+[11]Result!$K$25-[10]Result!$K$25</f>
        <v>15095.213818320306</v>
      </c>
      <c r="J487" s="32">
        <f>+[12]Result!$K$25-[11]Result!$K$25</f>
        <v>-60760.656005957862</v>
      </c>
      <c r="K487" s="13">
        <f>+[13]Result!$K$25-[12]Result!$K$25</f>
        <v>-1987.3781921821646</v>
      </c>
      <c r="L487" s="13">
        <f>+[14]Result!$K$25-[13]Result!$K$25</f>
        <v>39525.557560868794</v>
      </c>
      <c r="M487" s="13">
        <f>+[15]Result!$K$25-[14]Result!$K$25</f>
        <v>299970.96590538486</v>
      </c>
      <c r="N487" s="32">
        <f>+[16]Result!$K$25-[15]Result!$K$25</f>
        <v>-12044.013380285352</v>
      </c>
      <c r="O487" s="13">
        <f>+[17]Result!$K$25-[16]Result!$K$25</f>
        <v>-38593.68538360903</v>
      </c>
      <c r="P487" s="13">
        <f>+[18]Result!$K$25-[17]Result!$K$25</f>
        <v>-11416.720104146516</v>
      </c>
      <c r="Q487" s="32">
        <f>+[19]Result!$K$25-[18]Result!$K$25</f>
        <v>7563.5618303879164</v>
      </c>
      <c r="R487" s="32">
        <f>+[20]Result!$K$25-[19]Result!$K$25</f>
        <v>-3978.2364200016018</v>
      </c>
      <c r="S487" s="70">
        <f>+[22]Result!$K$25-[20]Result!$K$25</f>
        <v>-13970.64827951882</v>
      </c>
      <c r="AI487" s="73"/>
      <c r="AJ487" s="73"/>
      <c r="AK487" s="73"/>
    </row>
    <row r="488" spans="1:37" hidden="1" outlineLevel="2" x14ac:dyDescent="0.25">
      <c r="A488" s="16" t="s">
        <v>27</v>
      </c>
      <c r="B488" s="13">
        <f>+[1]Result!$K$26-[21]Result!$K$26</f>
        <v>20420.233405178646</v>
      </c>
      <c r="C488" s="13">
        <f>+[5]Result!$K$26-[1]Result!$K$26</f>
        <v>-19766.977987861261</v>
      </c>
      <c r="D488" s="32">
        <f>+[6]Result!$K$26-[5]Result!$K$26</f>
        <v>170667.8435970752</v>
      </c>
      <c r="E488" s="13">
        <f>+[7]Result!$K$26-[6]Result!$K$26</f>
        <v>-38253.418404942378</v>
      </c>
      <c r="F488" s="13">
        <f>+[8]Result!$K$26-[7]Result!$K$26</f>
        <v>30379.452415161068</v>
      </c>
      <c r="G488" s="32">
        <f>+[9]Result!$K$26-[8]Result!$K$26</f>
        <v>53477.575789337279</v>
      </c>
      <c r="H488" s="13">
        <f>+[10]Result!$K$26-[9]Result!$K$26</f>
        <v>16556.001512890449</v>
      </c>
      <c r="I488" s="13">
        <f>+[11]Result!$K$26-[10]Result!$K$26</f>
        <v>13968.1890887341</v>
      </c>
      <c r="J488" s="32">
        <f>+[12]Result!$K$26-[11]Result!$K$26</f>
        <v>-61878.783558818977</v>
      </c>
      <c r="K488" s="13">
        <f>+[13]Result!$K$26-[12]Result!$K$26</f>
        <v>-1468.9685066151433</v>
      </c>
      <c r="L488" s="13">
        <f>+[14]Result!$K$26-[13]Result!$K$26</f>
        <v>35243.155232815538</v>
      </c>
      <c r="M488" s="13">
        <f>+[15]Result!$K$26-[14]Result!$K$26</f>
        <v>283166.97990320064</v>
      </c>
      <c r="N488" s="32">
        <f>+[16]Result!$K$26-[15]Result!$K$26</f>
        <v>-10923.480337023735</v>
      </c>
      <c r="O488" s="13">
        <f>+[17]Result!$K$26-[16]Result!$K$26</f>
        <v>-32634.191566223279</v>
      </c>
      <c r="P488" s="13">
        <f>+[18]Result!$K$26-[17]Result!$K$26</f>
        <v>-11933.232469428098</v>
      </c>
      <c r="Q488" s="32">
        <f>+[19]Result!$K$26-[18]Result!$K$26</f>
        <v>6290.2869818147738</v>
      </c>
      <c r="R488" s="32">
        <f>+[20]Result!$K$26-[19]Result!$K$26</f>
        <v>-2841.754408741137</v>
      </c>
      <c r="S488" s="70">
        <f>+[22]Result!$K$26-[20]Result!$K$26</f>
        <v>-12173.29982540058</v>
      </c>
      <c r="AI488" s="73"/>
      <c r="AJ488" s="73"/>
      <c r="AK488" s="73"/>
    </row>
    <row r="489" spans="1:37" hidden="1" outlineLevel="2" x14ac:dyDescent="0.25">
      <c r="A489" s="16" t="s">
        <v>28</v>
      </c>
      <c r="B489" s="13">
        <f>+[1]Result!$K$27-[21]Result!$K$27</f>
        <v>18396.854061903199</v>
      </c>
      <c r="C489" s="13">
        <f>+[5]Result!$K$27-[1]Result!$K$27</f>
        <v>-19280.447264463408</v>
      </c>
      <c r="D489" s="32">
        <f>+[6]Result!$K$27-[5]Result!$K$27</f>
        <v>139940.83771041478</v>
      </c>
      <c r="E489" s="13">
        <f>+[7]Result!$K$27-[6]Result!$K$27</f>
        <v>-31398.138444231125</v>
      </c>
      <c r="F489" s="13">
        <f>+[8]Result!$K$27-[7]Result!$K$27</f>
        <v>26976.67295284383</v>
      </c>
      <c r="G489" s="32">
        <f>+[9]Result!$K$27-[8]Result!$K$27</f>
        <v>44457.548674747581</v>
      </c>
      <c r="H489" s="13">
        <f>+[10]Result!$K$27-[9]Result!$K$27</f>
        <v>14226.431368158199</v>
      </c>
      <c r="I489" s="13">
        <f>+[11]Result!$K$27-[10]Result!$K$27</f>
        <v>12697.940785201732</v>
      </c>
      <c r="J489" s="32">
        <f>+[12]Result!$K$27-[11]Result!$K$27</f>
        <v>-67059.176686070394</v>
      </c>
      <c r="K489" s="13">
        <f>+[13]Result!$K$27-[12]Result!$K$27</f>
        <v>-1037.2621937128715</v>
      </c>
      <c r="L489" s="13">
        <f>+[14]Result!$K$27-[13]Result!$K$27</f>
        <v>31167.991221667267</v>
      </c>
      <c r="M489" s="13">
        <f>+[15]Result!$K$27-[14]Result!$K$27</f>
        <v>264030.22996747028</v>
      </c>
      <c r="N489" s="32">
        <f>+[16]Result!$K$27-[15]Result!$K$27</f>
        <v>-9588.7706092316657</v>
      </c>
      <c r="O489" s="13">
        <f>+[17]Result!$K$27-[16]Result!$K$27</f>
        <v>-27796.11308809917</v>
      </c>
      <c r="P489" s="13">
        <f>+[18]Result!$K$27-[17]Result!$K$27</f>
        <v>-16423.943588143331</v>
      </c>
      <c r="Q489" s="32">
        <f>+[19]Result!$K$27-[18]Result!$K$27</f>
        <v>5250.5606156198774</v>
      </c>
      <c r="R489" s="32">
        <f>+[20]Result!$K$27-[19]Result!$K$27</f>
        <v>-2157.6288293084363</v>
      </c>
      <c r="S489" s="70">
        <f>+[22]Result!$K$27-[20]Result!$K$27</f>
        <v>-10454.381832936662</v>
      </c>
      <c r="AI489" s="73"/>
      <c r="AJ489" s="73"/>
      <c r="AK489" s="73"/>
    </row>
    <row r="490" spans="1:37" hidden="1" outlineLevel="2" x14ac:dyDescent="0.25">
      <c r="A490" s="16" t="s">
        <v>29</v>
      </c>
      <c r="B490" s="13">
        <f>+[1]Result!$K$28-[21]Result!$K$28</f>
        <v>16316.861675300868</v>
      </c>
      <c r="C490" s="13">
        <f>+[5]Result!$K$28-[1]Result!$K$28</f>
        <v>-17979.802723492961</v>
      </c>
      <c r="D490" s="32">
        <f>+[6]Result!$K$28-[5]Result!$K$28</f>
        <v>107999.87130025704</v>
      </c>
      <c r="E490" s="13">
        <f>+[7]Result!$K$28-[6]Result!$K$28</f>
        <v>-26075.558600498713</v>
      </c>
      <c r="F490" s="13">
        <f>+[8]Result!$K$28-[7]Result!$K$28</f>
        <v>23899.509752117214</v>
      </c>
      <c r="G490" s="32">
        <f>+[9]Result!$K$28-[8]Result!$K$28</f>
        <v>22610.235757008079</v>
      </c>
      <c r="H490" s="13">
        <f>+[10]Result!$K$28-[9]Result!$K$28</f>
        <v>12281.45004217478</v>
      </c>
      <c r="I490" s="13">
        <f>+[11]Result!$K$28-[10]Result!$K$28</f>
        <v>11686.734715591418</v>
      </c>
      <c r="J490" s="32">
        <f>+[12]Result!$K$28-[11]Result!$K$28</f>
        <v>-68331.131561501301</v>
      </c>
      <c r="K490" s="13">
        <f>+[13]Result!$K$28-[12]Result!$K$28</f>
        <v>-704.75637319288217</v>
      </c>
      <c r="L490" s="13">
        <f>+[14]Result!$K$28-[13]Result!$K$28</f>
        <v>27911.302674001432</v>
      </c>
      <c r="M490" s="13">
        <f>+[15]Result!$K$28-[14]Result!$K$28</f>
        <v>245672.55997724831</v>
      </c>
      <c r="N490" s="32">
        <f>+[16]Result!$K$28-[15]Result!$K$28</f>
        <v>-8632.9883210271364</v>
      </c>
      <c r="O490" s="13">
        <f>+[17]Result!$K$28-[16]Result!$K$28</f>
        <v>-24365.031375135994</v>
      </c>
      <c r="P490" s="13">
        <f>+[18]Result!$K$28-[17]Result!$K$28</f>
        <v>-15697.480122084962</v>
      </c>
      <c r="Q490" s="32">
        <f>+[19]Result!$K$28-[18]Result!$K$28</f>
        <v>4559.004363568034</v>
      </c>
      <c r="R490" s="32">
        <f>+[20]Result!$K$28-[19]Result!$K$28</f>
        <v>-1636.3703511566855</v>
      </c>
      <c r="S490" s="70">
        <f>+[22]Result!$K$28-[20]Result!$K$28</f>
        <v>-9258.1845362096792</v>
      </c>
      <c r="AI490" s="73"/>
      <c r="AJ490" s="73"/>
      <c r="AK490" s="73"/>
    </row>
    <row r="491" spans="1:37" hidden="1" outlineLevel="2" x14ac:dyDescent="0.25">
      <c r="A491" s="16" t="s">
        <v>30</v>
      </c>
      <c r="B491" s="13">
        <f>+[1]Result!$K$29-[21]Result!$K$29</f>
        <v>14779.87957145425</v>
      </c>
      <c r="C491" s="13">
        <f>+[5]Result!$K$29-[1]Result!$K$29</f>
        <v>-17080.155049039633</v>
      </c>
      <c r="D491" s="32">
        <f>+[6]Result!$K$29-[5]Result!$K$29</f>
        <v>91700.986396151013</v>
      </c>
      <c r="E491" s="13">
        <f>+[7]Result!$K$29-[6]Result!$K$29</f>
        <v>-22250.761745923199</v>
      </c>
      <c r="F491" s="13">
        <f>+[8]Result!$K$29-[7]Result!$K$29</f>
        <v>21530.574963678257</v>
      </c>
      <c r="G491" s="32">
        <f>+[9]Result!$K$29-[8]Result!$K$29</f>
        <v>23551.975124502322</v>
      </c>
      <c r="H491" s="13">
        <f>+[10]Result!$K$29-[9]Result!$K$29</f>
        <v>10706.853897801484</v>
      </c>
      <c r="I491" s="13">
        <f>+[11]Result!$K$29-[10]Result!$K$29</f>
        <v>10762.583469676552</v>
      </c>
      <c r="J491" s="32">
        <f>+[12]Result!$K$29-[11]Result!$K$29</f>
        <v>-48728.915173092624</v>
      </c>
      <c r="K491" s="13">
        <f>+[13]Result!$K$29-[12]Result!$K$29</f>
        <v>-413.96433286613319</v>
      </c>
      <c r="L491" s="13">
        <f>+[14]Result!$K$29-[13]Result!$K$29</f>
        <v>24482.733403910534</v>
      </c>
      <c r="M491" s="13">
        <f>+[15]Result!$K$29-[14]Result!$K$29</f>
        <v>230673.83789077052</v>
      </c>
      <c r="N491" s="32">
        <f>+[16]Result!$K$29-[15]Result!$K$29</f>
        <v>-7512.2014377858723</v>
      </c>
      <c r="O491" s="13">
        <f>+[17]Result!$K$29-[16]Result!$K$29</f>
        <v>-20504.745358416345</v>
      </c>
      <c r="P491" s="13">
        <f>+[18]Result!$K$29-[17]Result!$K$29</f>
        <v>-5489.0312408283353</v>
      </c>
      <c r="Q491" s="32">
        <f>+[19]Result!$K$29-[18]Result!$K$29</f>
        <v>3773.0413873346988</v>
      </c>
      <c r="R491" s="32">
        <f>+[20]Result!$K$29-[19]Result!$K$29</f>
        <v>-1152.1078741048696</v>
      </c>
      <c r="S491" s="70">
        <f>+[22]Result!$K$29-[20]Result!$K$29</f>
        <v>-7817.6760599303525</v>
      </c>
      <c r="AI491" s="73"/>
      <c r="AJ491" s="73"/>
      <c r="AK491" s="73"/>
    </row>
    <row r="492" spans="1:37" hidden="1" outlineLevel="2" x14ac:dyDescent="0.25">
      <c r="A492" s="16" t="s">
        <v>31</v>
      </c>
      <c r="B492" s="13">
        <f>+[1]Result!$K$30-[21]Result!$K$30</f>
        <v>12109.457855049055</v>
      </c>
      <c r="C492" s="13">
        <f>+[5]Result!$K$30-[1]Result!$K$30</f>
        <v>-14444.757731211139</v>
      </c>
      <c r="D492" s="32">
        <f>+[6]Result!$K$30-[5]Result!$K$30</f>
        <v>73800.916880300385</v>
      </c>
      <c r="E492" s="13">
        <f>+[7]Result!$K$30-[6]Result!$K$30</f>
        <v>-17203.640476209461</v>
      </c>
      <c r="F492" s="13">
        <f>+[8]Result!$K$30-[7]Result!$K$30</f>
        <v>17290.047564658918</v>
      </c>
      <c r="G492" s="32">
        <f>+[9]Result!$K$30-[8]Result!$K$30</f>
        <v>23657.482216961915</v>
      </c>
      <c r="H492" s="13">
        <f>+[10]Result!$K$30-[9]Result!$K$30</f>
        <v>8446.932898859377</v>
      </c>
      <c r="I492" s="13">
        <f>+[11]Result!$K$30-[10]Result!$K$30</f>
        <v>8727.2148718648823</v>
      </c>
      <c r="J492" s="32">
        <f>+[12]Result!$K$30-[11]Result!$K$30</f>
        <v>-46790.724790202337</v>
      </c>
      <c r="K492" s="13">
        <f>+[13]Result!$K$30-[12]Result!$K$30</f>
        <v>-169.28483918739948</v>
      </c>
      <c r="L492" s="13">
        <f>+[14]Result!$K$30-[13]Result!$K$30</f>
        <v>19756.887938412023</v>
      </c>
      <c r="M492" s="13">
        <f>+[15]Result!$K$30-[14]Result!$K$30</f>
        <v>214332.45220267854</v>
      </c>
      <c r="N492" s="32">
        <f>+[16]Result!$K$30-[15]Result!$K$30</f>
        <v>-5733.0857521401485</v>
      </c>
      <c r="O492" s="13">
        <f>+[17]Result!$K$30-[16]Result!$K$30</f>
        <v>-15220.371579463477</v>
      </c>
      <c r="P492" s="13">
        <f>+[18]Result!$K$30-[17]Result!$K$30</f>
        <v>-4437.0662566935061</v>
      </c>
      <c r="Q492" s="32">
        <f>+[19]Result!$K$30-[18]Result!$K$30</f>
        <v>2740.4786816674168</v>
      </c>
      <c r="R492" s="32">
        <f>+[20]Result!$K$30-[19]Result!$K$30</f>
        <v>-756.01018455275334</v>
      </c>
      <c r="S492" s="70">
        <f>+[22]Result!$K$30-[20]Result!$K$30</f>
        <v>-5802.2645290454384</v>
      </c>
      <c r="AI492" s="73"/>
      <c r="AJ492" s="73"/>
      <c r="AK492" s="73"/>
    </row>
    <row r="493" spans="1:37" hidden="1" outlineLevel="2" x14ac:dyDescent="0.25">
      <c r="A493" s="16" t="s">
        <v>32</v>
      </c>
      <c r="B493" s="13">
        <f>+[1]Result!$K$31-[21]Result!$K$31</f>
        <v>9500.7427487205714</v>
      </c>
      <c r="C493" s="13">
        <f>+[5]Result!$K$31-[1]Result!$K$31</f>
        <v>-11628.865435460932</v>
      </c>
      <c r="D493" s="32">
        <f>+[6]Result!$K$31-[5]Result!$K$31</f>
        <v>52996.434219582065</v>
      </c>
      <c r="E493" s="13">
        <f>+[7]Result!$K$31-[6]Result!$K$31</f>
        <v>-12980.440069515724</v>
      </c>
      <c r="F493" s="13">
        <f>+[8]Result!$K$31-[7]Result!$K$31</f>
        <v>13580.385004281008</v>
      </c>
      <c r="G493" s="32">
        <f>+[9]Result!$K$31-[8]Result!$K$31</f>
        <v>18298.637568520207</v>
      </c>
      <c r="H493" s="13">
        <f>+[10]Result!$K$31-[9]Result!$K$31</f>
        <v>6532.1454171479563</v>
      </c>
      <c r="I493" s="13">
        <f>+[11]Result!$K$31-[10]Result!$K$31</f>
        <v>6814.6982906042249</v>
      </c>
      <c r="J493" s="32">
        <f>+[12]Result!$K$31-[11]Result!$K$31</f>
        <v>-45203.294969741022</v>
      </c>
      <c r="K493" s="13">
        <f>+[13]Result!$K$31-[12]Result!$K$31</f>
        <v>-204.36158929404337</v>
      </c>
      <c r="L493" s="13">
        <f>+[14]Result!$K$31-[13]Result!$K$31</f>
        <v>15722.705608174554</v>
      </c>
      <c r="M493" s="13">
        <f>+[15]Result!$K$31-[14]Result!$K$31</f>
        <v>204321.74729518982</v>
      </c>
      <c r="N493" s="32">
        <f>+[16]Result!$K$31-[15]Result!$K$31</f>
        <v>-4158.4197636799072</v>
      </c>
      <c r="O493" s="13">
        <f>+[17]Result!$K$31-[16]Result!$K$31</f>
        <v>-10634.729908198584</v>
      </c>
      <c r="P493" s="13">
        <f>+[18]Result!$K$31-[17]Result!$K$31</f>
        <v>-2357.8347639468848</v>
      </c>
      <c r="Q493" s="32">
        <f>+[19]Result!$K$31-[18]Result!$K$31</f>
        <v>1906.6444439704064</v>
      </c>
      <c r="R493" s="32">
        <f>+[20]Result!$K$31-[19]Result!$K$31</f>
        <v>-496.24919135175878</v>
      </c>
      <c r="S493" s="70">
        <f>+[22]Result!$K$31-[20]Result!$K$31</f>
        <v>-4040.5838284818456</v>
      </c>
      <c r="AI493" s="73"/>
      <c r="AJ493" s="73"/>
      <c r="AK493" s="73"/>
    </row>
    <row r="494" spans="1:37" hidden="1" outlineLevel="2" x14ac:dyDescent="0.25">
      <c r="A494" s="16" t="s">
        <v>33</v>
      </c>
      <c r="B494" s="13">
        <f>+[1]Result!$K$32-[21]Result!$K$32</f>
        <v>6971.3518062524963</v>
      </c>
      <c r="C494" s="13">
        <f>+[5]Result!$K$32-[1]Result!$K$32</f>
        <v>-8775.5828506725957</v>
      </c>
      <c r="D494" s="32">
        <f>+[6]Result!$K$32-[5]Result!$K$32</f>
        <v>35758.454573903466</v>
      </c>
      <c r="E494" s="13">
        <f>+[7]Result!$K$32-[6]Result!$K$32</f>
        <v>-9287.6202280115685</v>
      </c>
      <c r="F494" s="13">
        <f>+[8]Result!$K$32-[7]Result!$K$32</f>
        <v>10084.862141913443</v>
      </c>
      <c r="G494" s="32">
        <f>+[9]Result!$K$32-[8]Result!$K$32</f>
        <v>12369.216818289366</v>
      </c>
      <c r="H494" s="13">
        <f>+[10]Result!$K$32-[9]Result!$K$32</f>
        <v>4813.9157545322087</v>
      </c>
      <c r="I494" s="13">
        <f>+[11]Result!$K$32-[10]Result!$K$32</f>
        <v>5120.2607194787706</v>
      </c>
      <c r="J494" s="32">
        <f>+[12]Result!$K$32-[11]Result!$K$32</f>
        <v>-50239.978265264421</v>
      </c>
      <c r="K494" s="13">
        <f>+[13]Result!$K$32-[12]Result!$K$32</f>
        <v>-106.11284994729795</v>
      </c>
      <c r="L494" s="13">
        <f>+[14]Result!$K$32-[13]Result!$K$32</f>
        <v>12138.54946406855</v>
      </c>
      <c r="M494" s="13">
        <f>+[15]Result!$K$32-[14]Result!$K$32</f>
        <v>182637.00623601992</v>
      </c>
      <c r="N494" s="32">
        <f>+[16]Result!$K$32-[15]Result!$K$32</f>
        <v>-2840.0147936739377</v>
      </c>
      <c r="O494" s="13">
        <f>+[17]Result!$K$32-[16]Result!$K$32</f>
        <v>-7254.7874937533052</v>
      </c>
      <c r="P494" s="13">
        <f>+[18]Result!$K$32-[17]Result!$K$32</f>
        <v>-17002.92779749888</v>
      </c>
      <c r="Q494" s="32">
        <f>+[19]Result!$K$32-[18]Result!$K$32</f>
        <v>1380.5367149670783</v>
      </c>
      <c r="R494" s="32">
        <f>+[20]Result!$K$32-[19]Result!$K$32</f>
        <v>-305.7031822821009</v>
      </c>
      <c r="S494" s="70">
        <f>+[22]Result!$K$32-[20]Result!$K$32</f>
        <v>-2991.4072376236727</v>
      </c>
      <c r="AI494" s="73"/>
      <c r="AJ494" s="73"/>
      <c r="AK494" s="73"/>
    </row>
    <row r="495" spans="1:37" hidden="1" outlineLevel="2" x14ac:dyDescent="0.25">
      <c r="A495" s="16" t="s">
        <v>34</v>
      </c>
      <c r="B495" s="13">
        <f>+[1]Result!$K$33-[21]Result!$K$33</f>
        <v>5181.4804763528518</v>
      </c>
      <c r="C495" s="13">
        <f>+[5]Result!$K$33-[1]Result!$K$33</f>
        <v>-6574.0563138023135</v>
      </c>
      <c r="D495" s="32">
        <f>+[6]Result!$K$33-[5]Result!$K$33</f>
        <v>2739.2450622351025</v>
      </c>
      <c r="E495" s="13">
        <f>+[7]Result!$K$33-[6]Result!$K$33</f>
        <v>-7275.4614333310747</v>
      </c>
      <c r="F495" s="13">
        <f>+[8]Result!$K$33-[7]Result!$K$33</f>
        <v>8045.7735756851034</v>
      </c>
      <c r="G495" s="32">
        <f>+[9]Result!$K$33-[8]Result!$K$33</f>
        <v>-18034.763795707724</v>
      </c>
      <c r="H495" s="13">
        <f>+[10]Result!$K$33-[9]Result!$K$33</f>
        <v>4263.6628680931171</v>
      </c>
      <c r="I495" s="13">
        <f>+[11]Result!$K$33-[10]Result!$K$33</f>
        <v>4577.5160472871503</v>
      </c>
      <c r="J495" s="32">
        <f>+[12]Result!$K$33-[11]Result!$K$33</f>
        <v>-49717.568934497773</v>
      </c>
      <c r="K495" s="13">
        <f>+[13]Result!$K$33-[12]Result!$K$33</f>
        <v>0</v>
      </c>
      <c r="L495" s="13">
        <f>+[14]Result!$K$33-[13]Result!$K$33</f>
        <v>10855.937542176573</v>
      </c>
      <c r="M495" s="13">
        <f>+[15]Result!$K$33-[14]Result!$K$33</f>
        <v>151508.6488815973</v>
      </c>
      <c r="N495" s="32">
        <f>+[16]Result!$K$33-[15]Result!$K$33</f>
        <v>-2661.0467055198387</v>
      </c>
      <c r="O495" s="13">
        <f>+[17]Result!$K$33-[16]Result!$K$33</f>
        <v>-6853.3805466490448</v>
      </c>
      <c r="P495" s="13">
        <f>+[18]Result!$K$33-[17]Result!$K$33</f>
        <v>-28141.927015575202</v>
      </c>
      <c r="Q495" s="32">
        <f>+[19]Result!$K$33-[18]Result!$K$33</f>
        <v>1335.7945595187775</v>
      </c>
      <c r="R495" s="32">
        <f>+[20]Result!$K$33-[19]Result!$K$33</f>
        <v>-247.92493986405316</v>
      </c>
      <c r="S495" s="70">
        <f>+[22]Result!$K$33-[20]Result!$K$33</f>
        <v>-3028.7850413893175</v>
      </c>
      <c r="AI495" s="73"/>
      <c r="AJ495" s="73"/>
      <c r="AK495" s="73"/>
    </row>
    <row r="496" spans="1:37" hidden="1" outlineLevel="2" x14ac:dyDescent="0.25">
      <c r="A496" s="16" t="s">
        <v>35</v>
      </c>
      <c r="B496" s="13">
        <f>+[1]Result!$K$34-[21]Result!$K$34</f>
        <v>5457.3997319192276</v>
      </c>
      <c r="C496" s="13">
        <f>+[5]Result!$K$34-[1]Result!$K$34</f>
        <v>-6980.0929319713614</v>
      </c>
      <c r="D496" s="32">
        <f>+[6]Result!$K$34-[5]Result!$K$34</f>
        <v>4312.6671503674588</v>
      </c>
      <c r="E496" s="13">
        <f>+[7]Result!$K$34-[6]Result!$K$34</f>
        <v>-7384.4176818742417</v>
      </c>
      <c r="F496" s="13">
        <f>+[8]Result!$K$34-[7]Result!$K$34</f>
        <v>8370.0024358846131</v>
      </c>
      <c r="G496" s="32">
        <f>+[9]Result!$K$34-[8]Result!$K$34</f>
        <v>-16269.959466341184</v>
      </c>
      <c r="H496" s="13">
        <f>+[10]Result!$K$34-[9]Result!$K$34</f>
        <v>4382.2387874587439</v>
      </c>
      <c r="I496" s="13">
        <f>+[11]Result!$K$34-[10]Result!$K$34</f>
        <v>4756.1979217206826</v>
      </c>
      <c r="J496" s="32">
        <f>+[12]Result!$K$34-[11]Result!$K$34</f>
        <v>-3629.5044700092985</v>
      </c>
      <c r="K496" s="13">
        <f>+[13]Result!$K$34-[12]Result!$K$34</f>
        <v>0</v>
      </c>
      <c r="L496" s="13">
        <f>+[14]Result!$K$34-[13]Result!$K$34</f>
        <v>9740.4711090241326</v>
      </c>
      <c r="M496" s="13">
        <f>+[15]Result!$K$34-[14]Result!$K$34</f>
        <v>108755.26588181205</v>
      </c>
      <c r="N496" s="32">
        <f>+[16]Result!$K$34-[15]Result!$K$34</f>
        <v>-2806.8717101901711</v>
      </c>
      <c r="O496" s="13">
        <f>+[17]Result!$K$34-[16]Result!$K$34</f>
        <v>-7079.8941885715176</v>
      </c>
      <c r="P496" s="13">
        <f>+[18]Result!$K$34-[17]Result!$K$34</f>
        <v>-16609.26956821364</v>
      </c>
      <c r="Q496" s="32">
        <f>+[19]Result!$K$34-[18]Result!$K$34</f>
        <v>1262.3013455570326</v>
      </c>
      <c r="R496" s="32">
        <f>+[20]Result!$K$34-[19]Result!$K$34</f>
        <v>-183.9704934406036</v>
      </c>
      <c r="S496" s="70">
        <f>+[22]Result!$K$34-[20]Result!$K$34</f>
        <v>-2939.4823979364301</v>
      </c>
      <c r="AI496" s="73"/>
      <c r="AJ496" s="73"/>
      <c r="AK496" s="73"/>
    </row>
    <row r="497" spans="1:37" hidden="1" outlineLevel="1" x14ac:dyDescent="0.25">
      <c r="A497" s="15" t="s">
        <v>36</v>
      </c>
      <c r="B497" s="13">
        <f>+'[1]Stat by Mat'!$M$7-'[21]Stat by Mat'!$M$7</f>
        <v>10338.988347766339</v>
      </c>
      <c r="C497" s="13">
        <f>+'[5]Stat by Mat'!$M$7-'[1]Stat by Mat'!$M$7</f>
        <v>-13599.653718880378</v>
      </c>
      <c r="D497" s="32">
        <f>+'[6]Stat by Mat'!$M$7-'[5]Stat by Mat'!$M$7</f>
        <v>17270.489261775161</v>
      </c>
      <c r="E497" s="13">
        <f>+'[7]Stat by Mat'!$M$7-'[6]Stat by Mat'!$M$7</f>
        <v>-12952.796904878574</v>
      </c>
      <c r="F497" s="13">
        <f>+'[8]Stat by Mat'!$M$7-'[7]Stat by Mat'!$M$7</f>
        <v>15531.086410807096</v>
      </c>
      <c r="G497" s="32">
        <f>+'[9]Stat by Mat'!$M$7-'[8]Stat by Mat'!$M$7</f>
        <v>-13158.723082025419</v>
      </c>
      <c r="H497" s="13">
        <f>+'[10]Stat by Mat'!$M$7-'[9]Stat by Mat'!$M$7</f>
        <v>7669.7416181543376</v>
      </c>
      <c r="I497" s="13">
        <f>+'[11]Stat by Mat'!$M$7-'[10]Stat by Mat'!$M$7</f>
        <v>8803.6072091500973</v>
      </c>
      <c r="J497" s="32">
        <f>+'[12]Stat by Mat'!$M$7-'[11]Stat by Mat'!$M$7</f>
        <v>-22109.92605529225</v>
      </c>
      <c r="K497" s="13">
        <f>+'[13]Stat by Mat'!$M$7-'[12]Stat by Mat'!$M$7</f>
        <v>128.18014119064901</v>
      </c>
      <c r="L497" s="13">
        <f>+'[14]Stat by Mat'!$M$7-'[13]Stat by Mat'!$M$7</f>
        <v>18212.745299290633</v>
      </c>
      <c r="M497" s="13">
        <f>+'[15]Stat by Mat'!$M$7-'[14]Stat by Mat'!$M$7</f>
        <v>283865.33539408486</v>
      </c>
      <c r="N497" s="32">
        <f>+'[16]Stat by Mat'!$M$7-'[15]Stat by Mat'!$M$7</f>
        <v>-3914.6795766148134</v>
      </c>
      <c r="O497" s="13">
        <f>+'[17]Stat by Mat'!$M$7-'[16]Stat by Mat'!$M$7</f>
        <v>-9720.2220462480327</v>
      </c>
      <c r="P497" s="13">
        <f>+'[18]Stat by Mat'!$M$7-'[17]Stat by Mat'!$M$7</f>
        <v>-89604.760656198428</v>
      </c>
      <c r="Q497" s="32">
        <f>+'[19]Stat by Mat'!$M$7-'[18]Stat by Mat'!$M$7</f>
        <v>2022.3397799602244</v>
      </c>
      <c r="R497" s="32">
        <f>+'[20]Stat by Mat'!$M$7-'[19]Stat by Mat'!$M$7</f>
        <v>-164.10899952606997</v>
      </c>
      <c r="S497" s="70">
        <f>+'[22]Stat by Mat'!$M$7-'[20]Stat by Mat'!$M$7</f>
        <v>-4942.7918305215426</v>
      </c>
      <c r="T497" s="13">
        <f>+B497-SUM(B498:B517)</f>
        <v>1.6370904631912708E-11</v>
      </c>
      <c r="U497" s="13">
        <f t="shared" ref="U497:W497" si="378">+C497-SUM(C498:C517)</f>
        <v>4.0017766878008842E-11</v>
      </c>
      <c r="V497" s="13">
        <f t="shared" si="378"/>
        <v>-1.127773430198431E-10</v>
      </c>
      <c r="W497" s="13">
        <f t="shared" si="378"/>
        <v>6.9121597334742546E-11</v>
      </c>
      <c r="X497" s="13">
        <f t="shared" ref="X497" si="379">+F497-SUM(F498:F517)</f>
        <v>-7.0940586738288403E-11</v>
      </c>
      <c r="Y497" s="13">
        <f t="shared" ref="Y497:AE497" si="380">+G497-SUM(G498:G517)</f>
        <v>3.4560798667371273E-11</v>
      </c>
      <c r="Z497" s="13">
        <f t="shared" si="380"/>
        <v>7.0940586738288403E-11</v>
      </c>
      <c r="AA497" s="13">
        <f t="shared" si="380"/>
        <v>-3.2741809263825417E-11</v>
      </c>
      <c r="AB497" s="13">
        <f t="shared" si="380"/>
        <v>-8.0035533756017685E-11</v>
      </c>
      <c r="AC497" s="13">
        <f t="shared" si="380"/>
        <v>1.5364776118076406E-10</v>
      </c>
      <c r="AD497" s="13">
        <f t="shared" si="380"/>
        <v>0</v>
      </c>
      <c r="AE497" s="13">
        <f t="shared" si="380"/>
        <v>0</v>
      </c>
      <c r="AF497" s="13">
        <f t="shared" ref="AF497" si="381">+N497-SUM(N498:N517)</f>
        <v>-1.1368683772161603E-11</v>
      </c>
      <c r="AG497" s="13">
        <f t="shared" ref="AG497:AH497" si="382">+O497-SUM(O498:O517)</f>
        <v>-2.0008883439004421E-11</v>
      </c>
      <c r="AH497" s="13">
        <f t="shared" si="382"/>
        <v>0</v>
      </c>
      <c r="AI497" s="73">
        <f t="shared" ref="AI497" si="383">+Q497-SUM(Q498:Q517)</f>
        <v>5.9117155615240335E-12</v>
      </c>
      <c r="AJ497" s="73">
        <f t="shared" ref="AJ497:AK497" si="384">+R497-SUM(R498:R517)</f>
        <v>1.6200374375330284E-11</v>
      </c>
      <c r="AK497" s="73">
        <f t="shared" si="384"/>
        <v>2.5465851649641991E-11</v>
      </c>
    </row>
    <row r="498" spans="1:37" hidden="1" outlineLevel="2" x14ac:dyDescent="0.25">
      <c r="A498" s="16" t="s">
        <v>37</v>
      </c>
      <c r="B498" s="13">
        <f>+[1]Result!$K$35-[21]Result!$K$35</f>
        <v>3090.9837853585195</v>
      </c>
      <c r="C498" s="13">
        <f>+[5]Result!$K$35-[1]Result!$K$35</f>
        <v>-3992.3726789651846</v>
      </c>
      <c r="D498" s="32">
        <f>+[6]Result!$K$35-[5]Result!$K$35</f>
        <v>3864.7645029760315</v>
      </c>
      <c r="E498" s="13">
        <f>+[7]Result!$K$35-[6]Result!$K$35</f>
        <v>-4040.0874897149042</v>
      </c>
      <c r="F498" s="13">
        <f>+[8]Result!$K$35-[7]Result!$K$35</f>
        <v>4699.7196648576646</v>
      </c>
      <c r="G498" s="32">
        <f>+[9]Result!$K$35-[8]Result!$K$35</f>
        <v>-5470.7536020306288</v>
      </c>
      <c r="H498" s="13">
        <f>+[10]Result!$K$35-[9]Result!$K$35</f>
        <v>2373.209532404464</v>
      </c>
      <c r="I498" s="13">
        <f>+[11]Result!$K$35-[10]Result!$K$35</f>
        <v>2631.6896973676921</v>
      </c>
      <c r="J498" s="32">
        <f>+[12]Result!$K$35-[11]Result!$K$35</f>
        <v>-3207.613644140074</v>
      </c>
      <c r="K498" s="13">
        <f>+[13]Result!$K$35-[12]Result!$K$35</f>
        <v>0</v>
      </c>
      <c r="L498" s="13">
        <f>+[14]Result!$K$35-[13]Result!$K$35</f>
        <v>5405.1913054400356</v>
      </c>
      <c r="M498" s="13">
        <f>+[15]Result!$K$35-[14]Result!$K$35</f>
        <v>66131.143177339502</v>
      </c>
      <c r="N498" s="32">
        <f>+[16]Result!$K$35-[15]Result!$K$35</f>
        <v>-1470.5264992102602</v>
      </c>
      <c r="O498" s="13">
        <f>+[17]Result!$K$35-[16]Result!$K$35</f>
        <v>-3667.7518187698006</v>
      </c>
      <c r="P498" s="13">
        <f>+[18]Result!$K$35-[17]Result!$K$35</f>
        <v>-12335.132234971141</v>
      </c>
      <c r="Q498" s="32">
        <f>+[19]Result!$K$35-[18]Result!$K$35</f>
        <v>652.46580327163974</v>
      </c>
      <c r="R498" s="32">
        <f>+[20]Result!$K$35-[19]Result!$K$35</f>
        <v>-83.511774786064052</v>
      </c>
      <c r="S498" s="70">
        <f>+[22]Result!$K$35-[20]Result!$K$35</f>
        <v>-1546.6674550593452</v>
      </c>
      <c r="AI498" s="73"/>
      <c r="AJ498" s="73"/>
      <c r="AK498" s="73"/>
    </row>
    <row r="499" spans="1:37" hidden="1" outlineLevel="2" x14ac:dyDescent="0.25">
      <c r="A499" s="16" t="s">
        <v>38</v>
      </c>
      <c r="B499" s="13">
        <f>+[1]Result!$K$36-[21]Result!$K$36</f>
        <v>1871.1072263035312</v>
      </c>
      <c r="C499" s="13">
        <f>+[5]Result!$K$36-[1]Result!$K$36</f>
        <v>-2441.2807259197143</v>
      </c>
      <c r="D499" s="32">
        <f>+[6]Result!$K$36-[5]Result!$K$36</f>
        <v>3725.2785120297194</v>
      </c>
      <c r="E499" s="13">
        <f>+[7]Result!$K$36-[6]Result!$K$36</f>
        <v>-2360.109729612057</v>
      </c>
      <c r="F499" s="13">
        <f>+[8]Result!$K$36-[7]Result!$K$36</f>
        <v>2789.7289658417139</v>
      </c>
      <c r="G499" s="32">
        <f>+[9]Result!$K$36-[8]Result!$K$36</f>
        <v>-1607.5941627591965</v>
      </c>
      <c r="H499" s="13">
        <f>+[10]Result!$K$36-[9]Result!$K$36</f>
        <v>1385.5916269324662</v>
      </c>
      <c r="I499" s="13">
        <f>+[11]Result!$K$36-[10]Result!$K$36</f>
        <v>1554.5395263569226</v>
      </c>
      <c r="J499" s="32">
        <f>+[12]Result!$K$36-[11]Result!$K$36</f>
        <v>-4493.1045904679049</v>
      </c>
      <c r="K499" s="13">
        <f>+[13]Result!$K$36-[12]Result!$K$36</f>
        <v>15.29341670863505</v>
      </c>
      <c r="L499" s="13">
        <f>+[14]Result!$K$36-[13]Result!$K$36</f>
        <v>3249.4664633929497</v>
      </c>
      <c r="M499" s="13">
        <f>+[15]Result!$K$36-[14]Result!$K$36</f>
        <v>49151.155488083394</v>
      </c>
      <c r="N499" s="32">
        <f>+[16]Result!$K$36-[15]Result!$K$36</f>
        <v>-726.95223593262926</v>
      </c>
      <c r="O499" s="13">
        <f>+[17]Result!$K$36-[16]Result!$K$36</f>
        <v>-1820.166321348137</v>
      </c>
      <c r="P499" s="13">
        <f>+[18]Result!$K$36-[17]Result!$K$36</f>
        <v>-10978.163847735217</v>
      </c>
      <c r="Q499" s="32">
        <f>+[19]Result!$K$36-[18]Result!$K$36</f>
        <v>349.63729519405751</v>
      </c>
      <c r="R499" s="32">
        <f>+[20]Result!$K$36-[19]Result!$K$36</f>
        <v>-45.851486891886452</v>
      </c>
      <c r="S499" s="70">
        <f>+[22]Result!$K$36-[20]Result!$K$36</f>
        <v>-832.180046264868</v>
      </c>
      <c r="AI499" s="73"/>
      <c r="AJ499" s="73"/>
      <c r="AK499" s="73"/>
    </row>
    <row r="500" spans="1:37" hidden="1" outlineLevel="2" x14ac:dyDescent="0.25">
      <c r="A500" s="16" t="s">
        <v>39</v>
      </c>
      <c r="B500" s="13">
        <f>+[1]Result!$K$37-[21]Result!$K$37</f>
        <v>1310.0745486598316</v>
      </c>
      <c r="C500" s="13">
        <f>+[5]Result!$K$37-[1]Result!$K$37</f>
        <v>-1730.3801284155052</v>
      </c>
      <c r="D500" s="32">
        <f>+[6]Result!$K$37-[5]Result!$K$37</f>
        <v>2292.9120409290772</v>
      </c>
      <c r="E500" s="13">
        <f>+[7]Result!$K$37-[6]Result!$K$37</f>
        <v>-1636.9582144247106</v>
      </c>
      <c r="F500" s="13">
        <f>+[8]Result!$K$37-[7]Result!$K$37</f>
        <v>1968.0929621021642</v>
      </c>
      <c r="G500" s="32">
        <f>+[9]Result!$K$37-[8]Result!$K$37</f>
        <v>-1094.9409068355017</v>
      </c>
      <c r="H500" s="13">
        <f>+[10]Result!$K$37-[9]Result!$K$37</f>
        <v>966.23295919377415</v>
      </c>
      <c r="I500" s="13">
        <f>+[11]Result!$K$37-[10]Result!$K$37</f>
        <v>1109.4431522200757</v>
      </c>
      <c r="J500" s="32">
        <f>+[12]Result!$K$37-[11]Result!$K$37</f>
        <v>-5457.8776282480685</v>
      </c>
      <c r="K500" s="13">
        <f>+[13]Result!$K$37-[12]Result!$K$37</f>
        <v>22.687684875258128</v>
      </c>
      <c r="L500" s="13">
        <f>+[14]Result!$K$37-[13]Result!$K$37</f>
        <v>2374.1244785891904</v>
      </c>
      <c r="M500" s="13">
        <f>+[15]Result!$K$37-[14]Result!$K$37</f>
        <v>41121.89884987328</v>
      </c>
      <c r="N500" s="32">
        <f>+[16]Result!$K$37-[15]Result!$K$37</f>
        <v>-445.04048851047264</v>
      </c>
      <c r="O500" s="13">
        <f>+[17]Result!$K$37-[16]Result!$K$37</f>
        <v>-1107.6058280647921</v>
      </c>
      <c r="P500" s="13">
        <f>+[18]Result!$K$37-[17]Result!$K$37</f>
        <v>-10306.122129614836</v>
      </c>
      <c r="Q500" s="32">
        <f>+[19]Result!$K$37-[18]Result!$K$37</f>
        <v>232.43283498887467</v>
      </c>
      <c r="R500" s="32">
        <f>+[20]Result!$K$37-[19]Result!$K$37</f>
        <v>-25.062168606411433</v>
      </c>
      <c r="S500" s="70">
        <f>+[22]Result!$K$37-[20]Result!$K$37</f>
        <v>-561.87947831587371</v>
      </c>
      <c r="AI500" s="73"/>
      <c r="AJ500" s="73"/>
      <c r="AK500" s="73"/>
    </row>
    <row r="501" spans="1:37" hidden="1" outlineLevel="2" x14ac:dyDescent="0.25">
      <c r="A501" s="16" t="s">
        <v>40</v>
      </c>
      <c r="B501" s="13">
        <f>+[1]Result!$K$38-[21]Result!$K$38</f>
        <v>1075.793272895251</v>
      </c>
      <c r="C501" s="13">
        <f>+[5]Result!$K$38-[1]Result!$K$38</f>
        <v>-1429.819141939879</v>
      </c>
      <c r="D501" s="32">
        <f>+[6]Result!$K$38-[5]Result!$K$38</f>
        <v>1483.0365898558593</v>
      </c>
      <c r="E501" s="13">
        <f>+[7]Result!$K$38-[6]Result!$K$38</f>
        <v>-1352.1692318692731</v>
      </c>
      <c r="F501" s="13">
        <f>+[8]Result!$K$38-[7]Result!$K$38</f>
        <v>1642.0944043749332</v>
      </c>
      <c r="G501" s="32">
        <f>+[9]Result!$K$38-[8]Result!$K$38</f>
        <v>-1102.5513341718251</v>
      </c>
      <c r="H501" s="13">
        <f>+[10]Result!$K$38-[9]Result!$K$38</f>
        <v>786.02539767209237</v>
      </c>
      <c r="I501" s="13">
        <f>+[11]Result!$K$38-[10]Result!$K$38</f>
        <v>935.47926721804834</v>
      </c>
      <c r="J501" s="32">
        <f>+[12]Result!$K$38-[11]Result!$K$38</f>
        <v>-2640.132599163866</v>
      </c>
      <c r="K501" s="13">
        <f>+[13]Result!$K$38-[12]Result!$K$38</f>
        <v>18.698055298285908</v>
      </c>
      <c r="L501" s="13">
        <f>+[14]Result!$K$38-[13]Result!$K$38</f>
        <v>1928.538954134754</v>
      </c>
      <c r="M501" s="13">
        <f>+[15]Result!$K$38-[14]Result!$K$38</f>
        <v>35626.980992657758</v>
      </c>
      <c r="N501" s="32">
        <f>+[16]Result!$K$38-[15]Result!$K$38</f>
        <v>-317.85607690818142</v>
      </c>
      <c r="O501" s="13">
        <f>+[17]Result!$K$38-[16]Result!$K$38</f>
        <v>-789.57874582842123</v>
      </c>
      <c r="P501" s="13">
        <f>+[18]Result!$K$38-[17]Result!$K$38</f>
        <v>-8264.5265807517353</v>
      </c>
      <c r="Q501" s="32">
        <f>+[19]Result!$K$38-[18]Result!$K$38</f>
        <v>169.44605844167745</v>
      </c>
      <c r="R501" s="32">
        <f>+[20]Result!$K$38-[19]Result!$K$38</f>
        <v>-14.069368971457152</v>
      </c>
      <c r="S501" s="70">
        <f>+[22]Result!$K$38-[20]Result!$K$38</f>
        <v>-416.23394035449382</v>
      </c>
      <c r="AI501" s="73"/>
      <c r="AJ501" s="73"/>
      <c r="AK501" s="73"/>
    </row>
    <row r="502" spans="1:37" hidden="1" outlineLevel="2" x14ac:dyDescent="0.25">
      <c r="A502" s="16" t="s">
        <v>41</v>
      </c>
      <c r="B502" s="13">
        <f>+[1]Result!$K$39-[21]Result!$K$39</f>
        <v>881.57543673021428</v>
      </c>
      <c r="C502" s="13">
        <f>+[5]Result!$K$39-[1]Result!$K$39</f>
        <v>-1174.2660006473816</v>
      </c>
      <c r="D502" s="32">
        <f>+[6]Result!$K$39-[5]Result!$K$39</f>
        <v>2344.5951732710382</v>
      </c>
      <c r="E502" s="13">
        <f>+[7]Result!$K$39-[6]Result!$K$39</f>
        <v>-1059.3549872130025</v>
      </c>
      <c r="F502" s="13">
        <f>+[8]Result!$K$39-[7]Result!$K$39</f>
        <v>1292.837248182761</v>
      </c>
      <c r="G502" s="32">
        <f>+[9]Result!$K$39-[8]Result!$K$39</f>
        <v>-331.37505186838825</v>
      </c>
      <c r="H502" s="13">
        <f>+[10]Result!$K$39-[9]Result!$K$39</f>
        <v>610.78156408851646</v>
      </c>
      <c r="I502" s="13">
        <f>+[11]Result!$K$39-[10]Result!$K$39</f>
        <v>729.74635536880669</v>
      </c>
      <c r="J502" s="32">
        <f>+[12]Result!$K$39-[11]Result!$K$39</f>
        <v>-1150.8873733696601</v>
      </c>
      <c r="K502" s="13">
        <f>+[13]Result!$K$39-[12]Result!$K$39</f>
        <v>14.571430567732023</v>
      </c>
      <c r="L502" s="13">
        <f>+[14]Result!$K$39-[13]Result!$K$39</f>
        <v>1474.045074795642</v>
      </c>
      <c r="M502" s="13">
        <f>+[15]Result!$K$39-[14]Result!$K$39</f>
        <v>29249.332640163644</v>
      </c>
      <c r="N502" s="32">
        <f>+[16]Result!$K$39-[15]Result!$K$39</f>
        <v>-206.92859296537608</v>
      </c>
      <c r="O502" s="13">
        <f>+[17]Result!$K$39-[16]Result!$K$39</f>
        <v>-510.7615135627766</v>
      </c>
      <c r="P502" s="13">
        <f>+[18]Result!$K$39-[17]Result!$K$39</f>
        <v>-6426.5246845658821</v>
      </c>
      <c r="Q502" s="32">
        <f>+[19]Result!$K$39-[18]Result!$K$39</f>
        <v>115.13962518289554</v>
      </c>
      <c r="R502" s="32">
        <f>+[20]Result!$K$39-[19]Result!$K$39</f>
        <v>-3.2735091016074875</v>
      </c>
      <c r="S502" s="70">
        <f>+[22]Result!$K$39-[20]Result!$K$39</f>
        <v>-287.56018006346858</v>
      </c>
      <c r="AI502" s="73"/>
      <c r="AJ502" s="73"/>
      <c r="AK502" s="73"/>
    </row>
    <row r="503" spans="1:37" hidden="1" outlineLevel="2" x14ac:dyDescent="0.25">
      <c r="A503" s="16" t="s">
        <v>42</v>
      </c>
      <c r="B503" s="13">
        <f>+[1]Result!$K$40-[21]Result!$K$40</f>
        <v>604.36967550916233</v>
      </c>
      <c r="C503" s="13">
        <f>+[5]Result!$K$40-[1]Result!$K$40</f>
        <v>-808.59347121689279</v>
      </c>
      <c r="D503" s="32">
        <f>+[6]Result!$K$40-[5]Result!$K$40</f>
        <v>1364.5298062639413</v>
      </c>
      <c r="E503" s="13">
        <f>+[7]Result!$K$40-[6]Result!$K$40</f>
        <v>-718.84904703732172</v>
      </c>
      <c r="F503" s="13">
        <f>+[8]Result!$K$40-[7]Result!$K$40</f>
        <v>888.15000807587785</v>
      </c>
      <c r="G503" s="32">
        <f>+[9]Result!$K$40-[8]Result!$K$40</f>
        <v>-605.21334704544279</v>
      </c>
      <c r="H503" s="13">
        <f>+[10]Result!$K$40-[9]Result!$K$40</f>
        <v>434.77726604967393</v>
      </c>
      <c r="I503" s="13">
        <f>+[11]Result!$K$40-[10]Result!$K$40</f>
        <v>509.15593870045268</v>
      </c>
      <c r="J503" s="32">
        <f>+[12]Result!$K$40-[11]Result!$K$40</f>
        <v>-1688.3772308212865</v>
      </c>
      <c r="K503" s="13">
        <f>+[13]Result!$K$40-[12]Result!$K$40</f>
        <v>16.026211281245196</v>
      </c>
      <c r="L503" s="13">
        <f>+[14]Result!$K$40-[13]Result!$K$40</f>
        <v>1058.9441034769879</v>
      </c>
      <c r="M503" s="13">
        <f>+[15]Result!$K$40-[14]Result!$K$40</f>
        <v>24221.743701814139</v>
      </c>
      <c r="N503" s="32">
        <f>+[16]Result!$K$40-[15]Result!$K$40</f>
        <v>-92.42816547138591</v>
      </c>
      <c r="O503" s="13">
        <f>+[17]Result!$K$40-[16]Result!$K$40</f>
        <v>-227.66238604664159</v>
      </c>
      <c r="P503" s="13">
        <f>+[18]Result!$K$40-[17]Result!$K$40</f>
        <v>-5768.0814705049497</v>
      </c>
      <c r="Q503" s="32">
        <f>+[19]Result!$K$40-[18]Result!$K$40</f>
        <v>67.847100293261974</v>
      </c>
      <c r="R503" s="32">
        <f>+[20]Result!$K$40-[19]Result!$K$40</f>
        <v>-1.9931413920821797</v>
      </c>
      <c r="S503" s="70">
        <f>+[22]Result!$K$40-[20]Result!$K$40</f>
        <v>-168.39566800979446</v>
      </c>
      <c r="AI503" s="73"/>
      <c r="AJ503" s="73"/>
      <c r="AK503" s="73"/>
    </row>
    <row r="504" spans="1:37" hidden="1" outlineLevel="2" x14ac:dyDescent="0.25">
      <c r="A504" s="16" t="s">
        <v>43</v>
      </c>
      <c r="B504" s="13">
        <f>+[1]Result!$K$41-[21]Result!$K$41</f>
        <v>438.78804809581925</v>
      </c>
      <c r="C504" s="13">
        <f>+[5]Result!$K$41-[1]Result!$K$41</f>
        <v>-585.73775281453345</v>
      </c>
      <c r="D504" s="32">
        <f>+[6]Result!$K$41-[5]Result!$K$41</f>
        <v>636.34425416940212</v>
      </c>
      <c r="E504" s="13">
        <f>+[7]Result!$K$41-[6]Result!$K$41</f>
        <v>-524.23175948801872</v>
      </c>
      <c r="F504" s="13">
        <f>+[8]Result!$K$41-[7]Result!$K$41</f>
        <v>655.20761035619944</v>
      </c>
      <c r="G504" s="32">
        <f>+[9]Result!$K$41-[8]Result!$K$41</f>
        <v>-668.58980732076088</v>
      </c>
      <c r="H504" s="13">
        <f>+[10]Result!$K$41-[9]Result!$K$41</f>
        <v>321.94018275290728</v>
      </c>
      <c r="I504" s="13">
        <f>+[11]Result!$K$41-[10]Result!$K$41</f>
        <v>382.29111027554973</v>
      </c>
      <c r="J504" s="32">
        <f>+[12]Result!$K$41-[11]Result!$K$41</f>
        <v>-1976.2582763250757</v>
      </c>
      <c r="K504" s="13">
        <f>+[13]Result!$K$41-[12]Result!$K$41</f>
        <v>12.531546675319987</v>
      </c>
      <c r="L504" s="13">
        <f>+[14]Result!$K$41-[13]Result!$K$41</f>
        <v>816.39922367756299</v>
      </c>
      <c r="M504" s="13">
        <f>+[15]Result!$K$41-[14]Result!$K$41</f>
        <v>20928.921206924249</v>
      </c>
      <c r="N504" s="32">
        <f>+[16]Result!$K$41-[15]Result!$K$41</f>
        <v>-28.515435751394762</v>
      </c>
      <c r="O504" s="13">
        <f>+[17]Result!$K$41-[16]Result!$K$41</f>
        <v>-70.079690532930954</v>
      </c>
      <c r="P504" s="13">
        <f>+[18]Result!$K$41-[17]Result!$K$41</f>
        <v>-5262.800152621603</v>
      </c>
      <c r="Q504" s="32">
        <f>+[19]Result!$K$41-[18]Result!$K$41</f>
        <v>41.150686640212371</v>
      </c>
      <c r="R504" s="32">
        <f>+[20]Result!$K$41-[19]Result!$K$41</f>
        <v>-1.241959220602439</v>
      </c>
      <c r="S504" s="70">
        <f>+[22]Result!$K$41-[20]Result!$K$41</f>
        <v>-104.00067296375801</v>
      </c>
      <c r="AI504" s="73"/>
      <c r="AJ504" s="73"/>
      <c r="AK504" s="73"/>
    </row>
    <row r="505" spans="1:37" hidden="1" outlineLevel="2" x14ac:dyDescent="0.25">
      <c r="A505" s="16" t="s">
        <v>44</v>
      </c>
      <c r="B505" s="13">
        <f>+[1]Result!$K$42-[21]Result!$K$42</f>
        <v>337.91152642390443</v>
      </c>
      <c r="C505" s="13">
        <f>+[5]Result!$K$42-[1]Result!$K$42</f>
        <v>-453.16708359697805</v>
      </c>
      <c r="D505" s="32">
        <f>+[6]Result!$K$42-[5]Result!$K$42</f>
        <v>42.628324760506075</v>
      </c>
      <c r="E505" s="13">
        <f>+[7]Result!$K$42-[6]Result!$K$42</f>
        <v>-409.61577031874913</v>
      </c>
      <c r="F505" s="13">
        <f>+[8]Result!$K$42-[7]Result!$K$42</f>
        <v>515.10068339941063</v>
      </c>
      <c r="G505" s="32">
        <f>+[9]Result!$K$42-[8]Result!$K$42</f>
        <v>-804.00158328935868</v>
      </c>
      <c r="H505" s="13">
        <f>+[10]Result!$K$42-[9]Result!$K$42</f>
        <v>257.02629798824637</v>
      </c>
      <c r="I505" s="13">
        <f>+[11]Result!$K$42-[10]Result!$K$42</f>
        <v>306.4898135667172</v>
      </c>
      <c r="J505" s="32">
        <f>+[12]Result!$K$42-[11]Result!$K$42</f>
        <v>-2105.0211137416445</v>
      </c>
      <c r="K505" s="13">
        <f>+[13]Result!$K$42-[12]Result!$K$42</f>
        <v>10.552847831648251</v>
      </c>
      <c r="L505" s="13">
        <f>+[14]Result!$K$42-[13]Result!$K$42</f>
        <v>676.49628370534265</v>
      </c>
      <c r="M505" s="13">
        <f>+[15]Result!$K$42-[14]Result!$K$42</f>
        <v>18086.686210388631</v>
      </c>
      <c r="N505" s="32">
        <f>+[16]Result!$K$42-[15]Result!$K$42</f>
        <v>-7.1342498277125515</v>
      </c>
      <c r="O505" s="13">
        <f>+[17]Result!$K$42-[16]Result!$K$42</f>
        <v>-17.234330619851733</v>
      </c>
      <c r="P505" s="13">
        <f>+[18]Result!$K$42-[17]Result!$K$42</f>
        <v>-5225.9135170099426</v>
      </c>
      <c r="Q505" s="32">
        <f>+[19]Result!$K$42-[18]Result!$K$42</f>
        <v>34.070036374600932</v>
      </c>
      <c r="R505" s="32">
        <f>+[20]Result!$K$42-[19]Result!$K$42</f>
        <v>0</v>
      </c>
      <c r="S505" s="70">
        <f>+[22]Result!$K$42-[20]Result!$K$42</f>
        <v>-86.09314212980189</v>
      </c>
      <c r="AI505" s="73"/>
      <c r="AJ505" s="73"/>
      <c r="AK505" s="73"/>
    </row>
    <row r="506" spans="1:37" hidden="1" outlineLevel="2" x14ac:dyDescent="0.25">
      <c r="A506" s="16" t="s">
        <v>45</v>
      </c>
      <c r="B506" s="13">
        <f>+[1]Result!$K$43-[21]Result!$K$43</f>
        <v>301.08803909068956</v>
      </c>
      <c r="C506" s="13">
        <f>+[5]Result!$K$43-[1]Result!$K$43</f>
        <v>-406.66264899487942</v>
      </c>
      <c r="D506" s="32">
        <f>+[6]Result!$K$43-[5]Result!$K$43</f>
        <v>-55.897406295811379</v>
      </c>
      <c r="E506" s="13">
        <f>+[7]Result!$K$43-[6]Result!$K$43</f>
        <v>-368.91281654507839</v>
      </c>
      <c r="F506" s="13">
        <f>+[8]Result!$K$43-[7]Result!$K$43</f>
        <v>466.14784753916319</v>
      </c>
      <c r="G506" s="32">
        <f>+[9]Result!$K$43-[8]Result!$K$43</f>
        <v>-458.89757550930335</v>
      </c>
      <c r="H506" s="13">
        <f>+[10]Result!$K$43-[9]Result!$K$43</f>
        <v>230.03864242337477</v>
      </c>
      <c r="I506" s="13">
        <f>+[11]Result!$K$43-[10]Result!$K$43</f>
        <v>274.85585037120472</v>
      </c>
      <c r="J506" s="32">
        <f>+[12]Result!$K$43-[11]Result!$K$43</f>
        <v>-567.80562591425223</v>
      </c>
      <c r="K506" s="13">
        <f>+[13]Result!$K$43-[12]Result!$K$43</f>
        <v>8.8282135482804733</v>
      </c>
      <c r="L506" s="13">
        <f>+[14]Result!$K$43-[13]Result!$K$43</f>
        <v>554.5740104660199</v>
      </c>
      <c r="M506" s="13">
        <f>+[15]Result!$K$43-[14]Result!$K$43</f>
        <v>15142.953630105043</v>
      </c>
      <c r="N506" s="32">
        <f>+[16]Result!$K$43-[15]Result!$K$43</f>
        <v>1.3114774798635409</v>
      </c>
      <c r="O506" s="13">
        <f>+[17]Result!$K$43-[16]Result!$K$43</f>
        <v>3.1600762993448797</v>
      </c>
      <c r="P506" s="13">
        <f>+[18]Result!$K$43-[17]Result!$K$43</f>
        <v>-3723.209794364931</v>
      </c>
      <c r="Q506" s="32">
        <f>+[19]Result!$K$43-[18]Result!$K$43</f>
        <v>21.875614929018866</v>
      </c>
      <c r="R506" s="32">
        <f>+[20]Result!$K$43-[19]Result!$K$43</f>
        <v>0</v>
      </c>
      <c r="S506" s="70">
        <f>+[22]Result!$K$43-[20]Result!$K$43</f>
        <v>-54.944284667483771</v>
      </c>
      <c r="AI506" s="73"/>
      <c r="AJ506" s="73"/>
      <c r="AK506" s="73"/>
    </row>
    <row r="507" spans="1:37" hidden="1" outlineLevel="2" x14ac:dyDescent="0.25">
      <c r="A507" s="16" t="s">
        <v>46</v>
      </c>
      <c r="B507" s="13">
        <f>+[1]Result!$K$44-[21]Result!$K$44</f>
        <v>242.45957858192196</v>
      </c>
      <c r="C507" s="13">
        <f>+[5]Result!$K$44-[1]Result!$K$44</f>
        <v>-326.76035691726793</v>
      </c>
      <c r="D507" s="32">
        <f>+[6]Result!$K$44-[5]Result!$K$44</f>
        <v>1038.4856711996854</v>
      </c>
      <c r="E507" s="13">
        <f>+[7]Result!$K$44-[6]Result!$K$44</f>
        <v>-271.49269909722716</v>
      </c>
      <c r="F507" s="13">
        <f>+[8]Result!$K$44-[7]Result!$K$44</f>
        <v>344.18106185936267</v>
      </c>
      <c r="G507" s="32">
        <f>+[9]Result!$K$44-[8]Result!$K$44</f>
        <v>-559.01477698178314</v>
      </c>
      <c r="H507" s="13">
        <f>+[10]Result!$K$44-[9]Result!$K$44</f>
        <v>170.92313513084082</v>
      </c>
      <c r="I507" s="13">
        <f>+[11]Result!$K$44-[10]Result!$K$44</f>
        <v>207.31749518411561</v>
      </c>
      <c r="J507" s="32">
        <f>+[12]Result!$K$44-[11]Result!$K$44</f>
        <v>688.6405281686657</v>
      </c>
      <c r="K507" s="13">
        <f>+[13]Result!$K$44-[12]Result!$K$44</f>
        <v>4.0574642783612944</v>
      </c>
      <c r="L507" s="13">
        <f>+[14]Result!$K$44-[13]Result!$K$44</f>
        <v>376.2688727803943</v>
      </c>
      <c r="M507" s="13">
        <f>+[15]Result!$K$44-[14]Result!$K$44</f>
        <v>10520.054892277249</v>
      </c>
      <c r="N507" s="32">
        <f>+[16]Result!$K$44-[15]Result!$K$44</f>
        <v>7.1845682004885134</v>
      </c>
      <c r="O507" s="13">
        <f>+[17]Result!$K$44-[16]Result!$K$44</f>
        <v>17.44978971776618</v>
      </c>
      <c r="P507" s="13">
        <f>+[18]Result!$K$44-[17]Result!$K$44</f>
        <v>-3039.6184878175413</v>
      </c>
      <c r="Q507" s="32">
        <f>+[19]Result!$K$44-[18]Result!$K$44</f>
        <v>15.109703113031173</v>
      </c>
      <c r="R507" s="32">
        <f>+[20]Result!$K$44-[19]Result!$K$44</f>
        <v>0</v>
      </c>
      <c r="S507" s="70">
        <f>+[22]Result!$K$44-[20]Result!$K$44</f>
        <v>-39.4725771134772</v>
      </c>
      <c r="AI507" s="73"/>
      <c r="AJ507" s="73"/>
      <c r="AK507" s="73"/>
    </row>
    <row r="508" spans="1:37" hidden="1" outlineLevel="2" x14ac:dyDescent="0.25">
      <c r="A508" s="16" t="s">
        <v>47</v>
      </c>
      <c r="B508" s="13">
        <f>+[1]Result!$K$45-[21]Result!$K$45</f>
        <v>97.881579731823877</v>
      </c>
      <c r="C508" s="13">
        <f>+[5]Result!$K$45-[1]Result!$K$45</f>
        <v>-132.57956565553286</v>
      </c>
      <c r="D508" s="32">
        <f>+[6]Result!$K$45-[5]Result!$K$45</f>
        <v>330.43270798344111</v>
      </c>
      <c r="E508" s="13">
        <f>+[7]Result!$K$45-[6]Result!$K$45</f>
        <v>-111.19887189677593</v>
      </c>
      <c r="F508" s="13">
        <f>+[8]Result!$K$45-[7]Result!$K$45</f>
        <v>141.70032850458119</v>
      </c>
      <c r="G508" s="32">
        <f>+[9]Result!$K$45-[8]Result!$K$45</f>
        <v>-252.26792686268345</v>
      </c>
      <c r="H508" s="13">
        <f>+[10]Result!$K$45-[9]Result!$K$45</f>
        <v>70.203030208183009</v>
      </c>
      <c r="I508" s="13">
        <f>+[11]Result!$K$45-[10]Result!$K$45</f>
        <v>85.580212317386213</v>
      </c>
      <c r="J508" s="32">
        <f>+[12]Result!$K$45-[11]Result!$K$45</f>
        <v>295.23574693215051</v>
      </c>
      <c r="K508" s="13">
        <f>+[13]Result!$K$45-[12]Result!$K$45</f>
        <v>2.5587635935253275</v>
      </c>
      <c r="L508" s="13">
        <f>+[14]Result!$K$45-[13]Result!$K$45</f>
        <v>155.64889178279827</v>
      </c>
      <c r="M508" s="13">
        <f>+[15]Result!$K$45-[14]Result!$K$45</f>
        <v>-16393.515286258746</v>
      </c>
      <c r="N508" s="32">
        <f>+[16]Result!$K$45-[15]Result!$K$45</f>
        <v>-372.93106109527434</v>
      </c>
      <c r="O508" s="13">
        <f>+[17]Result!$K$45-[16]Result!$K$45</f>
        <v>-913.22938724388587</v>
      </c>
      <c r="P508" s="13">
        <f>+[18]Result!$K$45-[17]Result!$K$45</f>
        <v>-8795.0636913447415</v>
      </c>
      <c r="Q508" s="32">
        <f>+[19]Result!$K$45-[18]Result!$K$45</f>
        <v>181.20461388274634</v>
      </c>
      <c r="R508" s="32">
        <f>+[20]Result!$K$45-[19]Result!$K$45</f>
        <v>6.0186548276396934</v>
      </c>
      <c r="S508" s="70">
        <f>+[22]Result!$K$45-[20]Result!$K$45</f>
        <v>-473.33727685922713</v>
      </c>
      <c r="AI508" s="73"/>
      <c r="AJ508" s="73"/>
      <c r="AK508" s="73"/>
    </row>
    <row r="509" spans="1:37" hidden="1" outlineLevel="2" x14ac:dyDescent="0.25">
      <c r="A509" s="16" t="s">
        <v>48</v>
      </c>
      <c r="B509" s="13">
        <f>+[1]Result!$K$46-[21]Result!$K$46</f>
        <v>40.359426387087979</v>
      </c>
      <c r="C509" s="13">
        <f>+[5]Result!$K$46-[1]Result!$K$46</f>
        <v>-54.951593311653596</v>
      </c>
      <c r="D509" s="32">
        <f>+[6]Result!$K$46-[5]Result!$K$46</f>
        <v>108.80005066540957</v>
      </c>
      <c r="E509" s="13">
        <f>+[7]Result!$K$46-[6]Result!$K$46</f>
        <v>-46.276998792455743</v>
      </c>
      <c r="F509" s="13">
        <f>+[8]Result!$K$46-[7]Result!$K$46</f>
        <v>59.289696888170511</v>
      </c>
      <c r="G509" s="32">
        <f>+[9]Result!$K$46-[8]Result!$K$46</f>
        <v>-106.28433355167272</v>
      </c>
      <c r="H509" s="13">
        <f>+[10]Result!$K$46-[9]Result!$K$46</f>
        <v>29.169030164999867</v>
      </c>
      <c r="I509" s="13">
        <f>+[11]Result!$K$46-[10]Result!$K$46</f>
        <v>35.746938502988087</v>
      </c>
      <c r="J509" s="32">
        <f>+[12]Result!$K$46-[11]Result!$K$46</f>
        <v>98.639868441686986</v>
      </c>
      <c r="K509" s="13">
        <f>+[13]Result!$K$46-[12]Result!$K$46</f>
        <v>1.1074121665917573</v>
      </c>
      <c r="L509" s="13">
        <f>+[14]Result!$K$46-[13]Result!$K$46</f>
        <v>65.892112812596224</v>
      </c>
      <c r="M509" s="13">
        <f>+[15]Result!$K$46-[14]Result!$K$46</f>
        <v>-5973.7147857875088</v>
      </c>
      <c r="N509" s="32">
        <f>+[16]Result!$K$46-[15]Result!$K$46</f>
        <v>-142.14350505372295</v>
      </c>
      <c r="O509" s="13">
        <f>+[17]Result!$K$46-[16]Result!$K$46</f>
        <v>-345.51220620466574</v>
      </c>
      <c r="P509" s="13">
        <f>+[18]Result!$K$46-[17]Result!$K$46</f>
        <v>-6086.0600466720243</v>
      </c>
      <c r="Q509" s="32">
        <f>+[19]Result!$K$46-[18]Result!$K$46</f>
        <v>83.809752667959401</v>
      </c>
      <c r="R509" s="32">
        <f>+[20]Result!$K$46-[19]Result!$K$46</f>
        <v>2.8825537473803706</v>
      </c>
      <c r="S509" s="70">
        <f>+[22]Result!$K$46-[20]Result!$K$46</f>
        <v>-220.66780123886383</v>
      </c>
      <c r="AI509" s="73"/>
      <c r="AJ509" s="73"/>
      <c r="AK509" s="73"/>
    </row>
    <row r="510" spans="1:37" hidden="1" outlineLevel="2" x14ac:dyDescent="0.25">
      <c r="A510" s="16" t="s">
        <v>49</v>
      </c>
      <c r="B510" s="13">
        <f>+[1]Result!$K$47-[21]Result!$K$47</f>
        <v>20.439390561533514</v>
      </c>
      <c r="C510" s="13">
        <f>+[5]Result!$K$47-[1]Result!$K$47</f>
        <v>-27.769460615169578</v>
      </c>
      <c r="D510" s="32">
        <f>+[6]Result!$K$47-[5]Result!$K$47</f>
        <v>37.178749037195871</v>
      </c>
      <c r="E510" s="13">
        <f>+[7]Result!$K$47-[6]Result!$K$47</f>
        <v>-23.740311642325537</v>
      </c>
      <c r="F510" s="13">
        <f>+[8]Result!$K$47-[7]Result!$K$47</f>
        <v>30.588091470012046</v>
      </c>
      <c r="G510" s="32">
        <f>+[9]Result!$K$47-[8]Result!$K$47</f>
        <v>-44.619767579284712</v>
      </c>
      <c r="H510" s="13">
        <f>+[10]Result!$K$47-[9]Result!$K$47</f>
        <v>14.988902649987381</v>
      </c>
      <c r="I510" s="13">
        <f>+[11]Result!$K$47-[10]Result!$K$47</f>
        <v>18.213610908236546</v>
      </c>
      <c r="J510" s="32">
        <f>+[12]Result!$K$47-[11]Result!$K$47</f>
        <v>39.700769878645019</v>
      </c>
      <c r="K510" s="13">
        <f>+[13]Result!$K$47-[12]Result!$K$47</f>
        <v>0.58312198890087075</v>
      </c>
      <c r="L510" s="13">
        <f>+[14]Result!$K$47-[13]Result!$K$47</f>
        <v>34.138617862218211</v>
      </c>
      <c r="M510" s="13">
        <f>+[15]Result!$K$47-[14]Result!$K$47</f>
        <v>-2169.3115366838952</v>
      </c>
      <c r="N510" s="32">
        <f>+[16]Result!$K$47-[15]Result!$K$47</f>
        <v>-57.864107244734441</v>
      </c>
      <c r="O510" s="13">
        <f>+[17]Result!$K$47-[16]Result!$K$47</f>
        <v>-138.04146484383728</v>
      </c>
      <c r="P510" s="13">
        <f>+[18]Result!$K$47-[17]Result!$K$47</f>
        <v>-2172.316851753335</v>
      </c>
      <c r="Q510" s="32">
        <f>+[19]Result!$K$47-[18]Result!$K$47</f>
        <v>31.517661105196566</v>
      </c>
      <c r="R510" s="32">
        <f>+[20]Result!$K$47-[19]Result!$K$47</f>
        <v>1.120926251196579</v>
      </c>
      <c r="S510" s="70">
        <f>+[22]Result!$K$47-[20]Result!$K$47</f>
        <v>-83.687557278632994</v>
      </c>
      <c r="AI510" s="73"/>
      <c r="AJ510" s="73"/>
      <c r="AK510" s="73"/>
    </row>
    <row r="511" spans="1:37" hidden="1" outlineLevel="2" x14ac:dyDescent="0.25">
      <c r="A511" s="16" t="s">
        <v>50</v>
      </c>
      <c r="B511" s="13">
        <f>+[1]Result!$K$48-[21]Result!$K$48</f>
        <v>12.189622568963955</v>
      </c>
      <c r="C511" s="13">
        <f>+[5]Result!$K$48-[1]Result!$K$48</f>
        <v>-16.523663835941306</v>
      </c>
      <c r="D511" s="32">
        <f>+[6]Result!$K$48-[5]Result!$K$48</f>
        <v>28.824285859221618</v>
      </c>
      <c r="E511" s="13">
        <f>+[7]Result!$K$48-[6]Result!$K$48</f>
        <v>-13.912238799585339</v>
      </c>
      <c r="F511" s="13">
        <f>+[8]Result!$K$48-[7]Result!$K$48</f>
        <v>17.910971635975898</v>
      </c>
      <c r="G511" s="32">
        <f>+[9]Result!$K$48-[8]Result!$K$48</f>
        <v>-20.92449104655077</v>
      </c>
      <c r="H511" s="13">
        <f>+[10]Result!$K$48-[9]Result!$K$48</f>
        <v>8.8127603108353014</v>
      </c>
      <c r="I511" s="13">
        <f>+[11]Result!$K$48-[10]Result!$K$48</f>
        <v>10.735354229479753</v>
      </c>
      <c r="J511" s="32">
        <f>+[12]Result!$K$48-[11]Result!$K$48</f>
        <v>23.31317455666283</v>
      </c>
      <c r="K511" s="13">
        <f>+[13]Result!$K$48-[12]Result!$K$48</f>
        <v>0.34769794574538082</v>
      </c>
      <c r="L511" s="13">
        <f>+[14]Result!$K$48-[13]Result!$K$48</f>
        <v>20.109508289860401</v>
      </c>
      <c r="M511" s="13">
        <f>+[15]Result!$K$48-[14]Result!$K$48</f>
        <v>-965.19711819893155</v>
      </c>
      <c r="N511" s="32">
        <f>+[16]Result!$K$48-[15]Result!$K$48</f>
        <v>-28.094027708505109</v>
      </c>
      <c r="O511" s="13">
        <f>+[17]Result!$K$48-[16]Result!$K$48</f>
        <v>-67.902415011671565</v>
      </c>
      <c r="P511" s="13">
        <f>+[18]Result!$K$48-[17]Result!$K$48</f>
        <v>-679.18037973642618</v>
      </c>
      <c r="Q511" s="32">
        <f>+[19]Result!$K$48-[18]Result!$K$48</f>
        <v>13.909380056735699</v>
      </c>
      <c r="R511" s="32">
        <f>+[20]Result!$K$48-[19]Result!$K$48</f>
        <v>0.47877761415065834</v>
      </c>
      <c r="S511" s="70">
        <f>+[22]Result!$K$48-[20]Result!$K$48</f>
        <v>-35.176108042860051</v>
      </c>
      <c r="AI511" s="73"/>
      <c r="AJ511" s="73"/>
      <c r="AK511" s="73"/>
    </row>
    <row r="512" spans="1:37" hidden="1" outlineLevel="2" x14ac:dyDescent="0.25">
      <c r="A512" s="16" t="s">
        <v>51</v>
      </c>
      <c r="B512" s="13">
        <f>+[1]Result!$K$49-[21]Result!$K$49</f>
        <v>6.8733749589180206</v>
      </c>
      <c r="C512" s="13">
        <f>+[5]Result!$K$49-[1]Result!$K$49</f>
        <v>-9.2704044324123061</v>
      </c>
      <c r="D512" s="32">
        <f>+[6]Result!$K$49-[5]Result!$K$49</f>
        <v>12.482428714717969</v>
      </c>
      <c r="E512" s="13">
        <f>+[7]Result!$K$49-[6]Result!$K$49</f>
        <v>-7.8749519718594456</v>
      </c>
      <c r="F512" s="13">
        <f>+[8]Result!$K$49-[7]Result!$K$49</f>
        <v>10.039762183524658</v>
      </c>
      <c r="G512" s="32">
        <f>+[9]Result!$K$49-[8]Result!$K$49</f>
        <v>-14.116029271329694</v>
      </c>
      <c r="H512" s="13">
        <f>+[10]Result!$K$49-[9]Result!$K$49</f>
        <v>4.9713633200749427</v>
      </c>
      <c r="I512" s="13">
        <f>+[11]Result!$K$49-[10]Result!$K$49</f>
        <v>6.0903612708276</v>
      </c>
      <c r="J512" s="32">
        <f>+[12]Result!$K$49-[11]Result!$K$49</f>
        <v>12.483378595100305</v>
      </c>
      <c r="K512" s="13">
        <f>+[13]Result!$K$49-[12]Result!$K$49</f>
        <v>0.13483940826841945</v>
      </c>
      <c r="L512" s="13">
        <f>+[14]Result!$K$49-[13]Result!$K$49</f>
        <v>11.43986463603261</v>
      </c>
      <c r="M512" s="13">
        <f>+[15]Result!$K$49-[14]Result!$K$49</f>
        <v>-488.58906621384114</v>
      </c>
      <c r="N512" s="32">
        <f>+[16]Result!$K$49-[15]Result!$K$49</f>
        <v>-14.837068698437633</v>
      </c>
      <c r="O512" s="13">
        <f>+[17]Result!$K$49-[16]Result!$K$49</f>
        <v>-36.350341893428777</v>
      </c>
      <c r="P512" s="13">
        <f>+[18]Result!$K$49-[17]Result!$K$49</f>
        <v>-264.50159705109684</v>
      </c>
      <c r="Q512" s="32">
        <f>+[19]Result!$K$49-[18]Result!$K$49</f>
        <v>6.9276363087153641</v>
      </c>
      <c r="R512" s="32">
        <f>+[20]Result!$K$49-[19]Result!$K$49</f>
        <v>0.23766035818016462</v>
      </c>
      <c r="S512" s="70">
        <f>+[22]Result!$K$49-[20]Result!$K$49</f>
        <v>-17.518848266031455</v>
      </c>
      <c r="AI512" s="73"/>
      <c r="AJ512" s="73"/>
      <c r="AK512" s="73"/>
    </row>
    <row r="513" spans="1:37" hidden="1" outlineLevel="2" x14ac:dyDescent="0.25">
      <c r="A513" s="16" t="s">
        <v>52</v>
      </c>
      <c r="B513" s="13">
        <f>+[1]Result!$K$50-[21]Result!$K$50</f>
        <v>3.8058066077431647</v>
      </c>
      <c r="C513" s="13">
        <f>+[5]Result!$K$50-[1]Result!$K$50</f>
        <v>-5.1064104033759179</v>
      </c>
      <c r="D513" s="32">
        <f>+[6]Result!$K$50-[5]Result!$K$50</f>
        <v>7.394539182079825</v>
      </c>
      <c r="E513" s="13">
        <f>+[7]Result!$K$50-[6]Result!$K$50</f>
        <v>-4.3135307543250292</v>
      </c>
      <c r="F513" s="13">
        <f>+[8]Result!$K$50-[7]Result!$K$50</f>
        <v>5.5207943202661909</v>
      </c>
      <c r="G513" s="32">
        <f>+[9]Result!$K$50-[8]Result!$K$50</f>
        <v>-7.9244311742387197</v>
      </c>
      <c r="H513" s="13">
        <f>+[10]Result!$K$50-[9]Result!$K$50</f>
        <v>2.6956699115697802</v>
      </c>
      <c r="I513" s="13">
        <f>+[11]Result!$K$50-[10]Result!$K$50</f>
        <v>3.3220419188531594</v>
      </c>
      <c r="J513" s="32">
        <f>+[12]Result!$K$50-[11]Result!$K$50</f>
        <v>8.5706321996956945</v>
      </c>
      <c r="K513" s="13">
        <f>+[13]Result!$K$50-[12]Result!$K$50</f>
        <v>0.11170373298580216</v>
      </c>
      <c r="L513" s="13">
        <f>+[14]Result!$K$50-[13]Result!$K$50</f>
        <v>6.1752058318758145</v>
      </c>
      <c r="M513" s="13">
        <f>+[15]Result!$K$50-[14]Result!$K$50</f>
        <v>-239.82861006585432</v>
      </c>
      <c r="N513" s="32">
        <f>+[16]Result!$K$50-[15]Result!$K$50</f>
        <v>-7.64273832333771</v>
      </c>
      <c r="O513" s="13">
        <f>+[17]Result!$K$50-[16]Result!$K$50</f>
        <v>-18.575453879476868</v>
      </c>
      <c r="P513" s="13">
        <f>+[18]Result!$K$50-[17]Result!$K$50</f>
        <v>-133.62666606887404</v>
      </c>
      <c r="Q513" s="32">
        <f>+[19]Result!$K$50-[18]Result!$K$50</f>
        <v>3.4789366657225855</v>
      </c>
      <c r="R513" s="32">
        <f>+[20]Result!$K$50-[19]Result!$K$50</f>
        <v>0.12406351527806692</v>
      </c>
      <c r="S513" s="70">
        <f>+[22]Result!$K$50-[20]Result!$K$50</f>
        <v>-8.98915044020805</v>
      </c>
      <c r="AI513" s="73"/>
      <c r="AJ513" s="73"/>
      <c r="AK513" s="73"/>
    </row>
    <row r="514" spans="1:37" hidden="1" outlineLevel="2" x14ac:dyDescent="0.25">
      <c r="A514" s="16" t="s">
        <v>53</v>
      </c>
      <c r="B514" s="13">
        <f>+[1]Result!$K$51-[21]Result!$K$51</f>
        <v>1.9780864578763158</v>
      </c>
      <c r="C514" s="13">
        <f>+[5]Result!$K$51-[1]Result!$K$51</f>
        <v>-2.6470558842909782</v>
      </c>
      <c r="D514" s="32">
        <f>+[6]Result!$K$51-[5]Result!$K$51</f>
        <v>3.6225118975883106</v>
      </c>
      <c r="E514" s="13">
        <f>+[7]Result!$K$51-[6]Result!$K$51</f>
        <v>-2.2535553886861948</v>
      </c>
      <c r="F514" s="13">
        <f>+[8]Result!$K$51-[7]Result!$K$51</f>
        <v>2.9166803004777364</v>
      </c>
      <c r="G514" s="32">
        <f>+[9]Result!$K$51-[8]Result!$K$51</f>
        <v>-5.1811608740098904</v>
      </c>
      <c r="H514" s="13">
        <f>+[10]Result!$K$51-[9]Result!$K$51</f>
        <v>1.4282900741397384</v>
      </c>
      <c r="I514" s="13">
        <f>+[11]Result!$K$51-[10]Result!$K$51</f>
        <v>1.7654256704372102</v>
      </c>
      <c r="J514" s="32">
        <f>+[12]Result!$K$51-[11]Result!$K$51</f>
        <v>5.8416318013157991</v>
      </c>
      <c r="K514" s="13">
        <f>+[13]Result!$K$51-[12]Result!$K$51</f>
        <v>5.9244313339888777E-2</v>
      </c>
      <c r="L514" s="13">
        <f>+[14]Result!$K$51-[13]Result!$K$51</f>
        <v>3.2313612675170873</v>
      </c>
      <c r="M514" s="13">
        <f>+[15]Result!$K$51-[14]Result!$K$51</f>
        <v>-89.282854635409024</v>
      </c>
      <c r="N514" s="32">
        <f>+[16]Result!$K$51-[15]Result!$K$51</f>
        <v>-3.326171089415908</v>
      </c>
      <c r="O514" s="13">
        <f>+[17]Result!$K$51-[16]Result!$K$51</f>
        <v>-8.0596950696277077</v>
      </c>
      <c r="P514" s="13">
        <f>+[18]Result!$K$51-[17]Result!$K$51</f>
        <v>-78.947317889269527</v>
      </c>
      <c r="Q514" s="32">
        <f>+[19]Result!$K$51-[18]Result!$K$51</f>
        <v>1.6085869127954879</v>
      </c>
      <c r="R514" s="32">
        <f>+[20]Result!$K$51-[19]Result!$K$51</f>
        <v>0</v>
      </c>
      <c r="S514" s="70">
        <f>+[22]Result!$K$51-[20]Result!$K$51</f>
        <v>-4.1307300752771994</v>
      </c>
      <c r="AI514" s="73"/>
      <c r="AJ514" s="73"/>
      <c r="AK514" s="73"/>
    </row>
    <row r="515" spans="1:37" hidden="1" outlineLevel="2" x14ac:dyDescent="0.25">
      <c r="A515" s="16" t="s">
        <v>54</v>
      </c>
      <c r="B515" s="13">
        <f>+[1]Result!$K$52-[21]Result!$K$52</f>
        <v>0.89440027537679612</v>
      </c>
      <c r="C515" s="13">
        <f>+[5]Result!$K$52-[1]Result!$K$52</f>
        <v>-1.203500984998918</v>
      </c>
      <c r="D515" s="32">
        <f>+[6]Result!$K$52-[5]Result!$K$52</f>
        <v>2.9598713746149059</v>
      </c>
      <c r="E515" s="13">
        <f>+[7]Result!$K$52-[6]Result!$K$52</f>
        <v>-0.99893943785238548</v>
      </c>
      <c r="F515" s="13">
        <f>+[8]Result!$K$52-[7]Result!$K$52</f>
        <v>1.2863843810455293</v>
      </c>
      <c r="G515" s="32">
        <f>+[9]Result!$K$52-[8]Result!$K$52</f>
        <v>-3.5770741284249468</v>
      </c>
      <c r="H515" s="13">
        <f>+[10]Result!$K$52-[9]Result!$K$52</f>
        <v>0.64898411123242283</v>
      </c>
      <c r="I515" s="13">
        <f>+[11]Result!$K$52-[10]Result!$K$52</f>
        <v>0.79485279356985217</v>
      </c>
      <c r="J515" s="32">
        <f>+[12]Result!$K$52-[11]Result!$K$52</f>
        <v>3.0412959121838696</v>
      </c>
      <c r="K515" s="13">
        <f>+[13]Result!$K$52-[12]Result!$K$52</f>
        <v>1.8023565421110277E-2</v>
      </c>
      <c r="L515" s="13">
        <f>+[14]Result!$K$52-[13]Result!$K$52</f>
        <v>1.4492801258546706</v>
      </c>
      <c r="M515" s="13">
        <f>+[15]Result!$K$52-[14]Result!$K$52</f>
        <v>-10.401741202359673</v>
      </c>
      <c r="N515" s="32">
        <f>+[16]Result!$K$52-[15]Result!$K$52</f>
        <v>-0.92773518813991984</v>
      </c>
      <c r="O515" s="13">
        <f>+[17]Result!$K$52-[16]Result!$K$52</f>
        <v>-2.2526712134213014</v>
      </c>
      <c r="P515" s="13">
        <f>+[18]Result!$K$52-[17]Result!$K$52</f>
        <v>-46.633477156471614</v>
      </c>
      <c r="Q515" s="32">
        <f>+[19]Result!$K$52-[18]Result!$K$52</f>
        <v>0.58660517924167266</v>
      </c>
      <c r="R515" s="32">
        <f>+[20]Result!$K$52-[19]Result!$K$52</f>
        <v>2.2431106737414552E-2</v>
      </c>
      <c r="S515" s="70">
        <f>+[22]Result!$K$52-[20]Result!$K$52</f>
        <v>-1.5414946501199012</v>
      </c>
      <c r="AI515" s="73"/>
      <c r="AJ515" s="73"/>
      <c r="AK515" s="73"/>
    </row>
    <row r="516" spans="1:37" hidden="1" outlineLevel="2" x14ac:dyDescent="0.25">
      <c r="A516" s="16" t="s">
        <v>55</v>
      </c>
      <c r="B516" s="13">
        <f>+[1]Result!$K$53-[21]Result!$K$53</f>
        <v>0.32977095383297517</v>
      </c>
      <c r="C516" s="13">
        <f>+[5]Result!$K$53-[1]Result!$K$53</f>
        <v>-0.44632356618875413</v>
      </c>
      <c r="D516" s="32">
        <f>+[6]Result!$K$53-[5]Result!$K$53</f>
        <v>1.4806898798763584</v>
      </c>
      <c r="E516" s="13">
        <f>+[7]Result!$K$53-[6]Result!$K$53</f>
        <v>-0.35987586617713951</v>
      </c>
      <c r="F516" s="13">
        <f>+[8]Result!$K$53-[7]Result!$K$53</f>
        <v>0.46200687523521822</v>
      </c>
      <c r="G516" s="32">
        <f>+[9]Result!$K$53-[8]Result!$K$53</f>
        <v>-0.5627617670479097</v>
      </c>
      <c r="H516" s="13">
        <f>+[10]Result!$K$53-[9]Result!$K$53</f>
        <v>0.22026052083148073</v>
      </c>
      <c r="I516" s="13">
        <f>+[11]Result!$K$53-[10]Result!$K$53</f>
        <v>0.27828086616798586</v>
      </c>
      <c r="J516" s="32">
        <f>+[12]Result!$K$53-[11]Result!$K$53</f>
        <v>1.3174184257592341</v>
      </c>
      <c r="K516" s="13">
        <f>+[13]Result!$K$53-[12]Result!$K$53</f>
        <v>9.2596469921364388E-3</v>
      </c>
      <c r="L516" s="13">
        <f>+[14]Result!$K$53-[13]Result!$K$53</f>
        <v>0.48762933219940763</v>
      </c>
      <c r="M516" s="13">
        <f>+[15]Result!$K$53-[14]Result!$K$53</f>
        <v>11.117666413217405</v>
      </c>
      <c r="N516" s="32">
        <f>+[16]Result!$K$53-[15]Result!$K$53</f>
        <v>-2.7518789775647923E-2</v>
      </c>
      <c r="O516" s="13">
        <f>+[17]Result!$K$53-[16]Result!$K$53</f>
        <v>-6.7780056590954318E-2</v>
      </c>
      <c r="P516" s="13">
        <f>+[18]Result!$K$53-[17]Result!$K$53</f>
        <v>-18.337669230649087</v>
      </c>
      <c r="Q516" s="32">
        <f>+[19]Result!$K$53-[18]Result!$K$53</f>
        <v>0.12186762797795581</v>
      </c>
      <c r="R516" s="32">
        <f>+[20]Result!$K$53-[19]Result!$K$53</f>
        <v>9.3427493218172231E-3</v>
      </c>
      <c r="S516" s="70">
        <f>+[22]Result!$K$53-[20]Result!$K$53</f>
        <v>-0.3154668699106189</v>
      </c>
      <c r="AI516" s="73"/>
      <c r="AJ516" s="73"/>
      <c r="AK516" s="73"/>
    </row>
    <row r="517" spans="1:37" hidden="1" outlineLevel="2" x14ac:dyDescent="0.25">
      <c r="A517" s="16" t="s">
        <v>56</v>
      </c>
      <c r="B517" s="13">
        <f>+[1]Result!$K$54-[21]Result!$K$54</f>
        <v>8.5751614322313152E-2</v>
      </c>
      <c r="C517" s="13">
        <f>+[5]Result!$K$54-[1]Result!$K$54</f>
        <v>-0.11575076263827011</v>
      </c>
      <c r="D517" s="32">
        <f>+[6]Result!$K$54-[5]Result!$K$54</f>
        <v>0.63595802168047832</v>
      </c>
      <c r="E517" s="13">
        <f>+[7]Result!$K$54-[6]Result!$K$54</f>
        <v>-8.5885008258270723E-2</v>
      </c>
      <c r="F517" s="13">
        <f>+[8]Result!$K$54-[7]Result!$K$54</f>
        <v>0.11123765862884927</v>
      </c>
      <c r="G517" s="32">
        <f>+[9]Result!$K$54-[8]Result!$K$54</f>
        <v>-0.33295795802137329</v>
      </c>
      <c r="H517" s="13">
        <f>+[10]Result!$K$54-[9]Result!$K$54</f>
        <v>5.6722246056987835E-2</v>
      </c>
      <c r="I517" s="13">
        <f>+[11]Result!$K$54-[10]Result!$K$54</f>
        <v>7.1924042596084536E-2</v>
      </c>
      <c r="J517" s="32">
        <f>+[12]Result!$K$54-[11]Result!$K$54</f>
        <v>0.36758198779657514</v>
      </c>
      <c r="K517" s="13">
        <f>+[13]Result!$K$54-[12]Result!$K$54</f>
        <v>3.2037639583264443E-3</v>
      </c>
      <c r="L517" s="13">
        <f>+[14]Result!$K$54-[13]Result!$K$54</f>
        <v>0.12405689080280879</v>
      </c>
      <c r="M517" s="13">
        <f>+[15]Result!$K$54-[14]Result!$K$54</f>
        <v>3.1879370913780649</v>
      </c>
      <c r="N517" s="32">
        <f>+[16]Result!$K$54-[15]Result!$K$54</f>
        <v>5.5473602062247607E-5</v>
      </c>
      <c r="O517" s="13">
        <f>+[17]Result!$K$54-[16]Result!$K$54</f>
        <v>1.3792483141375532E-4</v>
      </c>
      <c r="P517" s="13">
        <f>+[18]Result!$K$54-[17]Result!$K$54</f>
        <v>-5.9337782445656028E-5</v>
      </c>
      <c r="Q517" s="32">
        <f>+[19]Result!$K$54-[18]Result!$K$54</f>
        <v>-1.887614275709144E-5</v>
      </c>
      <c r="R517" s="32">
        <f>+[20]Result!$K$54-[19]Result!$K$54</f>
        <v>-7.258597674395656E-7</v>
      </c>
      <c r="S517" s="70">
        <f>+[22]Result!$K$54-[20]Result!$K$54</f>
        <v>4.8141927643065904E-5</v>
      </c>
      <c r="AI517" s="73"/>
      <c r="AJ517" s="73"/>
      <c r="AK517" s="73"/>
    </row>
    <row r="518" spans="1:37" collapsed="1" x14ac:dyDescent="0.25">
      <c r="A518" s="12" t="s">
        <v>91</v>
      </c>
      <c r="B518" s="13">
        <f>+SUM([1]Result!$L$5:$L$54)-SUM([21]Result!$L$5:$L$54)</f>
        <v>-682302.5352842994</v>
      </c>
      <c r="C518" s="13">
        <f>+SUM([5]Result!$L$5:$L$54)-SUM([1]Result!$L$5:$L$54)</f>
        <v>1355800.2109149434</v>
      </c>
      <c r="D518" s="32">
        <f>+SUM([6]Result!$L$5:$L$54)-SUM([5]Result!$L$5:$L$54)</f>
        <v>-2196287.4842988625</v>
      </c>
      <c r="E518" s="13">
        <f>+SUM([7]Result!$L$5:$L$54)-SUM([6]Result!$L$5:$L$54)</f>
        <v>3060547.6009540781</v>
      </c>
      <c r="F518" s="13">
        <f>+SUM([8]Result!$L$5:$L$54)-SUM([7]Result!$L$5:$L$54)</f>
        <v>-657955.26132149249</v>
      </c>
      <c r="G518" s="32">
        <f>+SUM([9]Result!$L$5:$L$54)-SUM([8]Result!$L$5:$L$54)</f>
        <v>-672531.89494498447</v>
      </c>
      <c r="H518" s="13">
        <f>+SUM([10]Result!$L$5:$L$54)-SUM([9]Result!$L$5:$L$54)</f>
        <v>-950275.07544846833</v>
      </c>
      <c r="I518" s="13">
        <f>+SUM([11]Result!$L$5:$L$54)-SUM([10]Result!$L$5:$L$54)</f>
        <v>295900.877625186</v>
      </c>
      <c r="J518" s="32">
        <f>+SUM([12]Result!$L$5:$L$54)-SUM([11]Result!$L$5:$L$54)</f>
        <v>-1307673.5013804398</v>
      </c>
      <c r="K518" s="13">
        <f>+SUM([13]Result!$L$5:$L$54)-SUM([12]Result!$L$5:$L$54)</f>
        <v>322492.75674692169</v>
      </c>
      <c r="L518" s="13">
        <f>+SUM([14]Result!$L$5:$L$54)-SUM([13]Result!$L$5:$L$54)</f>
        <v>-698007.98478925601</v>
      </c>
      <c r="M518" s="32">
        <f>+SUM([15]Result!$L$5:$L$54)-SUM([14]Result!$L$5:$L$54)</f>
        <v>3323289.2245190628</v>
      </c>
      <c r="N518" s="13">
        <f>+SUM([16]Result!$L$5:$L$54)-SUM([15]Result!$L$5:$L$54)</f>
        <v>382426.2727785632</v>
      </c>
      <c r="O518" s="13">
        <f>+SUM([17]Result!$L$5:$L$54)-SUM([16]Result!$L$5:$L$54)</f>
        <v>1073000.7927510664</v>
      </c>
      <c r="P518" s="32">
        <f>+SUM([18]Result!$L$5:$L$54)-SUM([17]Result!$L$5:$L$54)</f>
        <v>-7741860.1207180955</v>
      </c>
      <c r="Q518" s="13">
        <f>+SUM([19]Result!$L$5:$L$54)-SUM([18]Result!$L$5:$L$54)</f>
        <v>-326506.18693911284</v>
      </c>
      <c r="R518" s="13">
        <f>+SUM([20]Result!$L$5:$L$54)-SUM([19]Result!$L$5:$L$54)</f>
        <v>1048638.8168265037</v>
      </c>
      <c r="S518" s="70">
        <f>+SUM([22]Result!$L$5:$L$54)-SUM([20]Result!$L$5:$L$54)</f>
        <v>264835.7336794436</v>
      </c>
      <c r="T518" s="13">
        <f>+B518-(B519+B525+B531+B542+B553)</f>
        <v>-1.6763806343078613E-8</v>
      </c>
      <c r="U518" s="13">
        <f t="shared" ref="U518:W518" si="385">+C518-(C519+C525+C531+C542+C553)</f>
        <v>7.4505805969238281E-9</v>
      </c>
      <c r="V518" s="13">
        <f t="shared" si="385"/>
        <v>9.3132257461547852E-9</v>
      </c>
      <c r="W518" s="13">
        <f t="shared" si="385"/>
        <v>0</v>
      </c>
      <c r="X518" s="13">
        <f t="shared" ref="X518" si="386">+F518-(F519+F525+F531+F542+F553)</f>
        <v>-1.1990778148174286E-8</v>
      </c>
      <c r="Y518" s="13">
        <f t="shared" ref="Y518:AE518" si="387">+G518-(G519+G525+G531+G542+G553)</f>
        <v>0</v>
      </c>
      <c r="Z518" s="13">
        <f t="shared" si="387"/>
        <v>0</v>
      </c>
      <c r="AA518" s="13">
        <f t="shared" si="387"/>
        <v>9.0221874415874481E-9</v>
      </c>
      <c r="AB518" s="13">
        <f t="shared" si="387"/>
        <v>-1.0244548320770264E-8</v>
      </c>
      <c r="AC518" s="13">
        <f t="shared" si="387"/>
        <v>0</v>
      </c>
      <c r="AD518" s="13">
        <f t="shared" si="387"/>
        <v>1.862645149230957E-9</v>
      </c>
      <c r="AE518" s="13">
        <f t="shared" si="387"/>
        <v>1.1175870895385742E-8</v>
      </c>
      <c r="AF518" s="13">
        <f t="shared" ref="AF518" si="388">+N518-(N519+N525+N531+N542+N553)</f>
        <v>-2.0838342607021332E-8</v>
      </c>
      <c r="AG518" s="13">
        <f t="shared" ref="AG518:AH518" si="389">+O518-(O519+O525+O531+O542+O553)</f>
        <v>1.280568540096283E-8</v>
      </c>
      <c r="AH518" s="13">
        <f t="shared" si="389"/>
        <v>1.4901161193847656E-8</v>
      </c>
      <c r="AI518" s="73">
        <f t="shared" ref="AI518" si="390">+Q518-(Q519+Q525+Q531+Q542+Q553)</f>
        <v>-4.8894435167312622E-9</v>
      </c>
      <c r="AJ518" s="73">
        <f t="shared" ref="AJ518:AK518" si="391">+R518-(R519+R525+R531+R542+R553)</f>
        <v>-6.9849193096160889E-9</v>
      </c>
      <c r="AK518" s="73">
        <f t="shared" si="391"/>
        <v>0</v>
      </c>
    </row>
    <row r="519" spans="1:37" hidden="1" outlineLevel="1" x14ac:dyDescent="0.25">
      <c r="A519" s="15" t="s">
        <v>2</v>
      </c>
      <c r="B519" s="13">
        <f>+'[1]Stat by Mat 2'!$G$3-'[21]Stat by Mat 2'!$G$3</f>
        <v>-452715.27862139791</v>
      </c>
      <c r="C519" s="13">
        <f>+'[5]Stat by Mat 2'!$G$3-'[1]Stat by Mat 2'!$G$3</f>
        <v>956238.95162051916</v>
      </c>
      <c r="D519" s="32">
        <f>+'[6]Stat by Mat 2'!$G$3-'[5]Stat by Mat 2'!$G$3</f>
        <v>-1484016.4714033604</v>
      </c>
      <c r="E519" s="13">
        <f>+'[7]Stat by Mat 2'!$G$3-'[6]Stat by Mat 2'!$G$3</f>
        <v>2166809.2523200735</v>
      </c>
      <c r="F519" s="13">
        <f>+'[8]Stat by Mat 2'!$G$3-'[7]Stat by Mat 2'!$G$3</f>
        <v>-342165.44160799682</v>
      </c>
      <c r="G519" s="32">
        <f>+'[9]Stat by Mat 2'!$G$3-'[8]Stat by Mat 2'!$G$3</f>
        <v>-266323.19604706764</v>
      </c>
      <c r="H519" s="13">
        <f>+'[10]Stat by Mat 2'!$G$3-'[9]Stat by Mat 2'!$G$3</f>
        <v>-654724.66417508572</v>
      </c>
      <c r="I519" s="13">
        <f>+'[11]Stat by Mat 2'!$G$3-'[10]Stat by Mat 2'!$G$3</f>
        <v>257932.66348358989</v>
      </c>
      <c r="J519" s="32">
        <f>+'[12]Stat by Mat 2'!$G$3-'[11]Stat by Mat 2'!$G$3</f>
        <v>-1066804.4155128449</v>
      </c>
      <c r="K519" s="13">
        <f>+'[13]Stat by Mat 2'!$G$3-'[12]Stat by Mat 2'!$G$3</f>
        <v>184666.75557138771</v>
      </c>
      <c r="L519" s="13">
        <f>+'[14]Stat by Mat 2'!$G$3-'[13]Stat by Mat 2'!$G$3</f>
        <v>-297620.75469875336</v>
      </c>
      <c r="M519" s="13">
        <f>+'[15]Stat by Mat 2'!$G$3-'[14]Stat by Mat 2'!$G$3</f>
        <v>877602.62142263353</v>
      </c>
      <c r="N519" s="32">
        <f>+'[16]Stat by Mat 2'!$G$3-'[15]Stat by Mat 2'!$G$3</f>
        <v>220625.5224468559</v>
      </c>
      <c r="O519" s="13">
        <f>+'[17]Stat by Mat 2'!$G$3-'[16]Stat by Mat 2'!$G$3</f>
        <v>557147.14420258999</v>
      </c>
      <c r="P519" s="13">
        <f>+'[18]Stat by Mat 2'!$G$3-'[17]Stat by Mat 2'!$G$3</f>
        <v>-6002754.2597444803</v>
      </c>
      <c r="Q519" s="32">
        <f>+'[19]Stat by Mat 2'!$G$3-'[18]Stat by Mat 2'!$G$3</f>
        <v>-298472.13846679777</v>
      </c>
      <c r="R519" s="32">
        <f>+'[20]Stat by Mat 2'!$G$3-'[19]Stat by Mat 2'!$G$3</f>
        <v>800474.67131630331</v>
      </c>
      <c r="S519" s="70">
        <f>+'[22]Stat by Mat 2'!$G$3-'[20]Stat by Mat 2'!$G$3</f>
        <v>104566.59767188877</v>
      </c>
      <c r="T519" s="13">
        <f>+B519-SUM(B520:B524)</f>
        <v>0</v>
      </c>
      <c r="U519" s="13">
        <f t="shared" ref="U519:W519" si="392">+C519-SUM(C520:C524)</f>
        <v>0</v>
      </c>
      <c r="V519" s="13">
        <f t="shared" si="392"/>
        <v>0</v>
      </c>
      <c r="W519" s="13">
        <f t="shared" si="392"/>
        <v>0</v>
      </c>
      <c r="X519" s="13">
        <f t="shared" ref="X519" si="393">+F519-SUM(F520:F524)</f>
        <v>0</v>
      </c>
      <c r="Y519" s="13">
        <f t="shared" ref="Y519:AE519" si="394">+G519-SUM(G520:G524)</f>
        <v>0</v>
      </c>
      <c r="Z519" s="13">
        <f t="shared" si="394"/>
        <v>0</v>
      </c>
      <c r="AA519" s="13">
        <f t="shared" si="394"/>
        <v>0</v>
      </c>
      <c r="AB519" s="13">
        <f t="shared" si="394"/>
        <v>0</v>
      </c>
      <c r="AC519" s="13">
        <f t="shared" si="394"/>
        <v>0</v>
      </c>
      <c r="AD519" s="13">
        <f t="shared" si="394"/>
        <v>0</v>
      </c>
      <c r="AE519" s="13">
        <f t="shared" si="394"/>
        <v>0</v>
      </c>
      <c r="AF519" s="13">
        <f t="shared" ref="AF519" si="395">+N519-SUM(N520:N524)</f>
        <v>0</v>
      </c>
      <c r="AG519" s="13">
        <f t="shared" ref="AG519:AH519" si="396">+O519-SUM(O520:O524)</f>
        <v>0</v>
      </c>
      <c r="AH519" s="13">
        <f t="shared" si="396"/>
        <v>0</v>
      </c>
      <c r="AI519" s="73">
        <f t="shared" ref="AI519" si="397">+Q519-SUM(Q520:Q524)</f>
        <v>0</v>
      </c>
      <c r="AJ519" s="73">
        <f t="shared" ref="AJ519:AK519" si="398">+R519-SUM(R520:R524)</f>
        <v>0</v>
      </c>
      <c r="AK519" s="73">
        <f t="shared" si="398"/>
        <v>0</v>
      </c>
    </row>
    <row r="520" spans="1:37" hidden="1" outlineLevel="2" x14ac:dyDescent="0.25">
      <c r="A520" s="16" t="s">
        <v>3</v>
      </c>
      <c r="B520" s="13">
        <f>+[1]Result!$L$5-[21]Result!$L$5</f>
        <v>-83509.305008292198</v>
      </c>
      <c r="C520" s="13">
        <f>+[5]Result!$L$5-[1]Result!$L$5</f>
        <v>225534.1539298892</v>
      </c>
      <c r="D520" s="32">
        <f>+[6]Result!$L$5-[5]Result!$L$5</f>
        <v>-15769.165075778961</v>
      </c>
      <c r="E520" s="13">
        <f>+[7]Result!$L$5-[6]Result!$L$5</f>
        <v>419253.69917887449</v>
      </c>
      <c r="F520" s="13">
        <f>+[8]Result!$L$5-[7]Result!$L$5</f>
        <v>-23586.606361865997</v>
      </c>
      <c r="G520" s="32">
        <f>+[9]Result!$L$5-[8]Result!$L$5</f>
        <v>222322.51856720448</v>
      </c>
      <c r="H520" s="13">
        <f>+[10]Result!$L$5-[9]Result!$L$5</f>
        <v>-90943.324806213379</v>
      </c>
      <c r="I520" s="13">
        <f>+[11]Result!$L$5-[10]Result!$L$5</f>
        <v>10638.214641153812</v>
      </c>
      <c r="J520" s="32">
        <f>+[12]Result!$L$5-[11]Result!$L$5</f>
        <v>65780.023423969746</v>
      </c>
      <c r="K520" s="13">
        <f>+[13]Result!$L$5-[12]Result!$L$5</f>
        <v>-6754.6830275058746</v>
      </c>
      <c r="L520" s="13">
        <f>+[14]Result!$L$5-[13]Result!$L$5</f>
        <v>-15155.976555168629</v>
      </c>
      <c r="M520" s="13">
        <f>+[15]Result!$L$5-[14]Result!$L$5</f>
        <v>120899.09476524591</v>
      </c>
      <c r="N520" s="32">
        <f>+[16]Result!$L$5-[15]Result!$L$5</f>
        <v>3139.816305398941</v>
      </c>
      <c r="O520" s="13">
        <f>+[17]Result!$L$5-[16]Result!$L$5</f>
        <v>34750.589813947678</v>
      </c>
      <c r="P520" s="13">
        <f>+[18]Result!$L$5-[17]Result!$L$5</f>
        <v>-1199923.5127465725</v>
      </c>
      <c r="Q520" s="32">
        <f>+[19]Result!$L$5-[18]Result!$L$5</f>
        <v>-100258.84614747763</v>
      </c>
      <c r="R520" s="32">
        <f>+[20]Result!$L$5-[19]Result!$L$5</f>
        <v>114829.33212143183</v>
      </c>
      <c r="S520" s="70">
        <f>+[22]Result!$L$5-[20]Result!$L$5</f>
        <v>5473.9812793135643</v>
      </c>
      <c r="AI520" s="73"/>
      <c r="AJ520" s="73"/>
      <c r="AK520" s="73"/>
    </row>
    <row r="521" spans="1:37" hidden="1" outlineLevel="2" x14ac:dyDescent="0.25">
      <c r="A521" s="16" t="s">
        <v>4</v>
      </c>
      <c r="B521" s="13">
        <f>+[1]Result!$L$6-[21]Result!$L$6</f>
        <v>-138578.1854775548</v>
      </c>
      <c r="C521" s="13">
        <f>+[5]Result!$L$6-[1]Result!$L$6</f>
        <v>290533.81904679537</v>
      </c>
      <c r="D521" s="32">
        <f>+[6]Result!$L$6-[5]Result!$L$6</f>
        <v>-921302.2314568758</v>
      </c>
      <c r="E521" s="13">
        <f>+[7]Result!$L$6-[6]Result!$L$6</f>
        <v>748645.14879614115</v>
      </c>
      <c r="F521" s="13">
        <f>+[8]Result!$L$6-[7]Result!$L$6</f>
        <v>-102667.27889087796</v>
      </c>
      <c r="G521" s="32">
        <f>+[9]Result!$L$6-[8]Result!$L$6</f>
        <v>-240484.34633097053</v>
      </c>
      <c r="H521" s="13">
        <f>+[10]Result!$L$6-[9]Result!$L$6</f>
        <v>-223737.49727204442</v>
      </c>
      <c r="I521" s="13">
        <f>+[11]Result!$L$6-[10]Result!$L$6</f>
        <v>72052.808274000883</v>
      </c>
      <c r="J521" s="32">
        <f>+[12]Result!$L$6-[11]Result!$L$6</f>
        <v>-414508.87131875753</v>
      </c>
      <c r="K521" s="13">
        <f>+[13]Result!$L$6-[12]Result!$L$6</f>
        <v>45838.887850105762</v>
      </c>
      <c r="L521" s="13">
        <f>+[14]Result!$L$6-[13]Result!$L$6</f>
        <v>-83500.867268621922</v>
      </c>
      <c r="M521" s="13">
        <f>+[15]Result!$L$6-[14]Result!$L$6</f>
        <v>308008.64421963692</v>
      </c>
      <c r="N521" s="32">
        <f>+[16]Result!$L$6-[15]Result!$L$6</f>
        <v>56086.730200409889</v>
      </c>
      <c r="O521" s="13">
        <f>+[17]Result!$L$6-[16]Result!$L$6</f>
        <v>141078.33475032449</v>
      </c>
      <c r="P521" s="13">
        <f>+[18]Result!$L$6-[17]Result!$L$6</f>
        <v>-2325523.7797004282</v>
      </c>
      <c r="Q521" s="32">
        <f>+[19]Result!$L$6-[18]Result!$L$6</f>
        <v>-163831.61364358664</v>
      </c>
      <c r="R521" s="32">
        <f>+[20]Result!$L$6-[19]Result!$L$6</f>
        <v>295712.27702659369</v>
      </c>
      <c r="S521" s="70">
        <f>+[22]Result!$L$6-[20]Result!$L$6</f>
        <v>34936.595116913319</v>
      </c>
      <c r="AI521" s="73"/>
      <c r="AJ521" s="73"/>
      <c r="AK521" s="73"/>
    </row>
    <row r="522" spans="1:37" hidden="1" outlineLevel="2" x14ac:dyDescent="0.25">
      <c r="A522" s="16" t="s">
        <v>5</v>
      </c>
      <c r="B522" s="13">
        <f>+[1]Result!$L$7-[21]Result!$L$7</f>
        <v>-112441.2766019851</v>
      </c>
      <c r="C522" s="13">
        <f>+[5]Result!$L$7-[1]Result!$L$7</f>
        <v>204338.70739641786</v>
      </c>
      <c r="D522" s="32">
        <f>+[6]Result!$L$7-[5]Result!$L$7</f>
        <v>-174800.28452304006</v>
      </c>
      <c r="E522" s="13">
        <f>+[7]Result!$L$7-[6]Result!$L$7</f>
        <v>456067.78182822466</v>
      </c>
      <c r="F522" s="13">
        <f>+[8]Result!$L$7-[7]Result!$L$7</f>
        <v>-91216.579819634557</v>
      </c>
      <c r="G522" s="32">
        <f>+[9]Result!$L$7-[8]Result!$L$7</f>
        <v>-89204.841165885329</v>
      </c>
      <c r="H522" s="13">
        <f>+[10]Result!$L$7-[9]Result!$L$7</f>
        <v>-154124.71637828648</v>
      </c>
      <c r="I522" s="13">
        <f>+[11]Result!$L$7-[10]Result!$L$7</f>
        <v>75271.322480633855</v>
      </c>
      <c r="J522" s="32">
        <f>+[12]Result!$L$7-[11]Result!$L$7</f>
        <v>-411451.77767449617</v>
      </c>
      <c r="K522" s="13">
        <f>+[13]Result!$L$7-[12]Result!$L$7</f>
        <v>58565.690403863788</v>
      </c>
      <c r="L522" s="13">
        <f>+[14]Result!$L$7-[13]Result!$L$7</f>
        <v>-76880.279951542616</v>
      </c>
      <c r="M522" s="13">
        <f>+[15]Result!$L$7-[14]Result!$L$7</f>
        <v>100513.61291109025</v>
      </c>
      <c r="N522" s="32">
        <f>+[16]Result!$L$7-[15]Result!$L$7</f>
        <v>68461.861377954483</v>
      </c>
      <c r="O522" s="13">
        <f>+[17]Result!$L$7-[16]Result!$L$7</f>
        <v>146658.6562269181</v>
      </c>
      <c r="P522" s="13">
        <f>+[18]Result!$L$7-[17]Result!$L$7</f>
        <v>-1234063.5384676754</v>
      </c>
      <c r="Q522" s="32">
        <f>+[19]Result!$L$7-[18]Result!$L$7</f>
        <v>-38655.552128493786</v>
      </c>
      <c r="R522" s="32">
        <f>+[20]Result!$L$7-[19]Result!$L$7</f>
        <v>193907.22891093791</v>
      </c>
      <c r="S522" s="70">
        <f>+[22]Result!$L$7-[20]Result!$L$7</f>
        <v>21819.2602391541</v>
      </c>
      <c r="AI522" s="73"/>
      <c r="AJ522" s="73"/>
      <c r="AK522" s="73"/>
    </row>
    <row r="523" spans="1:37" hidden="1" outlineLevel="2" x14ac:dyDescent="0.25">
      <c r="A523" s="16" t="s">
        <v>6</v>
      </c>
      <c r="B523" s="13">
        <f>+[1]Result!$L$8-[21]Result!$L$8</f>
        <v>-69157.511681489646</v>
      </c>
      <c r="C523" s="13">
        <f>+[5]Result!$L$8-[1]Result!$L$8</f>
        <v>133166.37632286549</v>
      </c>
      <c r="D523" s="32">
        <f>+[6]Result!$L$8-[5]Result!$L$8</f>
        <v>-209893.95118038356</v>
      </c>
      <c r="E523" s="13">
        <f>+[7]Result!$L$8-[6]Result!$L$8</f>
        <v>303755.32562480122</v>
      </c>
      <c r="F523" s="13">
        <f>+[8]Result!$L$8-[7]Result!$L$8</f>
        <v>-68565.01193138212</v>
      </c>
      <c r="G523" s="32">
        <f>+[9]Result!$L$8-[8]Result!$L$8</f>
        <v>-83535.251842208207</v>
      </c>
      <c r="H523" s="13">
        <f>+[10]Result!$L$8-[9]Result!$L$8</f>
        <v>-105356.49896293879</v>
      </c>
      <c r="I523" s="13">
        <f>+[11]Result!$L$8-[10]Result!$L$8</f>
        <v>57823.405207671225</v>
      </c>
      <c r="J523" s="32">
        <f>+[12]Result!$L$8-[11]Result!$L$8</f>
        <v>-197421.56484981626</v>
      </c>
      <c r="K523" s="13">
        <f>+[13]Result!$L$8-[12]Result!$L$8</f>
        <v>47071.517515532672</v>
      </c>
      <c r="L523" s="13">
        <f>+[14]Result!$L$8-[13]Result!$L$8</f>
        <v>-62285.283547781408</v>
      </c>
      <c r="M523" s="13">
        <f>+[15]Result!$L$8-[14]Result!$L$8</f>
        <v>140672.72889558971</v>
      </c>
      <c r="N523" s="32">
        <f>+[16]Result!$L$8-[15]Result!$L$8</f>
        <v>52536.528364568949</v>
      </c>
      <c r="O523" s="13">
        <f>+[17]Result!$L$8-[16]Result!$L$8</f>
        <v>125785.42041833699</v>
      </c>
      <c r="P523" s="13">
        <f>+[18]Result!$L$8-[17]Result!$L$8</f>
        <v>-718231.43948020041</v>
      </c>
      <c r="Q523" s="32">
        <f>+[19]Result!$L$8-[18]Result!$L$8</f>
        <v>2248.112869605422</v>
      </c>
      <c r="R523" s="32">
        <f>+[20]Result!$L$8-[19]Result!$L$8</f>
        <v>114921.07632100582</v>
      </c>
      <c r="S523" s="70">
        <f>+[22]Result!$L$8-[20]Result!$L$8</f>
        <v>18037.273668803275</v>
      </c>
      <c r="AI523" s="73"/>
      <c r="AJ523" s="73"/>
      <c r="AK523" s="73"/>
    </row>
    <row r="524" spans="1:37" hidden="1" outlineLevel="2" x14ac:dyDescent="0.25">
      <c r="A524" s="16" t="s">
        <v>7</v>
      </c>
      <c r="B524" s="13">
        <f>+[1]Result!$L$9-[21]Result!$L$9</f>
        <v>-49028.999852076173</v>
      </c>
      <c r="C524" s="13">
        <f>+[5]Result!$L$9-[1]Result!$L$9</f>
        <v>102665.89492455125</v>
      </c>
      <c r="D524" s="32">
        <f>+[6]Result!$L$9-[5]Result!$L$9</f>
        <v>-162250.83916728199</v>
      </c>
      <c r="E524" s="13">
        <f>+[7]Result!$L$9-[6]Result!$L$9</f>
        <v>239087.29689203203</v>
      </c>
      <c r="F524" s="13">
        <f>+[8]Result!$L$9-[7]Result!$L$9</f>
        <v>-56129.964604236186</v>
      </c>
      <c r="G524" s="32">
        <f>+[9]Result!$L$9-[8]Result!$L$9</f>
        <v>-75421.275275208056</v>
      </c>
      <c r="H524" s="13">
        <f>+[10]Result!$L$9-[9]Result!$L$9</f>
        <v>-80562.626755602658</v>
      </c>
      <c r="I524" s="13">
        <f>+[11]Result!$L$9-[10]Result!$L$9</f>
        <v>42146.912880130112</v>
      </c>
      <c r="J524" s="32">
        <f>+[12]Result!$L$9-[11]Result!$L$9</f>
        <v>-109202.2250937447</v>
      </c>
      <c r="K524" s="13">
        <f>+[13]Result!$L$9-[12]Result!$L$9</f>
        <v>39945.34282939136</v>
      </c>
      <c r="L524" s="13">
        <f>+[14]Result!$L$9-[13]Result!$L$9</f>
        <v>-59798.347375638783</v>
      </c>
      <c r="M524" s="13">
        <f>+[15]Result!$L$9-[14]Result!$L$9</f>
        <v>207508.54063107073</v>
      </c>
      <c r="N524" s="32">
        <f>+[16]Result!$L$9-[15]Result!$L$9</f>
        <v>40400.586198523641</v>
      </c>
      <c r="O524" s="13">
        <f>+[17]Result!$L$9-[16]Result!$L$9</f>
        <v>108874.14299306273</v>
      </c>
      <c r="P524" s="13">
        <f>+[18]Result!$L$9-[17]Result!$L$9</f>
        <v>-525011.98934960365</v>
      </c>
      <c r="Q524" s="32">
        <f>+[19]Result!$L$9-[18]Result!$L$9</f>
        <v>2025.7605831548572</v>
      </c>
      <c r="R524" s="32">
        <f>+[20]Result!$L$9-[19]Result!$L$9</f>
        <v>81104.756936334074</v>
      </c>
      <c r="S524" s="70">
        <f>+[22]Result!$L$9-[20]Result!$L$9</f>
        <v>24299.487367704511</v>
      </c>
      <c r="AI524" s="73"/>
      <c r="AJ524" s="73"/>
      <c r="AK524" s="73"/>
    </row>
    <row r="525" spans="1:37" hidden="1" outlineLevel="1" x14ac:dyDescent="0.25">
      <c r="A525" s="15" t="s">
        <v>8</v>
      </c>
      <c r="B525" s="13">
        <f>+'[1]Stat by Mat 2'!$G$4-'[21]Stat by Mat 2'!$G$4</f>
        <v>-127340.38363672048</v>
      </c>
      <c r="C525" s="13">
        <f>+'[5]Stat by Mat 2'!$G$4-'[1]Stat by Mat 2'!$G$4</f>
        <v>271107.26530546695</v>
      </c>
      <c r="D525" s="32">
        <f>+'[6]Stat by Mat 2'!$G$4-'[5]Stat by Mat 2'!$G$4</f>
        <v>-544595.34522724524</v>
      </c>
      <c r="E525" s="13">
        <f>+'[7]Stat by Mat 2'!$G$4-'[6]Stat by Mat 2'!$G$4</f>
        <v>610441.8432087414</v>
      </c>
      <c r="F525" s="13">
        <f>+'[8]Stat by Mat 2'!$G$4-'[7]Stat by Mat 2'!$G$4</f>
        <v>-166768.06204483286</v>
      </c>
      <c r="G525" s="32">
        <f>+'[9]Stat by Mat 2'!$G$4-'[8]Stat by Mat 2'!$G$4</f>
        <v>-249522.11966542713</v>
      </c>
      <c r="H525" s="13">
        <f>+'[10]Stat by Mat 2'!$G$4-'[9]Stat by Mat 2'!$G$4</f>
        <v>-195114.00220964476</v>
      </c>
      <c r="I525" s="13">
        <f>+'[11]Stat by Mat 2'!$G$4-'[10]Stat by Mat 2'!$G$4</f>
        <v>75217.951717043296</v>
      </c>
      <c r="J525" s="32">
        <f>+'[12]Stat by Mat 2'!$G$4-'[11]Stat by Mat 2'!$G$4</f>
        <v>-128747.12405579537</v>
      </c>
      <c r="K525" s="13">
        <f>+'[13]Stat by Mat 2'!$G$4-'[12]Stat by Mat 2'!$G$4</f>
        <v>106004.98513704166</v>
      </c>
      <c r="L525" s="13">
        <f>+'[14]Stat by Mat 2'!$G$4-'[13]Stat by Mat 2'!$G$4</f>
        <v>-220491.91078224219</v>
      </c>
      <c r="M525" s="13">
        <f>+'[15]Stat by Mat 2'!$G$4-'[14]Stat by Mat 2'!$G$4</f>
        <v>1081332.2497196542</v>
      </c>
      <c r="N525" s="32">
        <f>+'[16]Stat by Mat 2'!$G$4-'[15]Stat by Mat 2'!$G$4</f>
        <v>108530.30691848788</v>
      </c>
      <c r="O525" s="13">
        <f>+'[17]Stat by Mat 2'!$G$4-'[16]Stat by Mat 2'!$G$4</f>
        <v>331310.76977637969</v>
      </c>
      <c r="P525" s="13">
        <f>+'[18]Stat by Mat 2'!$G$4-'[17]Stat by Mat 2'!$G$4</f>
        <v>-1223781.5537774619</v>
      </c>
      <c r="Q525" s="32">
        <f>+'[19]Stat by Mat 2'!$G$4-'[18]Stat by Mat 2'!$G$4</f>
        <v>-7068.9599259775132</v>
      </c>
      <c r="R525" s="32">
        <f>+'[20]Stat by Mat 2'!$G$4-'[19]Stat by Mat 2'!$G$4</f>
        <v>196358.29703284148</v>
      </c>
      <c r="S525" s="70">
        <f>+'[22]Stat by Mat 2'!$G$4-'[20]Stat by Mat 2'!$G$4</f>
        <v>93070.723706488498</v>
      </c>
      <c r="T525" s="13">
        <f>+B525-SUM(B526:B530)</f>
        <v>0</v>
      </c>
      <c r="U525" s="13">
        <f t="shared" ref="U525:W525" si="399">+C525-SUM(C526:C530)</f>
        <v>0</v>
      </c>
      <c r="V525" s="13">
        <f t="shared" si="399"/>
        <v>0</v>
      </c>
      <c r="W525" s="13">
        <f t="shared" si="399"/>
        <v>0</v>
      </c>
      <c r="X525" s="13">
        <f t="shared" ref="X525" si="400">+F525-SUM(F526:F530)</f>
        <v>0</v>
      </c>
      <c r="Y525" s="13">
        <f t="shared" ref="Y525:AE525" si="401">+G525-SUM(G526:G530)</f>
        <v>0</v>
      </c>
      <c r="Z525" s="13">
        <f t="shared" si="401"/>
        <v>0</v>
      </c>
      <c r="AA525" s="13">
        <f t="shared" si="401"/>
        <v>0</v>
      </c>
      <c r="AB525" s="13">
        <f t="shared" si="401"/>
        <v>0</v>
      </c>
      <c r="AC525" s="13">
        <f t="shared" si="401"/>
        <v>0</v>
      </c>
      <c r="AD525" s="13">
        <f t="shared" si="401"/>
        <v>0</v>
      </c>
      <c r="AE525" s="13">
        <f t="shared" si="401"/>
        <v>0</v>
      </c>
      <c r="AF525" s="13">
        <f t="shared" ref="AF525" si="402">+N525-SUM(N526:N530)</f>
        <v>0</v>
      </c>
      <c r="AG525" s="13">
        <f t="shared" ref="AG525:AH525" si="403">+O525-SUM(O526:O530)</f>
        <v>0</v>
      </c>
      <c r="AH525" s="13">
        <f t="shared" si="403"/>
        <v>0</v>
      </c>
      <c r="AI525" s="73">
        <f t="shared" ref="AI525" si="404">+Q525-SUM(Q526:Q530)</f>
        <v>0</v>
      </c>
      <c r="AJ525" s="73">
        <f t="shared" ref="AJ525:AK525" si="405">+R525-SUM(R526:R530)</f>
        <v>0</v>
      </c>
      <c r="AK525" s="73">
        <f t="shared" si="405"/>
        <v>0</v>
      </c>
    </row>
    <row r="526" spans="1:37" hidden="1" outlineLevel="2" x14ac:dyDescent="0.25">
      <c r="A526" s="16" t="s">
        <v>9</v>
      </c>
      <c r="B526" s="13">
        <f>+[1]Result!$L$10-[21]Result!$L$10</f>
        <v>-41035.134299248457</v>
      </c>
      <c r="C526" s="13">
        <f>+[5]Result!$L$10-[1]Result!$L$10</f>
        <v>87475.659131675959</v>
      </c>
      <c r="D526" s="32">
        <f>+[6]Result!$L$10-[5]Result!$L$10</f>
        <v>-153294.0344792828</v>
      </c>
      <c r="E526" s="13">
        <f>+[7]Result!$L$10-[6]Result!$L$10</f>
        <v>196008.28222846612</v>
      </c>
      <c r="F526" s="13">
        <f>+[8]Result!$L$10-[7]Result!$L$10</f>
        <v>-47721.561484564096</v>
      </c>
      <c r="G526" s="32">
        <f>+[9]Result!$L$10-[8]Result!$L$10</f>
        <v>-59775.048293609172</v>
      </c>
      <c r="H526" s="13">
        <f>+[10]Result!$L$10-[9]Result!$L$10</f>
        <v>-64293.723774705082</v>
      </c>
      <c r="I526" s="13">
        <f>+[11]Result!$L$10-[10]Result!$L$10</f>
        <v>30842.650568194687</v>
      </c>
      <c r="J526" s="32">
        <f>+[12]Result!$L$10-[11]Result!$L$10</f>
        <v>-59872.353817932308</v>
      </c>
      <c r="K526" s="13">
        <f>+[13]Result!$L$10-[12]Result!$L$10</f>
        <v>33513.257084425539</v>
      </c>
      <c r="L526" s="13">
        <f>+[14]Result!$L$10-[13]Result!$L$10</f>
        <v>-58056.234374895692</v>
      </c>
      <c r="M526" s="13">
        <f>+[15]Result!$L$10-[14]Result!$L$10</f>
        <v>210214.45173682645</v>
      </c>
      <c r="N526" s="32">
        <f>+[16]Result!$L$10-[15]Result!$L$10</f>
        <v>32829.617050252855</v>
      </c>
      <c r="O526" s="13">
        <f>+[17]Result!$L$10-[16]Result!$L$10</f>
        <v>96505.725431129336</v>
      </c>
      <c r="P526" s="13">
        <f>+[18]Result!$L$10-[17]Result!$L$10</f>
        <v>-391591.74585772306</v>
      </c>
      <c r="Q526" s="32">
        <f>+[19]Result!$L$10-[18]Result!$L$10</f>
        <v>-773.25255087763071</v>
      </c>
      <c r="R526" s="32">
        <f>+[20]Result!$L$10-[19]Result!$L$10</f>
        <v>63784.008103750646</v>
      </c>
      <c r="S526" s="70">
        <f>+[22]Result!$L$10-[20]Result!$L$10</f>
        <v>25535.211280565709</v>
      </c>
      <c r="AI526" s="73"/>
      <c r="AJ526" s="73"/>
      <c r="AK526" s="73"/>
    </row>
    <row r="527" spans="1:37" hidden="1" outlineLevel="2" x14ac:dyDescent="0.25">
      <c r="A527" s="16" t="s">
        <v>10</v>
      </c>
      <c r="B527" s="13">
        <f>+[1]Result!$L$11-[21]Result!$L$11</f>
        <v>-30248.686749715358</v>
      </c>
      <c r="C527" s="13">
        <f>+[5]Result!$L$11-[1]Result!$L$11</f>
        <v>66921.982100486755</v>
      </c>
      <c r="D527" s="32">
        <f>+[6]Result!$L$11-[5]Result!$L$11</f>
        <v>-139902.61005541682</v>
      </c>
      <c r="E527" s="13">
        <f>+[7]Result!$L$11-[6]Result!$L$11</f>
        <v>150616.70734875277</v>
      </c>
      <c r="F527" s="13">
        <f>+[8]Result!$L$11-[7]Result!$L$11</f>
        <v>-38769.205668319017</v>
      </c>
      <c r="G527" s="32">
        <f>+[9]Result!$L$11-[8]Result!$L$11</f>
        <v>-58764.863296162337</v>
      </c>
      <c r="H527" s="13">
        <f>+[10]Result!$L$11-[9]Result!$L$11</f>
        <v>-47616.677660513669</v>
      </c>
      <c r="I527" s="13">
        <f>+[11]Result!$L$11-[10]Result!$L$11</f>
        <v>20560.492779076099</v>
      </c>
      <c r="J527" s="32">
        <f>+[12]Result!$L$11-[11]Result!$L$11</f>
        <v>-38925.378940489143</v>
      </c>
      <c r="K527" s="13">
        <f>+[13]Result!$L$11-[12]Result!$L$11</f>
        <v>26284.671101614833</v>
      </c>
      <c r="L527" s="13">
        <f>+[14]Result!$L$11-[13]Result!$L$11</f>
        <v>-51844.84909966588</v>
      </c>
      <c r="M527" s="13">
        <f>+[15]Result!$L$11-[14]Result!$L$11</f>
        <v>207995.96355025098</v>
      </c>
      <c r="N527" s="32">
        <f>+[16]Result!$L$11-[15]Result!$L$11</f>
        <v>26813.009281318635</v>
      </c>
      <c r="O527" s="13">
        <f>+[17]Result!$L$11-[16]Result!$L$11</f>
        <v>82077.00232180953</v>
      </c>
      <c r="P527" s="13">
        <f>+[18]Result!$L$11-[17]Result!$L$11</f>
        <v>-307746.5263380073</v>
      </c>
      <c r="Q527" s="32">
        <f>+[19]Result!$L$11-[18]Result!$L$11</f>
        <v>-1221.1385114714503</v>
      </c>
      <c r="R527" s="32">
        <f>+[20]Result!$L$11-[19]Result!$L$11</f>
        <v>50591.856982916594</v>
      </c>
      <c r="S527" s="70">
        <f>+[22]Result!$L$11-[20]Result!$L$11</f>
        <v>22118.489359799773</v>
      </c>
      <c r="AI527" s="73"/>
      <c r="AJ527" s="73"/>
      <c r="AK527" s="73"/>
    </row>
    <row r="528" spans="1:37" hidden="1" outlineLevel="2" x14ac:dyDescent="0.25">
      <c r="A528" s="16" t="s">
        <v>11</v>
      </c>
      <c r="B528" s="13">
        <f>+[1]Result!$L$12-[21]Result!$L$12</f>
        <v>-21766.310249287635</v>
      </c>
      <c r="C528" s="13">
        <f>+[5]Result!$L$12-[1]Result!$L$12</f>
        <v>49778.323439389467</v>
      </c>
      <c r="D528" s="32">
        <f>+[6]Result!$L$12-[5]Result!$L$12</f>
        <v>-120884.21240282059</v>
      </c>
      <c r="E528" s="13">
        <f>+[7]Result!$L$12-[6]Result!$L$12</f>
        <v>114606.48410591111</v>
      </c>
      <c r="F528" s="13">
        <f>+[8]Result!$L$12-[7]Result!$L$12</f>
        <v>-32084.302217975259</v>
      </c>
      <c r="G528" s="32">
        <f>+[9]Result!$L$12-[8]Result!$L$12</f>
        <v>-53973.704238981009</v>
      </c>
      <c r="H528" s="13">
        <f>+[10]Result!$L$12-[9]Result!$L$12</f>
        <v>-35751.984785776585</v>
      </c>
      <c r="I528" s="13">
        <f>+[11]Result!$L$12-[10]Result!$L$12</f>
        <v>13337.950648780912</v>
      </c>
      <c r="J528" s="32">
        <f>+[12]Result!$L$12-[11]Result!$L$12</f>
        <v>-24059.803142249584</v>
      </c>
      <c r="K528" s="13">
        <f>+[13]Result!$L$12-[12]Result!$L$12</f>
        <v>19954.333617374301</v>
      </c>
      <c r="L528" s="13">
        <f>+[14]Result!$L$12-[13]Result!$L$12</f>
        <v>-43738.741647459567</v>
      </c>
      <c r="M528" s="13">
        <f>+[15]Result!$L$12-[14]Result!$L$12</f>
        <v>201068.65660788305</v>
      </c>
      <c r="N528" s="32">
        <f>+[16]Result!$L$12-[15]Result!$L$12</f>
        <v>21827.309683753178</v>
      </c>
      <c r="O528" s="13">
        <f>+[17]Result!$L$12-[16]Result!$L$12</f>
        <v>66840.306401392445</v>
      </c>
      <c r="P528" s="13">
        <f>+[18]Result!$L$12-[17]Result!$L$12</f>
        <v>-234447.6892441269</v>
      </c>
      <c r="Q528" s="32">
        <f>+[19]Result!$L$12-[18]Result!$L$12</f>
        <v>-1432.4808478988707</v>
      </c>
      <c r="R528" s="32">
        <f>+[20]Result!$L$12-[19]Result!$L$12</f>
        <v>38482.801505018026</v>
      </c>
      <c r="S528" s="70">
        <f>+[22]Result!$L$12-[20]Result!$L$12</f>
        <v>18241.249435003847</v>
      </c>
      <c r="AI528" s="73"/>
      <c r="AJ528" s="73"/>
      <c r="AK528" s="73"/>
    </row>
    <row r="529" spans="1:37" hidden="1" outlineLevel="2" x14ac:dyDescent="0.25">
      <c r="A529" s="16" t="s">
        <v>12</v>
      </c>
      <c r="B529" s="13">
        <f>+[1]Result!$L$13-[21]Result!$L$13</f>
        <v>-17139.543362395838</v>
      </c>
      <c r="C529" s="13">
        <f>+[5]Result!$L$13-[1]Result!$L$13</f>
        <v>35907.624708967283</v>
      </c>
      <c r="D529" s="32">
        <f>+[6]Result!$L$13-[5]Result!$L$13</f>
        <v>-62835.879378249869</v>
      </c>
      <c r="E529" s="13">
        <f>+[7]Result!$L$13-[6]Result!$L$13</f>
        <v>82812.455339336768</v>
      </c>
      <c r="F529" s="13">
        <f>+[8]Result!$L$13-[7]Result!$L$13</f>
        <v>-25442.684524135664</v>
      </c>
      <c r="G529" s="32">
        <f>+[9]Result!$L$13-[8]Result!$L$13</f>
        <v>-35267.035302106291</v>
      </c>
      <c r="H529" s="13">
        <f>+[10]Result!$L$13-[9]Result!$L$13</f>
        <v>-25232.965724304318</v>
      </c>
      <c r="I529" s="13">
        <f>+[11]Result!$L$13-[10]Result!$L$13</f>
        <v>7002.948150575161</v>
      </c>
      <c r="J529" s="32">
        <f>+[12]Result!$L$13-[11]Result!$L$13</f>
        <v>-8172.7056858148426</v>
      </c>
      <c r="K529" s="13">
        <f>+[13]Result!$L$13-[12]Result!$L$13</f>
        <v>14267.479207662866</v>
      </c>
      <c r="L529" s="13">
        <f>+[14]Result!$L$13-[13]Result!$L$13</f>
        <v>-34432.117597211152</v>
      </c>
      <c r="M529" s="13">
        <f>+[15]Result!$L$13-[14]Result!$L$13</f>
        <v>168218.30026346818</v>
      </c>
      <c r="N529" s="32">
        <f>+[16]Result!$L$13-[15]Result!$L$13</f>
        <v>15637.218174709007</v>
      </c>
      <c r="O529" s="13">
        <f>+[17]Result!$L$13-[16]Result!$L$13</f>
        <v>50044.266790468246</v>
      </c>
      <c r="P529" s="13">
        <f>+[18]Result!$L$13-[17]Result!$L$13</f>
        <v>-169681.01104276814</v>
      </c>
      <c r="Q529" s="32">
        <f>+[19]Result!$L$13-[18]Result!$L$13</f>
        <v>-1584.6348362695426</v>
      </c>
      <c r="R529" s="32">
        <f>+[20]Result!$L$13-[19]Result!$L$13</f>
        <v>26477.200016940013</v>
      </c>
      <c r="S529" s="70">
        <f>+[22]Result!$L$13-[20]Result!$L$13</f>
        <v>15421.771043412387</v>
      </c>
      <c r="AI529" s="73"/>
      <c r="AJ529" s="73"/>
      <c r="AK529" s="73"/>
    </row>
    <row r="530" spans="1:37" hidden="1" outlineLevel="2" x14ac:dyDescent="0.25">
      <c r="A530" s="16" t="s">
        <v>13</v>
      </c>
      <c r="B530" s="13">
        <f>+[1]Result!$L$14-[21]Result!$L$14</f>
        <v>-17150.708976073191</v>
      </c>
      <c r="C530" s="13">
        <f>+[5]Result!$L$14-[1]Result!$L$14</f>
        <v>31023.675924947485</v>
      </c>
      <c r="D530" s="32">
        <f>+[6]Result!$L$14-[5]Result!$L$14</f>
        <v>-67678.608911475167</v>
      </c>
      <c r="E530" s="13">
        <f>+[7]Result!$L$14-[6]Result!$L$14</f>
        <v>66397.914186274633</v>
      </c>
      <c r="F530" s="13">
        <f>+[8]Result!$L$14-[7]Result!$L$14</f>
        <v>-22750.30814983882</v>
      </c>
      <c r="G530" s="32">
        <f>+[9]Result!$L$14-[8]Result!$L$14</f>
        <v>-41741.468534568325</v>
      </c>
      <c r="H530" s="13">
        <f>+[10]Result!$L$14-[9]Result!$L$14</f>
        <v>-22218.650264345109</v>
      </c>
      <c r="I530" s="13">
        <f>+[11]Result!$L$14-[10]Result!$L$14</f>
        <v>3473.9095704164356</v>
      </c>
      <c r="J530" s="32">
        <f>+[12]Result!$L$14-[11]Result!$L$14</f>
        <v>2283.1175306905061</v>
      </c>
      <c r="K530" s="13">
        <f>+[13]Result!$L$14-[12]Result!$L$14</f>
        <v>11985.24412596412</v>
      </c>
      <c r="L530" s="13">
        <f>+[14]Result!$L$14-[13]Result!$L$14</f>
        <v>-32419.968063009903</v>
      </c>
      <c r="M530" s="13">
        <f>+[15]Result!$L$14-[14]Result!$L$14</f>
        <v>293834.87756122556</v>
      </c>
      <c r="N530" s="32">
        <f>+[16]Result!$L$14-[15]Result!$L$14</f>
        <v>11423.15272845421</v>
      </c>
      <c r="O530" s="13">
        <f>+[17]Result!$L$14-[16]Result!$L$14</f>
        <v>35843.468831580132</v>
      </c>
      <c r="P530" s="13">
        <f>+[18]Result!$L$14-[17]Result!$L$14</f>
        <v>-120314.58129483648</v>
      </c>
      <c r="Q530" s="32">
        <f>+[19]Result!$L$14-[18]Result!$L$14</f>
        <v>-2057.4531794600189</v>
      </c>
      <c r="R530" s="32">
        <f>+[20]Result!$L$14-[19]Result!$L$14</f>
        <v>17022.430424216203</v>
      </c>
      <c r="S530" s="70">
        <f>+[22]Result!$L$14-[20]Result!$L$14</f>
        <v>11754.002587706782</v>
      </c>
      <c r="AI530" s="73"/>
      <c r="AJ530" s="73"/>
      <c r="AK530" s="73"/>
    </row>
    <row r="531" spans="1:37" hidden="1" outlineLevel="1" x14ac:dyDescent="0.25">
      <c r="A531" s="15" t="s">
        <v>14</v>
      </c>
      <c r="B531" s="13">
        <f>+'[1]Stat by Mat 2'!$G$5-'[21]Stat by Mat 2'!$G$5</f>
        <v>-76452.46037266776</v>
      </c>
      <c r="C531" s="13">
        <f>+'[5]Stat by Mat 2'!$G$5-'[1]Stat by Mat 2'!$G$5</f>
        <v>100487.3545982074</v>
      </c>
      <c r="D531" s="32">
        <f>+'[6]Stat by Mat 2'!$G$5-'[5]Stat by Mat 2'!$G$5</f>
        <v>-118088.25543374661</v>
      </c>
      <c r="E531" s="13">
        <f>+'[7]Stat by Mat 2'!$G$5-'[6]Stat by Mat 2'!$G$5</f>
        <v>243935.95528402925</v>
      </c>
      <c r="F531" s="13">
        <f>+'[8]Stat by Mat 2'!$G$5-'[7]Stat by Mat 2'!$G$5</f>
        <v>-114037.31257621478</v>
      </c>
      <c r="G531" s="32">
        <f>+'[9]Stat by Mat 2'!$G$5-'[8]Stat by Mat 2'!$G$5</f>
        <v>-115059.50893347897</v>
      </c>
      <c r="H531" s="13">
        <f>+'[10]Stat by Mat 2'!$G$5-'[9]Stat by Mat 2'!$G$5</f>
        <v>-83968.1870936919</v>
      </c>
      <c r="I531" s="13">
        <f>+'[11]Stat by Mat 2'!$G$5-'[10]Stat by Mat 2'!$G$5</f>
        <v>-22959.346738612279</v>
      </c>
      <c r="J531" s="32">
        <f>+'[12]Stat by Mat 2'!$G$5-'[11]Stat by Mat 2'!$G$5</f>
        <v>-30795.281289471313</v>
      </c>
      <c r="K531" s="13">
        <f>+'[13]Stat by Mat 2'!$G$5-'[12]Stat by Mat 2'!$G$5</f>
        <v>30871.057358834893</v>
      </c>
      <c r="L531" s="13">
        <f>+'[14]Stat by Mat 2'!$G$5-'[13]Stat by Mat 2'!$G$5</f>
        <v>-147249.91999632865</v>
      </c>
      <c r="M531" s="13">
        <f>+'[15]Stat by Mat 2'!$G$5-'[14]Stat by Mat 2'!$G$5</f>
        <v>949042.39327430166</v>
      </c>
      <c r="N531" s="32">
        <f>+'[16]Stat by Mat 2'!$G$5-'[15]Stat by Mat 2'!$G$5</f>
        <v>44888.465062314644</v>
      </c>
      <c r="O531" s="13">
        <f>+'[17]Stat by Mat 2'!$G$5-'[16]Stat by Mat 2'!$G$5</f>
        <v>158370.21554354113</v>
      </c>
      <c r="P531" s="13">
        <f>+'[18]Stat by Mat 2'!$G$5-'[17]Stat by Mat 2'!$G$5</f>
        <v>-410569.9081694968</v>
      </c>
      <c r="Q531" s="32">
        <f>+'[19]Stat by Mat 2'!$G$5-'[18]Stat by Mat 2'!$G$5</f>
        <v>-16296.015373621602</v>
      </c>
      <c r="R531" s="32">
        <f>+'[20]Stat by Mat 2'!$G$5-'[19]Stat by Mat 2'!$G$5</f>
        <v>49609.897253771778</v>
      </c>
      <c r="S531" s="70">
        <f>+'[22]Stat by Mat 2'!$G$5-'[20]Stat by Mat 2'!$G$5</f>
        <v>57395.112826424651</v>
      </c>
      <c r="T531" s="13">
        <f>+B531-SUM(B532:B541)</f>
        <v>-2.3283064365386963E-10</v>
      </c>
      <c r="U531" s="13">
        <f t="shared" ref="U531:W531" si="406">+C531-SUM(C532:C541)</f>
        <v>4.6566128730773926E-10</v>
      </c>
      <c r="V531" s="13">
        <f t="shared" si="406"/>
        <v>0</v>
      </c>
      <c r="W531" s="13">
        <f t="shared" si="406"/>
        <v>-6.9849193096160889E-10</v>
      </c>
      <c r="X531" s="13">
        <f t="shared" ref="X531" si="407">+F531-SUM(F532:F541)</f>
        <v>4.6566128730773926E-10</v>
      </c>
      <c r="Y531" s="13">
        <f t="shared" ref="Y531:AE531" si="408">+G531-SUM(G532:G541)</f>
        <v>0</v>
      </c>
      <c r="Z531" s="13">
        <f t="shared" si="408"/>
        <v>-2.3283064365386963E-10</v>
      </c>
      <c r="AA531" s="13">
        <f t="shared" si="408"/>
        <v>6.9849193096160889E-10</v>
      </c>
      <c r="AB531" s="13">
        <f t="shared" si="408"/>
        <v>-2.3283064365386963E-10</v>
      </c>
      <c r="AC531" s="13">
        <f t="shared" si="408"/>
        <v>-6.9849193096160889E-10</v>
      </c>
      <c r="AD531" s="13">
        <f t="shared" si="408"/>
        <v>0</v>
      </c>
      <c r="AE531" s="13">
        <f t="shared" si="408"/>
        <v>0</v>
      </c>
      <c r="AF531" s="13">
        <f t="shared" ref="AF531" si="409">+N531-SUM(N532:N541)</f>
        <v>-2.3283064365386963E-10</v>
      </c>
      <c r="AG531" s="13">
        <f t="shared" ref="AG531:AH531" si="410">+O531-SUM(O532:O541)</f>
        <v>2.3283064365386963E-10</v>
      </c>
      <c r="AH531" s="13">
        <f t="shared" si="410"/>
        <v>0</v>
      </c>
      <c r="AI531" s="73">
        <f t="shared" ref="AI531" si="411">+Q531-SUM(Q532:Q541)</f>
        <v>2.3283064365386963E-10</v>
      </c>
      <c r="AJ531" s="73">
        <f t="shared" ref="AJ531:AK531" si="412">+R531-SUM(R532:R541)</f>
        <v>-2.3283064365386963E-10</v>
      </c>
      <c r="AK531" s="73">
        <f t="shared" si="412"/>
        <v>0</v>
      </c>
    </row>
    <row r="532" spans="1:37" hidden="1" outlineLevel="2" x14ac:dyDescent="0.25">
      <c r="A532" s="16" t="s">
        <v>15</v>
      </c>
      <c r="B532" s="13">
        <f>+[1]Result!$L$15-[21]Result!$L$15</f>
        <v>-13586.333737684414</v>
      </c>
      <c r="C532" s="13">
        <f>+[5]Result!$L$15-[1]Result!$L$15</f>
        <v>23811.008307997137</v>
      </c>
      <c r="D532" s="32">
        <f>+[6]Result!$L$15-[5]Result!$L$15</f>
        <v>-39209.544099060819</v>
      </c>
      <c r="E532" s="13">
        <f>+[7]Result!$L$15-[6]Result!$L$15</f>
        <v>50414.170046852902</v>
      </c>
      <c r="F532" s="13">
        <f>+[8]Result!$L$15-[7]Result!$L$15</f>
        <v>-18809.098580054939</v>
      </c>
      <c r="G532" s="32">
        <f>+[9]Result!$L$15-[8]Result!$L$15</f>
        <v>-30938.925147861242</v>
      </c>
      <c r="H532" s="13">
        <f>+[10]Result!$L$15-[9]Result!$L$15</f>
        <v>-18291.239533195272</v>
      </c>
      <c r="I532" s="13">
        <f>+[11]Result!$L$15-[10]Result!$L$15</f>
        <v>759.33819795586169</v>
      </c>
      <c r="J532" s="32">
        <f>+[12]Result!$L$15-[11]Result!$L$15</f>
        <v>-1151.6046709623188</v>
      </c>
      <c r="K532" s="13">
        <f>+[13]Result!$L$15-[12]Result!$L$15</f>
        <v>8737.2016974166036</v>
      </c>
      <c r="L532" s="13">
        <f>+[14]Result!$L$15-[13]Result!$L$15</f>
        <v>-27064.883616818115</v>
      </c>
      <c r="M532" s="13">
        <f>+[15]Result!$L$15-[14]Result!$L$15</f>
        <v>272541.67642516829</v>
      </c>
      <c r="N532" s="32">
        <f>+[16]Result!$L$15-[15]Result!$L$15</f>
        <v>8393.2112711183727</v>
      </c>
      <c r="O532" s="13">
        <f>+[17]Result!$L$15-[16]Result!$L$15</f>
        <v>27096.001458531246</v>
      </c>
      <c r="P532" s="13">
        <f>+[18]Result!$L$15-[17]Result!$L$15</f>
        <v>-89020.842099059373</v>
      </c>
      <c r="Q532" s="32">
        <f>+[19]Result!$L$15-[18]Result!$L$15</f>
        <v>-1278.4006206719205</v>
      </c>
      <c r="R532" s="32">
        <f>+[20]Result!$L$15-[19]Result!$L$15</f>
        <v>11669.873661536723</v>
      </c>
      <c r="S532" s="70">
        <f>+[22]Result!$L$15-[20]Result!$L$15</f>
        <v>9131.306208120659</v>
      </c>
      <c r="AI532" s="73"/>
      <c r="AJ532" s="73"/>
      <c r="AK532" s="73"/>
    </row>
    <row r="533" spans="1:37" hidden="1" outlineLevel="2" x14ac:dyDescent="0.25">
      <c r="A533" s="16" t="s">
        <v>16</v>
      </c>
      <c r="B533" s="13">
        <f>+[1]Result!$L$16-[21]Result!$L$16</f>
        <v>-8500.1953129312024</v>
      </c>
      <c r="C533" s="13">
        <f>+[5]Result!$L$16-[1]Result!$L$16</f>
        <v>15170.260672612116</v>
      </c>
      <c r="D533" s="32">
        <f>+[6]Result!$L$16-[5]Result!$L$16</f>
        <v>-7690.9925751844421</v>
      </c>
      <c r="E533" s="13">
        <f>+[7]Result!$L$16-[6]Result!$L$16</f>
        <v>36180.75184201356</v>
      </c>
      <c r="F533" s="13">
        <f>+[8]Result!$L$16-[7]Result!$L$16</f>
        <v>-13937.617940123193</v>
      </c>
      <c r="G533" s="32">
        <f>+[9]Result!$L$16-[8]Result!$L$16</f>
        <v>-17483.152932178229</v>
      </c>
      <c r="H533" s="13">
        <f>+[10]Result!$L$16-[9]Result!$L$16</f>
        <v>-11841.277149647474</v>
      </c>
      <c r="I533" s="13">
        <f>+[11]Result!$L$16-[10]Result!$L$16</f>
        <v>-1053.0685761477798</v>
      </c>
      <c r="J533" s="32">
        <f>+[12]Result!$L$16-[11]Result!$L$16</f>
        <v>-4213.3718153154477</v>
      </c>
      <c r="K533" s="13">
        <f>+[13]Result!$L$16-[12]Result!$L$16</f>
        <v>5254.7893086029217</v>
      </c>
      <c r="L533" s="13">
        <f>+[14]Result!$L$16-[13]Result!$L$16</f>
        <v>-19543.284804305062</v>
      </c>
      <c r="M533" s="13">
        <f>+[15]Result!$L$16-[14]Result!$L$16</f>
        <v>138216.01110428385</v>
      </c>
      <c r="N533" s="32">
        <f>+[16]Result!$L$16-[15]Result!$L$16</f>
        <v>6427.8537279823795</v>
      </c>
      <c r="O533" s="13">
        <f>+[17]Result!$L$16-[16]Result!$L$16</f>
        <v>23107.566674993373</v>
      </c>
      <c r="P533" s="13">
        <f>+[18]Result!$L$16-[17]Result!$L$16</f>
        <v>-59028.392786238343</v>
      </c>
      <c r="Q533" s="32">
        <f>+[19]Result!$L$16-[18]Result!$L$16</f>
        <v>-973.39627447910607</v>
      </c>
      <c r="R533" s="32">
        <f>+[20]Result!$L$16-[19]Result!$L$16</f>
        <v>8996.9871790539473</v>
      </c>
      <c r="S533" s="70">
        <f>+[22]Result!$L$16-[20]Result!$L$16</f>
        <v>8672.6903159767389</v>
      </c>
      <c r="AI533" s="73"/>
      <c r="AJ533" s="73"/>
      <c r="AK533" s="73"/>
    </row>
    <row r="534" spans="1:37" hidden="1" outlineLevel="2" x14ac:dyDescent="0.25">
      <c r="A534" s="16" t="s">
        <v>17</v>
      </c>
      <c r="B534" s="13">
        <f>+[1]Result!$L$17-[21]Result!$L$17</f>
        <v>-7025.9131170222536</v>
      </c>
      <c r="C534" s="13">
        <f>+[5]Result!$L$17-[1]Result!$L$17</f>
        <v>12380.348582867533</v>
      </c>
      <c r="D534" s="32">
        <f>+[6]Result!$L$17-[5]Result!$L$17</f>
        <v>-7065.2579759722576</v>
      </c>
      <c r="E534" s="13">
        <f>+[7]Result!$L$17-[6]Result!$L$17</f>
        <v>30332.586305952631</v>
      </c>
      <c r="F534" s="13">
        <f>+[8]Result!$L$17-[7]Result!$L$17</f>
        <v>-12577.222425060347</v>
      </c>
      <c r="G534" s="32">
        <f>+[9]Result!$L$17-[8]Result!$L$17</f>
        <v>-14527.153499666601</v>
      </c>
      <c r="H534" s="13">
        <f>+[10]Result!$L$17-[9]Result!$L$17</f>
        <v>-8922.7417517574504</v>
      </c>
      <c r="I534" s="13">
        <f>+[11]Result!$L$17-[10]Result!$L$17</f>
        <v>-2074.4055975023657</v>
      </c>
      <c r="J534" s="32">
        <f>+[12]Result!$L$17-[11]Result!$L$17</f>
        <v>-2163.8031896390021</v>
      </c>
      <c r="K534" s="13">
        <f>+[13]Result!$L$17-[12]Result!$L$17</f>
        <v>4212.6728922948241</v>
      </c>
      <c r="L534" s="13">
        <f>+[14]Result!$L$17-[13]Result!$L$17</f>
        <v>-17033.409944858402</v>
      </c>
      <c r="M534" s="13">
        <f>+[15]Result!$L$17-[14]Result!$L$17</f>
        <v>111206.34086743928</v>
      </c>
      <c r="N534" s="32">
        <f>+[16]Result!$L$17-[15]Result!$L$17</f>
        <v>5918.7375423344783</v>
      </c>
      <c r="O534" s="13">
        <f>+[17]Result!$L$17-[16]Result!$L$17</f>
        <v>19966.425745727494</v>
      </c>
      <c r="P534" s="13">
        <f>+[18]Result!$L$17-[17]Result!$L$17</f>
        <v>-52180.034430142026</v>
      </c>
      <c r="Q534" s="32">
        <f>+[19]Result!$L$17-[18]Result!$L$17</f>
        <v>-1427.7499439162202</v>
      </c>
      <c r="R534" s="32">
        <f>+[20]Result!$L$17-[19]Result!$L$17</f>
        <v>7463.5188676207326</v>
      </c>
      <c r="S534" s="70">
        <f>+[22]Result!$L$17-[20]Result!$L$17</f>
        <v>7904.4833426158875</v>
      </c>
      <c r="AI534" s="73"/>
      <c r="AJ534" s="73"/>
      <c r="AK534" s="73"/>
    </row>
    <row r="535" spans="1:37" hidden="1" outlineLevel="2" x14ac:dyDescent="0.25">
      <c r="A535" s="16" t="s">
        <v>18</v>
      </c>
      <c r="B535" s="13">
        <f>+[1]Result!$L$18-[21]Result!$L$18</f>
        <v>-6763.3403209568933</v>
      </c>
      <c r="C535" s="13">
        <f>+[5]Result!$L$18-[1]Result!$L$18</f>
        <v>11200.128028988838</v>
      </c>
      <c r="D535" s="32">
        <f>+[6]Result!$L$18-[5]Result!$L$18</f>
        <v>-8013.5396810863167</v>
      </c>
      <c r="E535" s="13">
        <f>+[7]Result!$L$18-[6]Result!$L$18</f>
        <v>25967.584303620271</v>
      </c>
      <c r="F535" s="13">
        <f>+[8]Result!$L$18-[7]Result!$L$18</f>
        <v>-12038.046238937415</v>
      </c>
      <c r="G535" s="32">
        <f>+[9]Result!$L$18-[8]Result!$L$18</f>
        <v>-15547.546789835207</v>
      </c>
      <c r="H535" s="13">
        <f>+[10]Result!$L$18-[9]Result!$L$18</f>
        <v>-7741.911218162626</v>
      </c>
      <c r="I535" s="13">
        <f>+[11]Result!$L$18-[10]Result!$L$18</f>
        <v>-2868.261956717819</v>
      </c>
      <c r="J535" s="32">
        <f>+[12]Result!$L$18-[11]Result!$L$18</f>
        <v>-2319.222562273033</v>
      </c>
      <c r="K535" s="13">
        <f>+[13]Result!$L$18-[12]Result!$L$18</f>
        <v>3648.2691974118352</v>
      </c>
      <c r="L535" s="13">
        <f>+[14]Result!$L$18-[13]Result!$L$18</f>
        <v>-15817.411852058955</v>
      </c>
      <c r="M535" s="13">
        <f>+[15]Result!$L$18-[14]Result!$L$18</f>
        <v>91849.040482766461</v>
      </c>
      <c r="N535" s="32">
        <f>+[16]Result!$L$18-[15]Result!$L$18</f>
        <v>5707.724266837351</v>
      </c>
      <c r="O535" s="13">
        <f>+[17]Result!$L$18-[16]Result!$L$18</f>
        <v>17895.582536484115</v>
      </c>
      <c r="P535" s="13">
        <f>+[18]Result!$L$18-[17]Result!$L$18</f>
        <v>-47315.436834959313</v>
      </c>
      <c r="Q535" s="32">
        <f>+[19]Result!$L$18-[18]Result!$L$18</f>
        <v>-1200.4338753931224</v>
      </c>
      <c r="R535" s="32">
        <f>+[20]Result!$L$18-[19]Result!$L$18</f>
        <v>6431.5591267053969</v>
      </c>
      <c r="S535" s="70">
        <f>+[22]Result!$L$18-[20]Result!$L$18</f>
        <v>6937.5280751883984</v>
      </c>
      <c r="AI535" s="73"/>
      <c r="AJ535" s="73"/>
      <c r="AK535" s="73"/>
    </row>
    <row r="536" spans="1:37" hidden="1" outlineLevel="2" x14ac:dyDescent="0.25">
      <c r="A536" s="16" t="s">
        <v>19</v>
      </c>
      <c r="B536" s="13">
        <f>+[1]Result!$L$19-[21]Result!$L$19</f>
        <v>-7936.4843750828877</v>
      </c>
      <c r="C536" s="13">
        <f>+[5]Result!$L$19-[1]Result!$L$19</f>
        <v>11097.536276021041</v>
      </c>
      <c r="D536" s="32">
        <f>+[6]Result!$L$19-[5]Result!$L$19</f>
        <v>-8661.0828982004896</v>
      </c>
      <c r="E536" s="13">
        <f>+[7]Result!$L$19-[6]Result!$L$19</f>
        <v>22761.378612506203</v>
      </c>
      <c r="F536" s="13">
        <f>+[8]Result!$L$19-[7]Result!$L$19</f>
        <v>-11474.397087410092</v>
      </c>
      <c r="G536" s="32">
        <f>+[9]Result!$L$19-[8]Result!$L$19</f>
        <v>-11054.272511409596</v>
      </c>
      <c r="H536" s="13">
        <f>+[10]Result!$L$19-[9]Result!$L$19</f>
        <v>-7583.7020777128637</v>
      </c>
      <c r="I536" s="13">
        <f>+[11]Result!$L$19-[10]Result!$L$19</f>
        <v>-2901.9139316952787</v>
      </c>
      <c r="J536" s="32">
        <f>+[12]Result!$L$19-[11]Result!$L$19</f>
        <v>1573.4514226051979</v>
      </c>
      <c r="K536" s="13">
        <f>+[13]Result!$L$19-[12]Result!$L$19</f>
        <v>2874.1951286275871</v>
      </c>
      <c r="L536" s="13">
        <f>+[14]Result!$L$19-[13]Result!$L$19</f>
        <v>-14660.318597019184</v>
      </c>
      <c r="M536" s="13">
        <f>+[15]Result!$L$19-[14]Result!$L$19</f>
        <v>79187.526670596562</v>
      </c>
      <c r="N536" s="32">
        <f>+[16]Result!$L$19-[15]Result!$L$19</f>
        <v>4754.0605672132224</v>
      </c>
      <c r="O536" s="13">
        <f>+[17]Result!$L$19-[16]Result!$L$19</f>
        <v>16262.733131253626</v>
      </c>
      <c r="P536" s="13">
        <f>+[18]Result!$L$19-[17]Result!$L$19</f>
        <v>-38357.025464162696</v>
      </c>
      <c r="Q536" s="32">
        <f>+[19]Result!$L$19-[18]Result!$L$19</f>
        <v>-1296.0083802137524</v>
      </c>
      <c r="R536" s="32">
        <f>+[20]Result!$L$19-[19]Result!$L$19</f>
        <v>5045.5278729717247</v>
      </c>
      <c r="S536" s="70">
        <f>+[22]Result!$L$19-[20]Result!$L$19</f>
        <v>6019.5317935072817</v>
      </c>
      <c r="AI536" s="73"/>
      <c r="AJ536" s="73"/>
      <c r="AK536" s="73"/>
    </row>
    <row r="537" spans="1:37" hidden="1" outlineLevel="2" x14ac:dyDescent="0.25">
      <c r="A537" s="16" t="s">
        <v>20</v>
      </c>
      <c r="B537" s="13">
        <f>+[1]Result!$L$20-[21]Result!$L$20</f>
        <v>-8219.0686688604765</v>
      </c>
      <c r="C537" s="13">
        <f>+[5]Result!$L$20-[1]Result!$L$20</f>
        <v>9228.3955418402329</v>
      </c>
      <c r="D537" s="32">
        <f>+[6]Result!$L$20-[5]Result!$L$20</f>
        <v>-7892.8254781034775</v>
      </c>
      <c r="E537" s="13">
        <f>+[7]Result!$L$20-[6]Result!$L$20</f>
        <v>19746.54156564083</v>
      </c>
      <c r="F537" s="13">
        <f>+[8]Result!$L$20-[7]Result!$L$20</f>
        <v>-10422.58172619855</v>
      </c>
      <c r="G537" s="32">
        <f>+[9]Result!$L$20-[8]Result!$L$20</f>
        <v>-7088.6477009751834</v>
      </c>
      <c r="H537" s="13">
        <f>+[10]Result!$L$20-[9]Result!$L$20</f>
        <v>-7408.8380021099001</v>
      </c>
      <c r="I537" s="13">
        <f>+[11]Result!$L$20-[10]Result!$L$20</f>
        <v>-2716.0003702770919</v>
      </c>
      <c r="J537" s="32">
        <f>+[12]Result!$L$20-[11]Result!$L$20</f>
        <v>-304.85858295066282</v>
      </c>
      <c r="K537" s="13">
        <f>+[13]Result!$L$20-[12]Result!$L$20</f>
        <v>2131.9419237105176</v>
      </c>
      <c r="L537" s="13">
        <f>+[14]Result!$L$20-[13]Result!$L$20</f>
        <v>-12949.100063498598</v>
      </c>
      <c r="M537" s="13">
        <f>+[15]Result!$L$20-[14]Result!$L$20</f>
        <v>67908.2904311819</v>
      </c>
      <c r="N537" s="32">
        <f>+[16]Result!$L$20-[15]Result!$L$20</f>
        <v>3610.9988507987</v>
      </c>
      <c r="O537" s="13">
        <f>+[17]Result!$L$20-[16]Result!$L$20</f>
        <v>14074.974449117202</v>
      </c>
      <c r="P537" s="13">
        <f>+[18]Result!$L$20-[17]Result!$L$20</f>
        <v>-31858.15848710807</v>
      </c>
      <c r="Q537" s="32">
        <f>+[19]Result!$L$20-[18]Result!$L$20</f>
        <v>-1895.7052777460776</v>
      </c>
      <c r="R537" s="32">
        <f>+[20]Result!$L$20-[19]Result!$L$20</f>
        <v>3442.9530342454091</v>
      </c>
      <c r="S537" s="70">
        <f>+[22]Result!$L$20-[20]Result!$L$20</f>
        <v>4889.2692150101066</v>
      </c>
      <c r="AI537" s="73"/>
      <c r="AJ537" s="73"/>
      <c r="AK537" s="73"/>
    </row>
    <row r="538" spans="1:37" hidden="1" outlineLevel="2" x14ac:dyDescent="0.25">
      <c r="A538" s="16" t="s">
        <v>21</v>
      </c>
      <c r="B538" s="13">
        <f>+[1]Result!$L$21-[21]Result!$L$21</f>
        <v>-7542.5439911452122</v>
      </c>
      <c r="C538" s="13">
        <f>+[5]Result!$L$21-[1]Result!$L$21</f>
        <v>6542.3879148704</v>
      </c>
      <c r="D538" s="32">
        <f>+[6]Result!$L$21-[5]Result!$L$21</f>
        <v>-7748.1294227014296</v>
      </c>
      <c r="E538" s="13">
        <f>+[7]Result!$L$21-[6]Result!$L$21</f>
        <v>17524.871408366133</v>
      </c>
      <c r="F538" s="13">
        <f>+[8]Result!$L$21-[7]Result!$L$21</f>
        <v>-9767.8115835245699</v>
      </c>
      <c r="G538" s="32">
        <f>+[9]Result!$L$21-[8]Result!$L$21</f>
        <v>-5155.4270156840794</v>
      </c>
      <c r="H538" s="13">
        <f>+[10]Result!$L$21-[9]Result!$L$21</f>
        <v>-6753.02301775245</v>
      </c>
      <c r="I538" s="13">
        <f>+[11]Result!$L$21-[10]Result!$L$21</f>
        <v>-3100.5809250511229</v>
      </c>
      <c r="J538" s="32">
        <f>+[12]Result!$L$21-[11]Result!$L$21</f>
        <v>-1870.8846544092521</v>
      </c>
      <c r="K538" s="13">
        <f>+[13]Result!$L$21-[12]Result!$L$21</f>
        <v>1521.5850672046654</v>
      </c>
      <c r="L538" s="13">
        <f>+[14]Result!$L$21-[13]Result!$L$21</f>
        <v>-11625.15964376973</v>
      </c>
      <c r="M538" s="13">
        <f>+[15]Result!$L$21-[14]Result!$L$21</f>
        <v>60129.474839984439</v>
      </c>
      <c r="N538" s="32">
        <f>+[16]Result!$L$21-[15]Result!$L$21</f>
        <v>2983.6910248869099</v>
      </c>
      <c r="O538" s="13">
        <f>+[17]Result!$L$21-[16]Result!$L$21</f>
        <v>12238.469189996831</v>
      </c>
      <c r="P538" s="13">
        <f>+[18]Result!$L$21-[17]Result!$L$21</f>
        <v>-27227.394202644005</v>
      </c>
      <c r="Q538" s="32">
        <f>+[19]Result!$L$21-[18]Result!$L$21</f>
        <v>-2308.8618132728152</v>
      </c>
      <c r="R538" s="32">
        <f>+[20]Result!$L$21-[19]Result!$L$21</f>
        <v>2435.7831926331855</v>
      </c>
      <c r="S538" s="70">
        <f>+[22]Result!$L$21-[20]Result!$L$21</f>
        <v>4246.8748811101541</v>
      </c>
      <c r="AI538" s="73"/>
      <c r="AJ538" s="73"/>
      <c r="AK538" s="73"/>
    </row>
    <row r="539" spans="1:37" hidden="1" outlineLevel="2" x14ac:dyDescent="0.25">
      <c r="A539" s="16" t="s">
        <v>22</v>
      </c>
      <c r="B539" s="13">
        <f>+[1]Result!$L$22-[21]Result!$L$22</f>
        <v>-6288.4866059571505</v>
      </c>
      <c r="C539" s="13">
        <f>+[5]Result!$L$22-[1]Result!$L$22</f>
        <v>4178.4738955730572</v>
      </c>
      <c r="D539" s="32">
        <f>+[6]Result!$L$22-[5]Result!$L$22</f>
        <v>-9125.4084942331538</v>
      </c>
      <c r="E539" s="13">
        <f>+[7]Result!$L$22-[6]Result!$L$22</f>
        <v>15340.754728051834</v>
      </c>
      <c r="F539" s="13">
        <f>+[8]Result!$L$22-[7]Result!$L$22</f>
        <v>-8887.9826124678366</v>
      </c>
      <c r="G539" s="32">
        <f>+[9]Result!$L$22-[8]Result!$L$22</f>
        <v>-3941.5188977485523</v>
      </c>
      <c r="H539" s="13">
        <f>+[10]Result!$L$22-[9]Result!$L$22</f>
        <v>-5817.1124187610112</v>
      </c>
      <c r="I539" s="13">
        <f>+[11]Result!$L$22-[10]Result!$L$22</f>
        <v>-3060.356769412756</v>
      </c>
      <c r="J539" s="32">
        <f>+[12]Result!$L$22-[11]Result!$L$22</f>
        <v>-5333.4264541007578</v>
      </c>
      <c r="K539" s="13">
        <f>+[13]Result!$L$22-[12]Result!$L$22</f>
        <v>1026.418294114992</v>
      </c>
      <c r="L539" s="13">
        <f>+[14]Result!$L$22-[13]Result!$L$22</f>
        <v>-10380.443299934734</v>
      </c>
      <c r="M539" s="13">
        <f>+[15]Result!$L$22-[14]Result!$L$22</f>
        <v>50117.766126650851</v>
      </c>
      <c r="N539" s="32">
        <f>+[16]Result!$L$22-[15]Result!$L$22</f>
        <v>2479.9573469727766</v>
      </c>
      <c r="O539" s="13">
        <f>+[17]Result!$L$22-[16]Result!$L$22</f>
        <v>10507.119694827823</v>
      </c>
      <c r="P539" s="13">
        <f>+[18]Result!$L$22-[17]Result!$L$22</f>
        <v>-24753.05960999243</v>
      </c>
      <c r="Q539" s="32">
        <f>+[19]Result!$L$22-[18]Result!$L$22</f>
        <v>-2143.6263616422657</v>
      </c>
      <c r="R539" s="32">
        <f>+[20]Result!$L$22-[19]Result!$L$22</f>
        <v>1759.9618883966468</v>
      </c>
      <c r="S539" s="70">
        <f>+[22]Result!$L$22-[20]Result!$L$22</f>
        <v>3489.4302717498504</v>
      </c>
      <c r="AI539" s="73"/>
      <c r="AJ539" s="73"/>
      <c r="AK539" s="73"/>
    </row>
    <row r="540" spans="1:37" hidden="1" outlineLevel="2" x14ac:dyDescent="0.25">
      <c r="A540" s="16" t="s">
        <v>23</v>
      </c>
      <c r="B540" s="13">
        <f>+[1]Result!$L$23-[21]Result!$L$23</f>
        <v>-5363.7417261828668</v>
      </c>
      <c r="C540" s="13">
        <f>+[5]Result!$L$23-[1]Result!$L$23</f>
        <v>3211.7406545476988</v>
      </c>
      <c r="D540" s="32">
        <f>+[6]Result!$L$23-[5]Result!$L$23</f>
        <v>-12206.901448558085</v>
      </c>
      <c r="E540" s="13">
        <f>+[7]Result!$L$23-[6]Result!$L$23</f>
        <v>13670.877492294414</v>
      </c>
      <c r="F540" s="13">
        <f>+[8]Result!$L$23-[7]Result!$L$23</f>
        <v>-8235.4033092046157</v>
      </c>
      <c r="G540" s="32">
        <f>+[9]Result!$L$23-[8]Result!$L$23</f>
        <v>-5404.9758297188673</v>
      </c>
      <c r="H540" s="13">
        <f>+[10]Result!$L$23-[9]Result!$L$23</f>
        <v>-5106.3081279129256</v>
      </c>
      <c r="I540" s="13">
        <f>+[11]Result!$L$23-[10]Result!$L$23</f>
        <v>-2989.7901849935297</v>
      </c>
      <c r="J540" s="32">
        <f>+[12]Result!$L$23-[11]Result!$L$23</f>
        <v>-8605.754606985487</v>
      </c>
      <c r="K540" s="13">
        <f>+[13]Result!$L$23-[12]Result!$L$23</f>
        <v>814.44693407975137</v>
      </c>
      <c r="L540" s="13">
        <f>+[14]Result!$L$23-[13]Result!$L$23</f>
        <v>-9569.1649144941475</v>
      </c>
      <c r="M540" s="13">
        <f>+[15]Result!$L$23-[14]Result!$L$23</f>
        <v>41159.627356006997</v>
      </c>
      <c r="N540" s="32">
        <f>+[16]Result!$L$23-[15]Result!$L$23</f>
        <v>2275.9385510752909</v>
      </c>
      <c r="O540" s="13">
        <f>+[17]Result!$L$23-[16]Result!$L$23</f>
        <v>9257.8288867839146</v>
      </c>
      <c r="P540" s="13">
        <f>+[18]Result!$L$23-[17]Result!$L$23</f>
        <v>-22492.553544260561</v>
      </c>
      <c r="Q540" s="32">
        <f>+[19]Result!$L$23-[18]Result!$L$23</f>
        <v>-1998.8280512408819</v>
      </c>
      <c r="R540" s="32">
        <f>+[20]Result!$L$23-[19]Result!$L$23</f>
        <v>1323.6636530519463</v>
      </c>
      <c r="S540" s="70">
        <f>+[22]Result!$L$23-[20]Result!$L$23</f>
        <v>3152.5833056727424</v>
      </c>
      <c r="AI540" s="73"/>
      <c r="AJ540" s="73"/>
      <c r="AK540" s="73"/>
    </row>
    <row r="541" spans="1:37" hidden="1" outlineLevel="2" x14ac:dyDescent="0.25">
      <c r="A541" s="16" t="s">
        <v>24</v>
      </c>
      <c r="B541" s="13">
        <f>+[1]Result!$L$24-[21]Result!$L$24</f>
        <v>-5226.3525168441702</v>
      </c>
      <c r="C541" s="13">
        <f>+[5]Result!$L$24-[1]Result!$L$24</f>
        <v>3667.0747228888795</v>
      </c>
      <c r="D541" s="32">
        <f>+[6]Result!$L$24-[5]Result!$L$24</f>
        <v>-10474.573360646144</v>
      </c>
      <c r="E541" s="13">
        <f>+[7]Result!$L$24-[6]Result!$L$24</f>
        <v>11996.438978731167</v>
      </c>
      <c r="F541" s="13">
        <f>+[8]Result!$L$24-[7]Result!$L$24</f>
        <v>-7887.1510732336901</v>
      </c>
      <c r="G541" s="32">
        <f>+[9]Result!$L$24-[8]Result!$L$24</f>
        <v>-3917.8886084014084</v>
      </c>
      <c r="H541" s="13">
        <f>+[10]Result!$L$24-[9]Result!$L$24</f>
        <v>-4502.0337966796942</v>
      </c>
      <c r="I541" s="13">
        <f>+[11]Result!$L$24-[10]Result!$L$24</f>
        <v>-2954.3066247710958</v>
      </c>
      <c r="J541" s="32">
        <f>+[12]Result!$L$24-[11]Result!$L$24</f>
        <v>-6405.806175440317</v>
      </c>
      <c r="K541" s="13">
        <f>+[13]Result!$L$24-[12]Result!$L$24</f>
        <v>649.53691537189297</v>
      </c>
      <c r="L541" s="13">
        <f>+[14]Result!$L$24-[13]Result!$L$24</f>
        <v>-8606.7432595717255</v>
      </c>
      <c r="M541" s="13">
        <f>+[15]Result!$L$24-[14]Result!$L$24</f>
        <v>36726.63897022279</v>
      </c>
      <c r="N541" s="32">
        <f>+[16]Result!$L$24-[15]Result!$L$24</f>
        <v>2336.291913095396</v>
      </c>
      <c r="O541" s="13">
        <f>+[17]Result!$L$24-[16]Result!$L$24</f>
        <v>7963.5137758252677</v>
      </c>
      <c r="P541" s="13">
        <f>+[18]Result!$L$24-[17]Result!$L$24</f>
        <v>-18337.010710930219</v>
      </c>
      <c r="Q541" s="32">
        <f>+[19]Result!$L$24-[18]Result!$L$24</f>
        <v>-1773.0047750456724</v>
      </c>
      <c r="R541" s="32">
        <f>+[20]Result!$L$24-[19]Result!$L$24</f>
        <v>1040.0687775562983</v>
      </c>
      <c r="S541" s="70">
        <f>+[22]Result!$L$24-[20]Result!$L$24</f>
        <v>2951.4154174728319</v>
      </c>
      <c r="AI541" s="73"/>
      <c r="AJ541" s="73"/>
      <c r="AK541" s="73"/>
    </row>
    <row r="542" spans="1:37" hidden="1" outlineLevel="1" x14ac:dyDescent="0.25">
      <c r="A542" s="15" t="s">
        <v>25</v>
      </c>
      <c r="B542" s="13">
        <f>+'[1]Stat by Mat 2'!$G$6-'[21]Stat by Mat 2'!$G$6</f>
        <v>-24753.377431305125</v>
      </c>
      <c r="C542" s="13">
        <f>+'[5]Stat by Mat 2'!$G$6-'[1]Stat by Mat 2'!$G$6</f>
        <v>26600.564524581423</v>
      </c>
      <c r="D542" s="32">
        <f>+'[6]Stat by Mat 2'!$G$6-'[5]Stat by Mat 2'!$G$6</f>
        <v>-42836.628616578178</v>
      </c>
      <c r="E542" s="13">
        <f>+'[7]Stat by Mat 2'!$G$6-'[6]Stat by Mat 2'!$G$6</f>
        <v>38277.125163676916</v>
      </c>
      <c r="F542" s="13">
        <f>+'[8]Stat by Mat 2'!$G$6-'[7]Stat by Mat 2'!$G$6</f>
        <v>-33719.771776735317</v>
      </c>
      <c r="G542" s="32">
        <f>+'[9]Stat by Mat 2'!$G$6-'[8]Stat by Mat 2'!$G$6</f>
        <v>-33417.654191557318</v>
      </c>
      <c r="H542" s="13">
        <f>+'[10]Stat by Mat 2'!$G$6-'[9]Stat by Mat 2'!$G$6</f>
        <v>-16050.714582204586</v>
      </c>
      <c r="I542" s="13">
        <f>+'[11]Stat by Mat 2'!$G$6-'[10]Stat by Mat 2'!$G$6</f>
        <v>-13794.691424010787</v>
      </c>
      <c r="J542" s="32">
        <f>+'[12]Stat by Mat 2'!$G$6-'[11]Stat by Mat 2'!$G$6</f>
        <v>-77147.342062255135</v>
      </c>
      <c r="K542" s="13">
        <f>+'[13]Stat by Mat 2'!$G$6-'[12]Stat by Mat 2'!$G$6</f>
        <v>955.86962101818062</v>
      </c>
      <c r="L542" s="13">
        <f>+'[14]Stat by Mat 2'!$G$6-'[13]Stat by Mat 2'!$G$6</f>
        <v>-31832.383762038546</v>
      </c>
      <c r="M542" s="13">
        <f>+'[15]Stat by Mat 2'!$G$6-'[14]Stat by Mat 2'!$G$6</f>
        <v>350363.06191562628</v>
      </c>
      <c r="N542" s="32">
        <f>+'[16]Stat by Mat 2'!$G$6-'[15]Stat by Mat 2'!$G$6</f>
        <v>8296.0905824331567</v>
      </c>
      <c r="O542" s="13">
        <f>+'[17]Stat by Mat 2'!$G$6-'[16]Stat by Mat 2'!$G$6</f>
        <v>25843.612452176865</v>
      </c>
      <c r="P542" s="13">
        <f>+'[18]Stat by Mat 2'!$G$6-'[17]Stat by Mat 2'!$G$6</f>
        <v>-80166.991578347981</v>
      </c>
      <c r="Q542" s="32">
        <f>+'[19]Stat by Mat 2'!$G$6-'[18]Stat by Mat 2'!$G$6</f>
        <v>-4593.2664230188821</v>
      </c>
      <c r="R542" s="32">
        <f>+'[20]Stat by Mat 2'!$G$6-'[19]Stat by Mat 2'!$G$6</f>
        <v>2174.5343751423061</v>
      </c>
      <c r="S542" s="70">
        <f>+'[22]Stat by Mat 2'!$G$6-'[20]Stat by Mat 2'!$G$6</f>
        <v>9642.1606450048275</v>
      </c>
      <c r="T542" s="13">
        <f>+B542-SUM(B543:B552)</f>
        <v>5.8207660913467407E-11</v>
      </c>
      <c r="U542" s="13">
        <f t="shared" ref="U542:W542" si="413">+C542-SUM(C543:C552)</f>
        <v>1.1641532182693481E-10</v>
      </c>
      <c r="V542" s="13">
        <f t="shared" si="413"/>
        <v>-1.4551915228366852E-10</v>
      </c>
      <c r="W542" s="13">
        <f t="shared" si="413"/>
        <v>0</v>
      </c>
      <c r="X542" s="13">
        <f t="shared" ref="X542" si="414">+F542-SUM(F543:F552)</f>
        <v>0</v>
      </c>
      <c r="Y542" s="13">
        <f t="shared" ref="Y542:AE542" si="415">+G542-SUM(G543:G552)</f>
        <v>1.1641532182693481E-10</v>
      </c>
      <c r="Z542" s="13">
        <f t="shared" si="415"/>
        <v>-8.7311491370201111E-11</v>
      </c>
      <c r="AA542" s="13">
        <f t="shared" si="415"/>
        <v>5.8207660913467407E-11</v>
      </c>
      <c r="AB542" s="13">
        <f t="shared" si="415"/>
        <v>-2.0372681319713593E-10</v>
      </c>
      <c r="AC542" s="13">
        <f t="shared" si="415"/>
        <v>2.9103830456733704E-10</v>
      </c>
      <c r="AD542" s="13">
        <f t="shared" si="415"/>
        <v>-2.6193447411060333E-10</v>
      </c>
      <c r="AE542" s="13">
        <f t="shared" si="415"/>
        <v>0</v>
      </c>
      <c r="AF542" s="13">
        <f t="shared" ref="AF542" si="416">+N542-SUM(N543:N552)</f>
        <v>1.1641532182693481E-10</v>
      </c>
      <c r="AG542" s="13">
        <f t="shared" ref="AG542:AH542" si="417">+O542-SUM(O543:O552)</f>
        <v>-5.8207660913467407E-11</v>
      </c>
      <c r="AH542" s="13">
        <f t="shared" si="417"/>
        <v>0</v>
      </c>
      <c r="AI542" s="73">
        <f t="shared" ref="AI542" si="418">+Q542-SUM(Q543:Q552)</f>
        <v>-8.7311491370201111E-11</v>
      </c>
      <c r="AJ542" s="73">
        <f t="shared" ref="AJ542:AK542" si="419">+R542-SUM(R543:R552)</f>
        <v>3.4924596548080444E-10</v>
      </c>
      <c r="AK542" s="73">
        <f t="shared" si="419"/>
        <v>-2.3283064365386963E-10</v>
      </c>
    </row>
    <row r="543" spans="1:37" hidden="1" outlineLevel="2" x14ac:dyDescent="0.25">
      <c r="A543" s="16" t="s">
        <v>26</v>
      </c>
      <c r="B543" s="13">
        <f>+[1]Result!$L$25-[21]Result!$L$25</f>
        <v>-4811.4342558463104</v>
      </c>
      <c r="C543" s="13">
        <f>+[5]Result!$L$25-[1]Result!$L$25</f>
        <v>4076.7542640930042</v>
      </c>
      <c r="D543" s="32">
        <f>+[6]Result!$L$25-[5]Result!$L$25</f>
        <v>-7767.4054602100514</v>
      </c>
      <c r="E543" s="13">
        <f>+[7]Result!$L$25-[6]Result!$L$25</f>
        <v>9504.8460745071061</v>
      </c>
      <c r="F543" s="13">
        <f>+[8]Result!$L$25-[7]Result!$L$25</f>
        <v>-7070.1439338570926</v>
      </c>
      <c r="G543" s="32">
        <f>+[9]Result!$L$25-[8]Result!$L$25</f>
        <v>-3002.6304287121166</v>
      </c>
      <c r="H543" s="13">
        <f>+[10]Result!$L$25-[9]Result!$L$25</f>
        <v>-3746.7524426907767</v>
      </c>
      <c r="I543" s="13">
        <f>+[11]Result!$L$25-[10]Result!$L$25</f>
        <v>-2713.2995445099659</v>
      </c>
      <c r="J543" s="32">
        <f>+[12]Result!$L$25-[11]Result!$L$25</f>
        <v>-7208.6160920781549</v>
      </c>
      <c r="K543" s="13">
        <f>+[13]Result!$L$25-[12]Result!$L$25</f>
        <v>520.01566306990571</v>
      </c>
      <c r="L543" s="13">
        <f>+[14]Result!$L$25-[13]Result!$L$25</f>
        <v>-7233.2911342189182</v>
      </c>
      <c r="M543" s="13">
        <f>+[15]Result!$L$25-[14]Result!$L$25</f>
        <v>37193.017230199184</v>
      </c>
      <c r="N543" s="32">
        <f>+[16]Result!$L$25-[15]Result!$L$25</f>
        <v>2032.3923222753219</v>
      </c>
      <c r="O543" s="13">
        <f>+[17]Result!$L$25-[16]Result!$L$25</f>
        <v>6381.5776981669478</v>
      </c>
      <c r="P543" s="13">
        <f>+[18]Result!$L$25-[17]Result!$L$25</f>
        <v>-14813.653800785774</v>
      </c>
      <c r="Q543" s="32">
        <f>+[19]Result!$L$25-[18]Result!$L$25</f>
        <v>-1287.9166318280622</v>
      </c>
      <c r="R543" s="32">
        <f>+[20]Result!$L$25-[19]Result!$L$25</f>
        <v>776.07483305013739</v>
      </c>
      <c r="S543" s="70">
        <f>+[22]Result!$L$25-[20]Result!$L$25</f>
        <v>2388.3377758320421</v>
      </c>
      <c r="AI543" s="73"/>
      <c r="AJ543" s="73"/>
      <c r="AK543" s="73"/>
    </row>
    <row r="544" spans="1:37" hidden="1" outlineLevel="2" x14ac:dyDescent="0.25">
      <c r="A544" s="16" t="s">
        <v>27</v>
      </c>
      <c r="B544" s="13">
        <f>+[1]Result!$L$26-[21]Result!$L$26</f>
        <v>-4244.4484499332029</v>
      </c>
      <c r="C544" s="13">
        <f>+[5]Result!$L$26-[1]Result!$L$26</f>
        <v>4043.6207178754266</v>
      </c>
      <c r="D544" s="32">
        <f>+[6]Result!$L$26-[5]Result!$L$26</f>
        <v>-5471.3172072200105</v>
      </c>
      <c r="E544" s="13">
        <f>+[7]Result!$L$26-[6]Result!$L$26</f>
        <v>7343.8566510181408</v>
      </c>
      <c r="F544" s="13">
        <f>+[8]Result!$L$26-[7]Result!$L$26</f>
        <v>-6029.7131868200377</v>
      </c>
      <c r="G544" s="32">
        <f>+[9]Result!$L$26-[8]Result!$L$26</f>
        <v>-2412.1810755699407</v>
      </c>
      <c r="H544" s="13">
        <f>+[10]Result!$L$26-[9]Result!$L$26</f>
        <v>-2929.3183653135784</v>
      </c>
      <c r="I544" s="13">
        <f>+[11]Result!$L$26-[10]Result!$L$26</f>
        <v>-2379.5740819186904</v>
      </c>
      <c r="J544" s="32">
        <f>+[12]Result!$L$26-[11]Result!$L$26</f>
        <v>-8057.154437978752</v>
      </c>
      <c r="K544" s="13">
        <f>+[13]Result!$L$26-[12]Result!$L$26</f>
        <v>243.26216247514822</v>
      </c>
      <c r="L544" s="13">
        <f>+[14]Result!$L$26-[13]Result!$L$26</f>
        <v>-5771.9216945474036</v>
      </c>
      <c r="M544" s="13">
        <f>+[15]Result!$L$26-[14]Result!$L$26</f>
        <v>37982.921466581873</v>
      </c>
      <c r="N544" s="32">
        <f>+[16]Result!$L$26-[15]Result!$L$26</f>
        <v>1539.395566974883</v>
      </c>
      <c r="O544" s="13">
        <f>+[17]Result!$L$26-[16]Result!$L$26</f>
        <v>5175.996768957004</v>
      </c>
      <c r="P544" s="13">
        <f>+[18]Result!$L$26-[17]Result!$L$26</f>
        <v>-12334.375429310952</v>
      </c>
      <c r="Q544" s="32">
        <f>+[19]Result!$L$26-[18]Result!$L$26</f>
        <v>-998.18875478755217</v>
      </c>
      <c r="R544" s="32">
        <f>+[20]Result!$L$26-[19]Result!$L$26</f>
        <v>550.22870856709778</v>
      </c>
      <c r="S544" s="70">
        <f>+[22]Result!$L$26-[20]Result!$L$26</f>
        <v>1829.0638146564597</v>
      </c>
      <c r="AI544" s="73"/>
      <c r="AJ544" s="73"/>
      <c r="AK544" s="73"/>
    </row>
    <row r="545" spans="1:37" hidden="1" outlineLevel="2" x14ac:dyDescent="0.25">
      <c r="A545" s="16" t="s">
        <v>28</v>
      </c>
      <c r="B545" s="13">
        <f>+[1]Result!$L$27-[21]Result!$L$27</f>
        <v>-3611.0062221947592</v>
      </c>
      <c r="C545" s="13">
        <f>+[5]Result!$L$27-[1]Result!$L$27</f>
        <v>3867.5639921056572</v>
      </c>
      <c r="D545" s="32">
        <f>+[6]Result!$L$27-[5]Result!$L$27</f>
        <v>-4553.4281883924268</v>
      </c>
      <c r="E545" s="13">
        <f>+[7]Result!$L$27-[6]Result!$L$27</f>
        <v>5737.0161990463967</v>
      </c>
      <c r="F545" s="13">
        <f>+[8]Result!$L$27-[7]Result!$L$27</f>
        <v>-5012.534211503109</v>
      </c>
      <c r="G545" s="32">
        <f>+[9]Result!$L$27-[8]Result!$L$27</f>
        <v>-2442.8250283170491</v>
      </c>
      <c r="H545" s="13">
        <f>+[10]Result!$L$27-[9]Result!$L$27</f>
        <v>-2375.7616752053145</v>
      </c>
      <c r="I545" s="13">
        <f>+[11]Result!$L$27-[10]Result!$L$27</f>
        <v>-1989.5743074270431</v>
      </c>
      <c r="J545" s="32">
        <f>+[12]Result!$L$27-[11]Result!$L$27</f>
        <v>-9563.9718109394889</v>
      </c>
      <c r="K545" s="13">
        <f>+[13]Result!$L$27-[12]Result!$L$27</f>
        <v>144.80512437794823</v>
      </c>
      <c r="L545" s="13">
        <f>+[14]Result!$L$27-[13]Result!$L$27</f>
        <v>-4714.030836174381</v>
      </c>
      <c r="M545" s="13">
        <f>+[15]Result!$L$27-[14]Result!$L$27</f>
        <v>37894.934094070923</v>
      </c>
      <c r="N545" s="32">
        <f>+[16]Result!$L$27-[15]Result!$L$27</f>
        <v>1275.5210788870463</v>
      </c>
      <c r="O545" s="13">
        <f>+[17]Result!$L$27-[16]Result!$L$27</f>
        <v>4074.1713655241765</v>
      </c>
      <c r="P545" s="13">
        <f>+[18]Result!$L$27-[17]Result!$L$27</f>
        <v>-11154.718972682953</v>
      </c>
      <c r="Q545" s="32">
        <f>+[19]Result!$L$27-[18]Result!$L$27</f>
        <v>-770.48352451866958</v>
      </c>
      <c r="R545" s="32">
        <f>+[20]Result!$L$27-[19]Result!$L$27</f>
        <v>344.50306258653291</v>
      </c>
      <c r="S545" s="70">
        <f>+[22]Result!$L$27-[20]Result!$L$27</f>
        <v>1510.9830324543873</v>
      </c>
      <c r="AI545" s="73"/>
      <c r="AJ545" s="73"/>
      <c r="AK545" s="73"/>
    </row>
    <row r="546" spans="1:37" hidden="1" outlineLevel="2" x14ac:dyDescent="0.25">
      <c r="A546" s="16" t="s">
        <v>29</v>
      </c>
      <c r="B546" s="13">
        <f>+[1]Result!$L$28-[21]Result!$L$28</f>
        <v>-3099.4616222268669</v>
      </c>
      <c r="C546" s="13">
        <f>+[5]Result!$L$28-[1]Result!$L$28</f>
        <v>3623.5798408437986</v>
      </c>
      <c r="D546" s="32">
        <f>+[6]Result!$L$28-[5]Result!$L$28</f>
        <v>-4838.9601886552991</v>
      </c>
      <c r="E546" s="13">
        <f>+[7]Result!$L$28-[6]Result!$L$28</f>
        <v>4528.7866452332819</v>
      </c>
      <c r="F546" s="13">
        <f>+[8]Result!$L$28-[7]Result!$L$28</f>
        <v>-4116.1351435446413</v>
      </c>
      <c r="G546" s="32">
        <f>+[9]Result!$L$28-[8]Result!$L$28</f>
        <v>-4789.5159180670744</v>
      </c>
      <c r="H546" s="13">
        <f>+[10]Result!$L$28-[9]Result!$L$28</f>
        <v>-2000.9769902629778</v>
      </c>
      <c r="I546" s="13">
        <f>+[11]Result!$L$28-[10]Result!$L$28</f>
        <v>-1799.8262946623145</v>
      </c>
      <c r="J546" s="32">
        <f>+[12]Result!$L$28-[11]Result!$L$28</f>
        <v>-10302.809468377265</v>
      </c>
      <c r="K546" s="13">
        <f>+[13]Result!$L$28-[12]Result!$L$28</f>
        <v>65.274313252069987</v>
      </c>
      <c r="L546" s="13">
        <f>+[14]Result!$L$28-[13]Result!$L$28</f>
        <v>-3945.3066727019614</v>
      </c>
      <c r="M546" s="13">
        <f>+[15]Result!$L$28-[14]Result!$L$28</f>
        <v>37371.661174123175</v>
      </c>
      <c r="N546" s="32">
        <f>+[16]Result!$L$28-[15]Result!$L$28</f>
        <v>1078.3172815460712</v>
      </c>
      <c r="O546" s="13">
        <f>+[17]Result!$L$28-[16]Result!$L$28</f>
        <v>3186.0793510583462</v>
      </c>
      <c r="P546" s="13">
        <f>+[18]Result!$L$28-[17]Result!$L$28</f>
        <v>-9685.3521122211823</v>
      </c>
      <c r="Q546" s="32">
        <f>+[19]Result!$L$28-[18]Result!$L$28</f>
        <v>-510.70233845943585</v>
      </c>
      <c r="R546" s="32">
        <f>+[20]Result!$L$28-[19]Result!$L$28</f>
        <v>194.60481851676013</v>
      </c>
      <c r="S546" s="70">
        <f>+[22]Result!$L$28-[20]Result!$L$28</f>
        <v>1252.5049126873491</v>
      </c>
      <c r="AI546" s="73"/>
      <c r="AJ546" s="73"/>
      <c r="AK546" s="73"/>
    </row>
    <row r="547" spans="1:37" hidden="1" outlineLevel="2" x14ac:dyDescent="0.25">
      <c r="A547" s="16" t="s">
        <v>30</v>
      </c>
      <c r="B547" s="13">
        <f>+[1]Result!$L$29-[21]Result!$L$29</f>
        <v>-2748.9404557934031</v>
      </c>
      <c r="C547" s="13">
        <f>+[5]Result!$L$29-[1]Result!$L$29</f>
        <v>3282.3473216297571</v>
      </c>
      <c r="D547" s="32">
        <f>+[6]Result!$L$29-[5]Result!$L$29</f>
        <v>-4035.2863629909698</v>
      </c>
      <c r="E547" s="13">
        <f>+[7]Result!$L$29-[6]Result!$L$29</f>
        <v>3674.4746641741367</v>
      </c>
      <c r="F547" s="13">
        <f>+[8]Result!$L$29-[7]Result!$L$29</f>
        <v>-3452.1664143413072</v>
      </c>
      <c r="G547" s="32">
        <f>+[9]Result!$L$29-[8]Result!$L$29</f>
        <v>-3665.3458640815224</v>
      </c>
      <c r="H547" s="13">
        <f>+[10]Result!$L$29-[9]Result!$L$29</f>
        <v>-1669.8038265039213</v>
      </c>
      <c r="I547" s="13">
        <f>+[11]Result!$L$29-[10]Result!$L$29</f>
        <v>-1464.6941908610752</v>
      </c>
      <c r="J547" s="32">
        <f>+[12]Result!$L$29-[11]Result!$L$29</f>
        <v>-7395.567666251678</v>
      </c>
      <c r="K547" s="13">
        <f>+[13]Result!$L$29-[12]Result!$L$29</f>
        <v>8.8840293715475127</v>
      </c>
      <c r="L547" s="13">
        <f>+[14]Result!$L$29-[13]Result!$L$29</f>
        <v>-3142.1920826856513</v>
      </c>
      <c r="M547" s="13">
        <f>+[15]Result!$L$29-[14]Result!$L$29</f>
        <v>37265.679751196527</v>
      </c>
      <c r="N547" s="32">
        <f>+[16]Result!$L$29-[15]Result!$L$29</f>
        <v>821.56632046628511</v>
      </c>
      <c r="O547" s="13">
        <f>+[17]Result!$L$29-[16]Result!$L$29</f>
        <v>2467.1110152005567</v>
      </c>
      <c r="P547" s="13">
        <f>+[18]Result!$L$29-[17]Result!$L$29</f>
        <v>-6426.900291201775</v>
      </c>
      <c r="Q547" s="32">
        <f>+[19]Result!$L$29-[18]Result!$L$29</f>
        <v>-352.88839104754152</v>
      </c>
      <c r="R547" s="32">
        <f>+[20]Result!$L$29-[19]Result!$L$29</f>
        <v>137.22277251613559</v>
      </c>
      <c r="S547" s="70">
        <f>+[22]Result!$L$29-[20]Result!$L$29</f>
        <v>928.11478395434096</v>
      </c>
      <c r="AI547" s="73"/>
      <c r="AJ547" s="73"/>
      <c r="AK547" s="73"/>
    </row>
    <row r="548" spans="1:37" hidden="1" outlineLevel="2" x14ac:dyDescent="0.25">
      <c r="A548" s="16" t="s">
        <v>31</v>
      </c>
      <c r="B548" s="13">
        <f>+[1]Result!$L$30-[21]Result!$L$30</f>
        <v>-2045.0060256482102</v>
      </c>
      <c r="C548" s="13">
        <f>+[5]Result!$L$30-[1]Result!$L$30</f>
        <v>2550.2341462568147</v>
      </c>
      <c r="D548" s="32">
        <f>+[6]Result!$L$30-[5]Result!$L$30</f>
        <v>-2380.7507153848419</v>
      </c>
      <c r="E548" s="13">
        <f>+[7]Result!$L$30-[6]Result!$L$30</f>
        <v>2633.8777392870979</v>
      </c>
      <c r="F548" s="13">
        <f>+[8]Result!$L$30-[7]Result!$L$30</f>
        <v>-2688.5570321267005</v>
      </c>
      <c r="G548" s="32">
        <f>+[9]Result!$L$30-[8]Result!$L$30</f>
        <v>-1923.7509826970054</v>
      </c>
      <c r="H548" s="13">
        <f>+[10]Result!$L$30-[9]Result!$L$30</f>
        <v>-1232.6611704773968</v>
      </c>
      <c r="I548" s="13">
        <f>+[11]Result!$L$30-[10]Result!$L$30</f>
        <v>-1088.1782265744405</v>
      </c>
      <c r="J548" s="32">
        <f>+[12]Result!$L$30-[11]Result!$L$30</f>
        <v>-7610.1509783635847</v>
      </c>
      <c r="K548" s="13">
        <f>+[13]Result!$L$30-[12]Result!$L$30</f>
        <v>35.645499926642515</v>
      </c>
      <c r="L548" s="13">
        <f>+[14]Result!$L$30-[13]Result!$L$30</f>
        <v>-2347.9386450265301</v>
      </c>
      <c r="M548" s="13">
        <f>+[15]Result!$L$30-[14]Result!$L$30</f>
        <v>37101.179331123654</v>
      </c>
      <c r="N548" s="32">
        <f>+[16]Result!$L$30-[15]Result!$L$30</f>
        <v>556.45147192518925</v>
      </c>
      <c r="O548" s="13">
        <f>+[17]Result!$L$30-[16]Result!$L$30</f>
        <v>1738.5616007727804</v>
      </c>
      <c r="P548" s="13">
        <f>+[18]Result!$L$30-[17]Result!$L$30</f>
        <v>-4686.5549793088576</v>
      </c>
      <c r="Q548" s="32">
        <f>+[19]Result!$L$30-[18]Result!$L$30</f>
        <v>-267.24635819700779</v>
      </c>
      <c r="R548" s="32">
        <f>+[20]Result!$L$30-[19]Result!$L$30</f>
        <v>74.082019234541804</v>
      </c>
      <c r="S548" s="70">
        <f>+[22]Result!$L$30-[20]Result!$L$30</f>
        <v>675.49009343411308</v>
      </c>
      <c r="AI548" s="73"/>
      <c r="AJ548" s="73"/>
      <c r="AK548" s="73"/>
    </row>
    <row r="549" spans="1:37" hidden="1" outlineLevel="2" x14ac:dyDescent="0.25">
      <c r="A549" s="16" t="s">
        <v>32</v>
      </c>
      <c r="B549" s="13">
        <f>+[1]Result!$L$31-[21]Result!$L$31</f>
        <v>-1529.7123324624845</v>
      </c>
      <c r="C549" s="13">
        <f>+[5]Result!$L$31-[1]Result!$L$31</f>
        <v>1862.8940508209635</v>
      </c>
      <c r="D549" s="32">
        <f>+[6]Result!$L$31-[5]Result!$L$31</f>
        <v>-1917.174999781535</v>
      </c>
      <c r="E549" s="13">
        <f>+[7]Result!$L$31-[6]Result!$L$31</f>
        <v>1860.3932953892509</v>
      </c>
      <c r="F549" s="13">
        <f>+[8]Result!$L$31-[7]Result!$L$31</f>
        <v>-1968.234070537088</v>
      </c>
      <c r="G549" s="32">
        <f>+[9]Result!$L$31-[8]Result!$L$31</f>
        <v>-1383.5796511847875</v>
      </c>
      <c r="H549" s="13">
        <f>+[10]Result!$L$31-[9]Result!$L$31</f>
        <v>-837.73121602763422</v>
      </c>
      <c r="I549" s="13">
        <f>+[11]Result!$L$31-[10]Result!$L$31</f>
        <v>-862.16102739871712</v>
      </c>
      <c r="J549" s="32">
        <f>+[12]Result!$L$31-[11]Result!$L$31</f>
        <v>-7826.7724247367005</v>
      </c>
      <c r="K549" s="13">
        <f>+[13]Result!$L$31-[12]Result!$L$31</f>
        <v>-40.678099305951037</v>
      </c>
      <c r="L549" s="13">
        <f>+[14]Result!$L$31-[13]Result!$L$31</f>
        <v>-1666.4987856631051</v>
      </c>
      <c r="M549" s="13">
        <f>+[15]Result!$L$31-[14]Result!$L$31</f>
        <v>37829.451026144437</v>
      </c>
      <c r="N549" s="32">
        <f>+[16]Result!$L$31-[15]Result!$L$31</f>
        <v>342.3109953936073</v>
      </c>
      <c r="O549" s="13">
        <f>+[17]Result!$L$31-[16]Result!$L$31</f>
        <v>1119.7131877947832</v>
      </c>
      <c r="P549" s="13">
        <f>+[18]Result!$L$31-[17]Result!$L$31</f>
        <v>-3044.6044525465986</v>
      </c>
      <c r="Q549" s="32">
        <f>+[19]Result!$L$31-[18]Result!$L$31</f>
        <v>-149.39417395825149</v>
      </c>
      <c r="R549" s="32">
        <f>+[20]Result!$L$31-[19]Result!$L$31</f>
        <v>24.311090261413483</v>
      </c>
      <c r="S549" s="70">
        <f>+[22]Result!$L$31-[20]Result!$L$31</f>
        <v>429.07442494490533</v>
      </c>
      <c r="AI549" s="73"/>
      <c r="AJ549" s="73"/>
      <c r="AK549" s="73"/>
    </row>
    <row r="550" spans="1:37" hidden="1" outlineLevel="2" x14ac:dyDescent="0.25">
      <c r="A550" s="16" t="s">
        <v>33</v>
      </c>
      <c r="B550" s="13">
        <f>+[1]Result!$L$32-[21]Result!$L$32</f>
        <v>-1145.6493050813442</v>
      </c>
      <c r="C550" s="13">
        <f>+[5]Result!$L$32-[1]Result!$L$32</f>
        <v>1346.1508475051378</v>
      </c>
      <c r="D550" s="32">
        <f>+[6]Result!$L$32-[5]Result!$L$32</f>
        <v>-1564.5126812606468</v>
      </c>
      <c r="E550" s="13">
        <f>+[7]Result!$L$32-[6]Result!$L$32</f>
        <v>1278.8617629019427</v>
      </c>
      <c r="F550" s="13">
        <f>+[8]Result!$L$32-[7]Result!$L$32</f>
        <v>-1372.9832667505252</v>
      </c>
      <c r="G550" s="32">
        <f>+[9]Result!$L$32-[8]Result!$L$32</f>
        <v>-1185.6559237744659</v>
      </c>
      <c r="H550" s="13">
        <f>+[10]Result!$L$32-[9]Result!$L$32</f>
        <v>-530.8591488666716</v>
      </c>
      <c r="I550" s="13">
        <f>+[11]Result!$L$32-[10]Result!$L$32</f>
        <v>-566.73243458516663</v>
      </c>
      <c r="J550" s="32">
        <f>+[12]Result!$L$32-[11]Result!$L$32</f>
        <v>-9347.2996230078861</v>
      </c>
      <c r="K550" s="13">
        <f>+[13]Result!$L$32-[12]Result!$L$32</f>
        <v>-21.339072149421554</v>
      </c>
      <c r="L550" s="13">
        <f>+[14]Result!$L$32-[13]Result!$L$32</f>
        <v>-1206.6984662414179</v>
      </c>
      <c r="M550" s="13">
        <f>+[15]Result!$L$32-[14]Result!$L$32</f>
        <v>35652.007848736248</v>
      </c>
      <c r="N550" s="32">
        <f>+[16]Result!$L$32-[15]Result!$L$32</f>
        <v>238.8058961800416</v>
      </c>
      <c r="O550" s="13">
        <f>+[17]Result!$L$32-[16]Result!$L$32</f>
        <v>661.14214213346713</v>
      </c>
      <c r="P550" s="13">
        <f>+[18]Result!$L$32-[17]Result!$L$32</f>
        <v>-5253.5173081089742</v>
      </c>
      <c r="Q550" s="32">
        <f>+[19]Result!$L$32-[18]Result!$L$32</f>
        <v>-81.944133218581555</v>
      </c>
      <c r="R550" s="32">
        <f>+[20]Result!$L$32-[19]Result!$L$32</f>
        <v>28.75898387178313</v>
      </c>
      <c r="S550" s="70">
        <f>+[22]Result!$L$32-[20]Result!$L$32</f>
        <v>243.90378542334656</v>
      </c>
      <c r="AI550" s="73"/>
      <c r="AJ550" s="73"/>
      <c r="AK550" s="73"/>
    </row>
    <row r="551" spans="1:37" hidden="1" outlineLevel="2" x14ac:dyDescent="0.25">
      <c r="A551" s="16" t="s">
        <v>34</v>
      </c>
      <c r="B551" s="13">
        <f>+[1]Result!$L$33-[21]Result!$L$33</f>
        <v>-788.22763330987073</v>
      </c>
      <c r="C551" s="13">
        <f>+[5]Result!$L$33-[1]Result!$L$33</f>
        <v>988.94335575419245</v>
      </c>
      <c r="D551" s="32">
        <f>+[6]Result!$L$33-[5]Result!$L$33</f>
        <v>-5258.6977888412366</v>
      </c>
      <c r="E551" s="13">
        <f>+[7]Result!$L$33-[6]Result!$L$33</f>
        <v>902.66442989261122</v>
      </c>
      <c r="F551" s="13">
        <f>+[8]Result!$L$33-[7]Result!$L$33</f>
        <v>-1049.0467792509007</v>
      </c>
      <c r="G551" s="32">
        <f>+[9]Result!$L$33-[8]Result!$L$33</f>
        <v>-6379.3748433782021</v>
      </c>
      <c r="H551" s="13">
        <f>+[10]Result!$L$33-[9]Result!$L$33</f>
        <v>-380.0399821519386</v>
      </c>
      <c r="I551" s="13">
        <f>+[11]Result!$L$33-[10]Result!$L$33</f>
        <v>-469.09867816334008</v>
      </c>
      <c r="J551" s="32">
        <f>+[12]Result!$L$33-[11]Result!$L$33</f>
        <v>-9610.7644751585322</v>
      </c>
      <c r="K551" s="13">
        <f>+[13]Result!$L$33-[12]Result!$L$33</f>
        <v>0</v>
      </c>
      <c r="L551" s="13">
        <f>+[14]Result!$L$33-[13]Result!$L$33</f>
        <v>-1008.1189019175945</v>
      </c>
      <c r="M551" s="13">
        <f>+[15]Result!$L$33-[14]Result!$L$33</f>
        <v>30282.303121236706</v>
      </c>
      <c r="N551" s="32">
        <f>+[16]Result!$L$33-[15]Result!$L$33</f>
        <v>236.41615732735954</v>
      </c>
      <c r="O551" s="13">
        <f>+[17]Result!$L$33-[16]Result!$L$33</f>
        <v>549.61369973004912</v>
      </c>
      <c r="P551" s="13">
        <f>+[18]Result!$L$33-[17]Result!$L$33</f>
        <v>-7600.1028726736258</v>
      </c>
      <c r="Q551" s="32">
        <f>+[19]Result!$L$33-[18]Result!$L$33</f>
        <v>-85.855968819611007</v>
      </c>
      <c r="R551" s="32">
        <f>+[20]Result!$L$33-[19]Result!$L$33</f>
        <v>16.187725990574108</v>
      </c>
      <c r="S551" s="70">
        <f>+[22]Result!$L$33-[20]Result!$L$33</f>
        <v>198.10817750112619</v>
      </c>
      <c r="AI551" s="73"/>
      <c r="AJ551" s="73"/>
      <c r="AK551" s="73"/>
    </row>
    <row r="552" spans="1:37" hidden="1" outlineLevel="2" x14ac:dyDescent="0.25">
      <c r="A552" s="16" t="s">
        <v>35</v>
      </c>
      <c r="B552" s="13">
        <f>+[1]Result!$L$34-[21]Result!$L$34</f>
        <v>-729.49112880873145</v>
      </c>
      <c r="C552" s="13">
        <f>+[5]Result!$L$34-[1]Result!$L$34</f>
        <v>958.47598769655451</v>
      </c>
      <c r="D552" s="32">
        <f>+[6]Result!$L$34-[5]Result!$L$34</f>
        <v>-5049.0950238410151</v>
      </c>
      <c r="E552" s="13">
        <f>+[7]Result!$L$34-[6]Result!$L$34</f>
        <v>812.34770222695079</v>
      </c>
      <c r="F552" s="13">
        <f>+[8]Result!$L$34-[7]Result!$L$34</f>
        <v>-960.25773800391471</v>
      </c>
      <c r="G552" s="32">
        <f>+[9]Result!$L$34-[8]Result!$L$34</f>
        <v>-6232.7944757752703</v>
      </c>
      <c r="H552" s="13">
        <f>+[10]Result!$L$34-[9]Result!$L$34</f>
        <v>-346.80976470428868</v>
      </c>
      <c r="I552" s="13">
        <f>+[11]Result!$L$34-[10]Result!$L$34</f>
        <v>-461.55263791009202</v>
      </c>
      <c r="J552" s="32">
        <f>+[12]Result!$L$34-[11]Result!$L$34</f>
        <v>-224.23508536288864</v>
      </c>
      <c r="K552" s="13">
        <f>+[13]Result!$L$34-[12]Result!$L$34</f>
        <v>0</v>
      </c>
      <c r="L552" s="13">
        <f>+[14]Result!$L$34-[13]Result!$L$34</f>
        <v>-796.38654286132078</v>
      </c>
      <c r="M552" s="13">
        <f>+[15]Result!$L$34-[14]Result!$L$34</f>
        <v>21789.906872213673</v>
      </c>
      <c r="N552" s="32">
        <f>+[16]Result!$L$34-[15]Result!$L$34</f>
        <v>174.91349145723507</v>
      </c>
      <c r="O552" s="13">
        <f>+[17]Result!$L$34-[16]Result!$L$34</f>
        <v>489.64562283881241</v>
      </c>
      <c r="P552" s="13">
        <f>+[18]Result!$L$34-[17]Result!$L$34</f>
        <v>-5167.211359507317</v>
      </c>
      <c r="Q552" s="32">
        <f>+[19]Result!$L$34-[18]Result!$L$34</f>
        <v>-88.64614818408154</v>
      </c>
      <c r="R552" s="32">
        <f>+[20]Result!$L$34-[19]Result!$L$34</f>
        <v>28.560360546980519</v>
      </c>
      <c r="S552" s="70">
        <f>+[22]Result!$L$34-[20]Result!$L$34</f>
        <v>186.57984411698999</v>
      </c>
      <c r="AI552" s="73"/>
      <c r="AJ552" s="73"/>
      <c r="AK552" s="73"/>
    </row>
    <row r="553" spans="1:37" hidden="1" outlineLevel="1" x14ac:dyDescent="0.25">
      <c r="A553" s="15" t="s">
        <v>36</v>
      </c>
      <c r="B553" s="13">
        <f>+'[1]Stat by Mat 2'!$G$7-'[21]Stat by Mat 2'!$G$7</f>
        <v>-1041.0352221913636</v>
      </c>
      <c r="C553" s="13">
        <f>+'[5]Stat by Mat 2'!$G$7-'[1]Stat by Mat 2'!$G$7</f>
        <v>1366.0748661609396</v>
      </c>
      <c r="D553" s="32">
        <f>+'[6]Stat by Mat 2'!$G$7-'[5]Stat by Mat 2'!$G$7</f>
        <v>-6750.783617941619</v>
      </c>
      <c r="E553" s="13">
        <f>+'[7]Stat by Mat 2'!$G$7-'[6]Stat by Mat 2'!$G$7</f>
        <v>1083.4249775536009</v>
      </c>
      <c r="F553" s="13">
        <f>+'[8]Stat by Mat 2'!$G$7-'[7]Stat by Mat 2'!$G$7</f>
        <v>-1264.6733157007402</v>
      </c>
      <c r="G553" s="32">
        <f>+'[9]Stat by Mat 2'!$G$7-'[8]Stat by Mat 2'!$G$7</f>
        <v>-8209.4161074541917</v>
      </c>
      <c r="H553" s="13">
        <f>+'[10]Stat by Mat 2'!$G$7-'[9]Stat by Mat 2'!$G$7</f>
        <v>-417.50738784148416</v>
      </c>
      <c r="I553" s="13">
        <f>+'[11]Stat by Mat 2'!$G$7-'[10]Stat by Mat 2'!$G$7</f>
        <v>-495.69941283312801</v>
      </c>
      <c r="J553" s="32">
        <f>+'[12]Stat by Mat 2'!$G$7-'[11]Stat by Mat 2'!$G$7</f>
        <v>-4179.3384600628342</v>
      </c>
      <c r="K553" s="13">
        <f>+'[13]Stat by Mat 2'!$G$7-'[12]Stat by Mat 2'!$G$7</f>
        <v>-5.9109413604892325</v>
      </c>
      <c r="L553" s="13">
        <f>+'[14]Stat by Mat 2'!$G$7-'[13]Stat by Mat 2'!$G$7</f>
        <v>-813.01554989507713</v>
      </c>
      <c r="M553" s="13">
        <f>+'[15]Stat by Mat 2'!$G$7-'[14]Stat by Mat 2'!$G$7</f>
        <v>64948.898186835962</v>
      </c>
      <c r="N553" s="32">
        <f>+'[16]Stat by Mat 2'!$G$7-'[15]Stat by Mat 2'!$G$7</f>
        <v>85.887768492459145</v>
      </c>
      <c r="O553" s="13">
        <f>+'[17]Stat by Mat 2'!$G$7-'[16]Stat by Mat 2'!$G$7</f>
        <v>329.0507763659698</v>
      </c>
      <c r="P553" s="13">
        <f>+'[18]Stat by Mat 2'!$G$7-'[17]Stat by Mat 2'!$G$7</f>
        <v>-24587.407448323007</v>
      </c>
      <c r="Q553" s="32">
        <f>+'[19]Stat by Mat 2'!$G$7-'[18]Stat by Mat 2'!$G$7</f>
        <v>-75.806749692215817</v>
      </c>
      <c r="R553" s="32">
        <f>+'[20]Stat by Mat 2'!$G$7-'[19]Stat by Mat 2'!$G$7</f>
        <v>21.416848451888654</v>
      </c>
      <c r="S553" s="70">
        <f>+'[22]Stat by Mat 2'!$G$7-'[20]Stat by Mat 2'!$G$7</f>
        <v>161.13882963723154</v>
      </c>
      <c r="T553" s="13">
        <f>+B553-SUM(B554:B573)</f>
        <v>7.2759576141834259E-12</v>
      </c>
      <c r="U553" s="13">
        <f t="shared" ref="U553:W553" si="420">+C553-SUM(C554:C573)</f>
        <v>-1.0459189070388675E-11</v>
      </c>
      <c r="V553" s="13">
        <f t="shared" si="420"/>
        <v>0</v>
      </c>
      <c r="W553" s="13">
        <f t="shared" si="420"/>
        <v>2.5011104298755527E-12</v>
      </c>
      <c r="X553" s="13">
        <f t="shared" ref="X553" si="421">+F553-SUM(F554:F573)</f>
        <v>0</v>
      </c>
      <c r="Y553" s="13">
        <f t="shared" ref="Y553:AE553" si="422">+G553-SUM(G554:G573)</f>
        <v>0</v>
      </c>
      <c r="Z553" s="13">
        <f t="shared" si="422"/>
        <v>4.5474735088646412E-12</v>
      </c>
      <c r="AA553" s="13">
        <f t="shared" si="422"/>
        <v>-2.8421709430404007E-12</v>
      </c>
      <c r="AB553" s="13">
        <f t="shared" si="422"/>
        <v>9.0949470177292824E-12</v>
      </c>
      <c r="AC553" s="13">
        <f t="shared" si="422"/>
        <v>-4.226841099352896E-12</v>
      </c>
      <c r="AD553" s="13">
        <f t="shared" si="422"/>
        <v>-1.7394086171407253E-11</v>
      </c>
      <c r="AE553" s="13">
        <f t="shared" si="422"/>
        <v>0</v>
      </c>
      <c r="AF553" s="13">
        <f t="shared" ref="AF553" si="423">+N553-SUM(N554:N573)</f>
        <v>-7.1338490670314059E-12</v>
      </c>
      <c r="AG553" s="13">
        <f t="shared" ref="AG553:AH553" si="424">+O553-SUM(O554:O573)</f>
        <v>7.3896444519050419E-13</v>
      </c>
      <c r="AH553" s="13">
        <f t="shared" si="424"/>
        <v>0</v>
      </c>
      <c r="AI553" s="73">
        <f t="shared" ref="AI553" si="425">+Q553-SUM(Q554:Q573)</f>
        <v>-4.6327386371558532E-12</v>
      </c>
      <c r="AJ553" s="73">
        <f t="shared" ref="AJ553:AK553" si="426">+R553-SUM(R554:R573)</f>
        <v>3.9825920339353615E-12</v>
      </c>
      <c r="AK553" s="73">
        <f t="shared" si="426"/>
        <v>-8.3559825725387782E-12</v>
      </c>
    </row>
    <row r="554" spans="1:37" hidden="1" outlineLevel="2" x14ac:dyDescent="0.25">
      <c r="A554" s="16" t="s">
        <v>37</v>
      </c>
      <c r="B554" s="13">
        <f>+[1]Result!$L$35-[21]Result!$L$35</f>
        <v>-383.87834186755936</v>
      </c>
      <c r="C554" s="13">
        <f>+[5]Result!$L$35-[1]Result!$L$35</f>
        <v>504.13451796580921</v>
      </c>
      <c r="D554" s="32">
        <f>+[6]Result!$L$35-[5]Result!$L$35</f>
        <v>-2497.2383987981011</v>
      </c>
      <c r="E554" s="13">
        <f>+[7]Result!$L$35-[6]Result!$L$35</f>
        <v>425.62299477891065</v>
      </c>
      <c r="F554" s="13">
        <f>+[8]Result!$L$35-[7]Result!$L$35</f>
        <v>-485.74666611864814</v>
      </c>
      <c r="G554" s="32">
        <f>+[9]Result!$L$35-[8]Result!$L$35</f>
        <v>-2783.8142844171962</v>
      </c>
      <c r="H554" s="13">
        <f>+[10]Result!$L$35-[9]Result!$L$35</f>
        <v>-170.92457200739591</v>
      </c>
      <c r="I554" s="13">
        <f>+[11]Result!$L$35-[10]Result!$L$35</f>
        <v>-222.73049654318311</v>
      </c>
      <c r="J554" s="32">
        <f>+[12]Result!$L$35-[11]Result!$L$35</f>
        <v>-393.49323460215237</v>
      </c>
      <c r="K554" s="13">
        <f>+[13]Result!$L$35-[12]Result!$L$35</f>
        <v>-19.373540755244903</v>
      </c>
      <c r="L554" s="13">
        <f>+[14]Result!$L$35-[13]Result!$L$35</f>
        <v>-363.5895011586108</v>
      </c>
      <c r="M554" s="13">
        <f>+[15]Result!$L$35-[14]Result!$L$35</f>
        <v>13826.377930443734</v>
      </c>
      <c r="N554" s="32">
        <f>+[16]Result!$L$35-[15]Result!$L$35</f>
        <v>57.885815204441315</v>
      </c>
      <c r="O554" s="13">
        <f>+[17]Result!$L$35-[16]Result!$L$35</f>
        <v>213.64666508698429</v>
      </c>
      <c r="P554" s="13">
        <f>+[18]Result!$L$35-[17]Result!$L$35</f>
        <v>-3537.6479228253011</v>
      </c>
      <c r="Q554" s="32">
        <f>+[19]Result!$L$35-[18]Result!$L$35</f>
        <v>-50.581225815069047</v>
      </c>
      <c r="R554" s="32">
        <f>+[20]Result!$L$35-[19]Result!$L$35</f>
        <v>18.384261758386856</v>
      </c>
      <c r="S554" s="70">
        <f>+[22]Result!$L$35-[20]Result!$L$35</f>
        <v>100.69003273795533</v>
      </c>
      <c r="AI554" s="73"/>
      <c r="AJ554" s="73"/>
      <c r="AK554" s="73"/>
    </row>
    <row r="555" spans="1:37" hidden="1" outlineLevel="2" x14ac:dyDescent="0.25">
      <c r="A555" s="16" t="s">
        <v>38</v>
      </c>
      <c r="B555" s="13">
        <f>+[1]Result!$L$36-[21]Result!$L$36</f>
        <v>-214.59916967646859</v>
      </c>
      <c r="C555" s="13">
        <f>+[5]Result!$L$36-[1]Result!$L$36</f>
        <v>281.20471737236949</v>
      </c>
      <c r="D555" s="32">
        <f>+[6]Result!$L$36-[5]Result!$L$36</f>
        <v>-1175.5204608442873</v>
      </c>
      <c r="E555" s="13">
        <f>+[7]Result!$L$36-[6]Result!$L$36</f>
        <v>233.72114978644822</v>
      </c>
      <c r="F555" s="13">
        <f>+[8]Result!$L$36-[7]Result!$L$36</f>
        <v>-272.60953973438882</v>
      </c>
      <c r="G555" s="32">
        <f>+[9]Result!$L$36-[8]Result!$L$36</f>
        <v>-1310.6476854752691</v>
      </c>
      <c r="H555" s="13">
        <f>+[10]Result!$L$36-[9]Result!$L$36</f>
        <v>-85.905374725232832</v>
      </c>
      <c r="I555" s="13">
        <f>+[11]Result!$L$36-[10]Result!$L$36</f>
        <v>-112.25726779230172</v>
      </c>
      <c r="J555" s="32">
        <f>+[12]Result!$L$36-[11]Result!$L$36</f>
        <v>-829.42948230380716</v>
      </c>
      <c r="K555" s="13">
        <f>+[13]Result!$L$36-[12]Result!$L$36</f>
        <v>-8.2447398358781356</v>
      </c>
      <c r="L555" s="13">
        <f>+[14]Result!$L$36-[13]Result!$L$36</f>
        <v>-187.26096181951289</v>
      </c>
      <c r="M555" s="13">
        <f>+[15]Result!$L$36-[14]Result!$L$36</f>
        <v>10825.886406563943</v>
      </c>
      <c r="N555" s="32">
        <f>+[16]Result!$L$36-[15]Result!$L$36</f>
        <v>32.239803283941001</v>
      </c>
      <c r="O555" s="13">
        <f>+[17]Result!$L$36-[16]Result!$L$36</f>
        <v>89.008874693601683</v>
      </c>
      <c r="P555" s="13">
        <f>+[18]Result!$L$36-[17]Result!$L$36</f>
        <v>-2920.2372238111275</v>
      </c>
      <c r="Q555" s="32">
        <f>+[19]Result!$L$36-[18]Result!$L$36</f>
        <v>-20.194187482331472</v>
      </c>
      <c r="R555" s="32">
        <f>+[20]Result!$L$36-[19]Result!$L$36</f>
        <v>2.8177911364036845</v>
      </c>
      <c r="S555" s="70">
        <f>+[22]Result!$L$36-[20]Result!$L$36</f>
        <v>46.002141339646187</v>
      </c>
      <c r="AI555" s="73"/>
      <c r="AJ555" s="73"/>
      <c r="AK555" s="73"/>
    </row>
    <row r="556" spans="1:37" hidden="1" outlineLevel="2" x14ac:dyDescent="0.25">
      <c r="A556" s="16" t="s">
        <v>39</v>
      </c>
      <c r="B556" s="13">
        <f>+[1]Result!$L$37-[21]Result!$L$37</f>
        <v>-141.17656904103933</v>
      </c>
      <c r="C556" s="13">
        <f>+[5]Result!$L$37-[1]Result!$L$37</f>
        <v>183.64113777363673</v>
      </c>
      <c r="D556" s="32">
        <f>+[6]Result!$L$37-[5]Result!$L$37</f>
        <v>-855.57483882059751</v>
      </c>
      <c r="E556" s="13">
        <f>+[7]Result!$L$37-[6]Result!$L$37</f>
        <v>143.32849111440009</v>
      </c>
      <c r="F556" s="13">
        <f>+[8]Result!$L$37-[7]Result!$L$37</f>
        <v>-172.7624111991463</v>
      </c>
      <c r="G556" s="32">
        <f>+[9]Result!$L$37-[8]Result!$L$37</f>
        <v>-915.94582178896962</v>
      </c>
      <c r="H556" s="13">
        <f>+[10]Result!$L$37-[9]Result!$L$37</f>
        <v>-53.282262680251733</v>
      </c>
      <c r="I556" s="13">
        <f>+[11]Result!$L$37-[10]Result!$L$37</f>
        <v>-66.506937395541172</v>
      </c>
      <c r="J556" s="32">
        <f>+[12]Result!$L$37-[11]Result!$L$37</f>
        <v>-1129.3648950846036</v>
      </c>
      <c r="K556" s="13">
        <f>+[13]Result!$L$37-[12]Result!$L$37</f>
        <v>5.2912061349779833</v>
      </c>
      <c r="L556" s="13">
        <f>+[14]Result!$L$37-[13]Result!$L$37</f>
        <v>-122.60764719649887</v>
      </c>
      <c r="M556" s="13">
        <f>+[15]Result!$L$37-[14]Result!$L$37</f>
        <v>9417.8773708724075</v>
      </c>
      <c r="N556" s="32">
        <f>+[16]Result!$L$37-[15]Result!$L$37</f>
        <v>17.51326620416512</v>
      </c>
      <c r="O556" s="13">
        <f>+[17]Result!$L$37-[16]Result!$L$37</f>
        <v>43.910116317230859</v>
      </c>
      <c r="P556" s="13">
        <f>+[18]Result!$L$37-[17]Result!$L$37</f>
        <v>-2679.2397096277346</v>
      </c>
      <c r="Q556" s="32">
        <f>+[19]Result!$L$37-[18]Result!$L$37</f>
        <v>-8.8026407553697936</v>
      </c>
      <c r="R556" s="32">
        <f>+[20]Result!$L$37-[19]Result!$L$37</f>
        <v>-1.4974532548294519</v>
      </c>
      <c r="S556" s="70">
        <f>+[22]Result!$L$37-[20]Result!$L$37</f>
        <v>23.81335192628103</v>
      </c>
      <c r="AI556" s="73"/>
      <c r="AJ556" s="73"/>
      <c r="AK556" s="73"/>
    </row>
    <row r="557" spans="1:37" hidden="1" outlineLevel="2" x14ac:dyDescent="0.25">
      <c r="A557" s="16" t="s">
        <v>40</v>
      </c>
      <c r="B557" s="13">
        <f>+[1]Result!$L$38-[21]Result!$L$38</f>
        <v>-108.46304599827272</v>
      </c>
      <c r="C557" s="13">
        <f>+[5]Result!$L$38-[1]Result!$L$38</f>
        <v>141.46437365541351</v>
      </c>
      <c r="D557" s="32">
        <f>+[6]Result!$L$38-[5]Result!$L$38</f>
        <v>-768.88447299600375</v>
      </c>
      <c r="E557" s="13">
        <f>+[7]Result!$L$38-[6]Result!$L$38</f>
        <v>104.25197161174583</v>
      </c>
      <c r="F557" s="13">
        <f>+[8]Result!$L$38-[7]Result!$L$38</f>
        <v>-125.06406312487525</v>
      </c>
      <c r="G557" s="32">
        <f>+[9]Result!$L$38-[8]Result!$L$38</f>
        <v>-796.31259104534547</v>
      </c>
      <c r="H557" s="13">
        <f>+[10]Result!$L$38-[9]Result!$L$38</f>
        <v>-47.667881946785201</v>
      </c>
      <c r="I557" s="13">
        <f>+[11]Result!$L$38-[10]Result!$L$38</f>
        <v>-44.609084564566729</v>
      </c>
      <c r="J557" s="32">
        <f>+[12]Result!$L$38-[11]Result!$L$38</f>
        <v>-521.28897196014441</v>
      </c>
      <c r="K557" s="13">
        <f>+[13]Result!$L$38-[12]Result!$L$38</f>
        <v>4.4640462313836906</v>
      </c>
      <c r="L557" s="13">
        <f>+[14]Result!$L$38-[13]Result!$L$38</f>
        <v>-78.996410872852721</v>
      </c>
      <c r="M557" s="13">
        <f>+[15]Result!$L$38-[14]Result!$L$38</f>
        <v>8407.2677655962252</v>
      </c>
      <c r="N557" s="32">
        <f>+[16]Result!$L$38-[15]Result!$L$38</f>
        <v>8.570353274797526</v>
      </c>
      <c r="O557" s="13">
        <f>+[17]Result!$L$38-[16]Result!$L$38</f>
        <v>22.987670265956694</v>
      </c>
      <c r="P557" s="13">
        <f>+[18]Result!$L$38-[17]Result!$L$38</f>
        <v>-2168.9656338875357</v>
      </c>
      <c r="Q557" s="32">
        <f>+[19]Result!$L$38-[18]Result!$L$38</f>
        <v>-2.9550388836869388</v>
      </c>
      <c r="R557" s="32">
        <f>+[20]Result!$L$38-[19]Result!$L$38</f>
        <v>-3.5513394487097685</v>
      </c>
      <c r="S557" s="70">
        <f>+[22]Result!$L$38-[20]Result!$L$38</f>
        <v>12.276841167178645</v>
      </c>
      <c r="AI557" s="73"/>
      <c r="AJ557" s="73"/>
      <c r="AK557" s="73"/>
    </row>
    <row r="558" spans="1:37" hidden="1" outlineLevel="2" x14ac:dyDescent="0.25">
      <c r="A558" s="16" t="s">
        <v>41</v>
      </c>
      <c r="B558" s="13">
        <f>+[1]Result!$L$39-[21]Result!$L$39</f>
        <v>-72.271439015050419</v>
      </c>
      <c r="C558" s="13">
        <f>+[5]Result!$L$39-[1]Result!$L$39</f>
        <v>97.271784742850286</v>
      </c>
      <c r="D558" s="32">
        <f>+[6]Result!$L$39-[5]Result!$L$39</f>
        <v>-347.24340141106222</v>
      </c>
      <c r="E558" s="13">
        <f>+[7]Result!$L$39-[6]Result!$L$39</f>
        <v>70.838220803132572</v>
      </c>
      <c r="F558" s="13">
        <f>+[8]Result!$L$39-[7]Result!$L$39</f>
        <v>-85.849565991491545</v>
      </c>
      <c r="G558" s="32">
        <f>+[9]Result!$L$39-[8]Result!$L$39</f>
        <v>-503.42964962629048</v>
      </c>
      <c r="H558" s="13">
        <f>+[10]Result!$L$39-[9]Result!$L$39</f>
        <v>-36.62391645367461</v>
      </c>
      <c r="I558" s="13">
        <f>+[11]Result!$L$39-[10]Result!$L$39</f>
        <v>-27.965477522553556</v>
      </c>
      <c r="J558" s="32">
        <f>+[12]Result!$L$39-[11]Result!$L$39</f>
        <v>-200.63921383038905</v>
      </c>
      <c r="K558" s="13">
        <f>+[13]Result!$L$39-[12]Result!$L$39</f>
        <v>3.5583201597328298</v>
      </c>
      <c r="L558" s="13">
        <f>+[14]Result!$L$39-[13]Result!$L$39</f>
        <v>-46.698396005322138</v>
      </c>
      <c r="M558" s="13">
        <f>+[15]Result!$L$39-[14]Result!$L$39</f>
        <v>7101.5807772981825</v>
      </c>
      <c r="N558" s="32">
        <f>+[16]Result!$L$39-[15]Result!$L$39</f>
        <v>3.0273370503691694</v>
      </c>
      <c r="O558" s="13">
        <f>+[17]Result!$L$39-[16]Result!$L$39</f>
        <v>11.81207519646523</v>
      </c>
      <c r="P558" s="13">
        <f>+[18]Result!$L$39-[17]Result!$L$39</f>
        <v>-1700.7075644805755</v>
      </c>
      <c r="Q558" s="32">
        <f>+[19]Result!$L$39-[18]Result!$L$39</f>
        <v>-2.0521257222571876</v>
      </c>
      <c r="R558" s="32">
        <f>+[20]Result!$L$39-[19]Result!$L$39</f>
        <v>1.5901857684057177</v>
      </c>
      <c r="S558" s="70">
        <f>+[22]Result!$L$39-[20]Result!$L$39</f>
        <v>4.8659368153712421</v>
      </c>
      <c r="AI558" s="73"/>
      <c r="AJ558" s="73"/>
      <c r="AK558" s="73"/>
    </row>
    <row r="559" spans="1:37" hidden="1" outlineLevel="2" x14ac:dyDescent="0.25">
      <c r="A559" s="16" t="s">
        <v>42</v>
      </c>
      <c r="B559" s="13">
        <f>+[1]Result!$L$40-[21]Result!$L$40</f>
        <v>-43.782511068086023</v>
      </c>
      <c r="C559" s="13">
        <f>+[5]Result!$L$40-[1]Result!$L$40</f>
        <v>59.636284225831332</v>
      </c>
      <c r="D559" s="32">
        <f>+[6]Result!$L$40-[5]Result!$L$40</f>
        <v>-269.57976257841437</v>
      </c>
      <c r="E559" s="13">
        <f>+[7]Result!$L$40-[6]Result!$L$40</f>
        <v>42.092061743329396</v>
      </c>
      <c r="F559" s="13">
        <f>+[8]Result!$L$40-[7]Result!$L$40</f>
        <v>-50.222660002516932</v>
      </c>
      <c r="G559" s="32">
        <f>+[9]Result!$L$40-[8]Result!$L$40</f>
        <v>-437.40352982294644</v>
      </c>
      <c r="H559" s="13">
        <f>+[10]Result!$L$40-[9]Result!$L$40</f>
        <v>-14.973296104155452</v>
      </c>
      <c r="I559" s="13">
        <f>+[11]Result!$L$40-[10]Result!$L$40</f>
        <v>-14.803243178135745</v>
      </c>
      <c r="J559" s="32">
        <f>+[12]Result!$L$40-[11]Result!$L$40</f>
        <v>-363.21177854268535</v>
      </c>
      <c r="K559" s="13">
        <f>+[13]Result!$L$40-[12]Result!$L$40</f>
        <v>4.0141866172161826</v>
      </c>
      <c r="L559" s="13">
        <f>+[14]Result!$L$40-[13]Result!$L$40</f>
        <v>-23.782077407304314</v>
      </c>
      <c r="M559" s="13">
        <f>+[15]Result!$L$40-[14]Result!$L$40</f>
        <v>6067.7326075180017</v>
      </c>
      <c r="N559" s="32">
        <f>+[16]Result!$L$40-[15]Result!$L$40</f>
        <v>0.24091537505864835</v>
      </c>
      <c r="O559" s="13">
        <f>+[17]Result!$L$40-[16]Result!$L$40</f>
        <v>2.9443868360986016</v>
      </c>
      <c r="P559" s="13">
        <f>+[18]Result!$L$40-[17]Result!$L$40</f>
        <v>-1515.8185706533523</v>
      </c>
      <c r="Q559" s="32">
        <f>+[19]Result!$L$40-[18]Result!$L$40</f>
        <v>-1.262245691008502</v>
      </c>
      <c r="R559" s="32">
        <f>+[20]Result!$L$40-[19]Result!$L$40</f>
        <v>0.93588216299212945</v>
      </c>
      <c r="S559" s="70">
        <f>+[22]Result!$L$40-[20]Result!$L$40</f>
        <v>3.2779868339366658</v>
      </c>
      <c r="AI559" s="73"/>
      <c r="AJ559" s="73"/>
      <c r="AK559" s="73"/>
    </row>
    <row r="560" spans="1:37" hidden="1" outlineLevel="2" x14ac:dyDescent="0.25">
      <c r="A560" s="16" t="s">
        <v>43</v>
      </c>
      <c r="B560" s="13">
        <f>+[1]Result!$L$41-[21]Result!$L$41</f>
        <v>-27.63807600992368</v>
      </c>
      <c r="C560" s="13">
        <f>+[5]Result!$L$41-[1]Result!$L$41</f>
        <v>39.089964636474178</v>
      </c>
      <c r="D560" s="32">
        <f>+[6]Result!$L$41-[5]Result!$L$41</f>
        <v>-264.45253229563605</v>
      </c>
      <c r="E560" s="13">
        <f>+[7]Result!$L$41-[6]Result!$L$41</f>
        <v>25.246084459144186</v>
      </c>
      <c r="F560" s="13">
        <f>+[8]Result!$L$41-[7]Result!$L$41</f>
        <v>-29.52379677375211</v>
      </c>
      <c r="G560" s="32">
        <f>+[9]Result!$L$41-[8]Result!$L$41</f>
        <v>-375.37334862793068</v>
      </c>
      <c r="H560" s="13">
        <f>+[10]Result!$L$41-[9]Result!$L$41</f>
        <v>-8.0074783478776226</v>
      </c>
      <c r="I560" s="13">
        <f>+[11]Result!$L$41-[10]Result!$L$41</f>
        <v>-6.5641958467440418</v>
      </c>
      <c r="J560" s="32">
        <f>+[12]Result!$L$41-[11]Result!$L$41</f>
        <v>-458.68713360278889</v>
      </c>
      <c r="K560" s="13">
        <f>+[13]Result!$L$41-[12]Result!$L$41</f>
        <v>3.1832835643399449</v>
      </c>
      <c r="L560" s="13">
        <f>+[14]Result!$L$41-[13]Result!$L$41</f>
        <v>-9.7175587346137036</v>
      </c>
      <c r="M560" s="13">
        <f>+[15]Result!$L$41-[14]Result!$L$41</f>
        <v>5389.5069474294096</v>
      </c>
      <c r="N560" s="32">
        <f>+[16]Result!$L$41-[15]Result!$L$41</f>
        <v>-0.2666232570873035</v>
      </c>
      <c r="O560" s="13">
        <f>+[17]Result!$L$41-[16]Result!$L$41</f>
        <v>0.2011507479805914</v>
      </c>
      <c r="P560" s="13">
        <f>+[18]Result!$L$41-[17]Result!$L$41</f>
        <v>-1387.0294486052021</v>
      </c>
      <c r="Q560" s="32">
        <f>+[19]Result!$L$41-[18]Result!$L$41</f>
        <v>8.7883708647495951E-2</v>
      </c>
      <c r="R560" s="32">
        <f>+[20]Result!$L$41-[19]Result!$L$41</f>
        <v>-0.33105108074869349</v>
      </c>
      <c r="S560" s="70">
        <f>+[22]Result!$L$41-[20]Result!$L$41</f>
        <v>0.69464716205584409</v>
      </c>
      <c r="AI560" s="73"/>
      <c r="AJ560" s="73"/>
      <c r="AK560" s="73"/>
    </row>
    <row r="561" spans="1:37" hidden="1" outlineLevel="2" x14ac:dyDescent="0.25">
      <c r="A561" s="16" t="s">
        <v>44</v>
      </c>
      <c r="B561" s="13">
        <f>+[1]Result!$L$42-[21]Result!$L$42</f>
        <v>-18.18120463658488</v>
      </c>
      <c r="C561" s="13">
        <f>+[5]Result!$L$42-[1]Result!$L$42</f>
        <v>23.86503886704304</v>
      </c>
      <c r="D561" s="32">
        <f>+[6]Result!$L$42-[5]Result!$L$42</f>
        <v>-300.6524529934195</v>
      </c>
      <c r="E561" s="13">
        <f>+[7]Result!$L$42-[6]Result!$L$42</f>
        <v>17.868072209083039</v>
      </c>
      <c r="F561" s="13">
        <f>+[8]Result!$L$42-[7]Result!$L$42</f>
        <v>-20.554865053945832</v>
      </c>
      <c r="G561" s="32">
        <f>+[9]Result!$L$42-[8]Result!$L$42</f>
        <v>-365.02127162262332</v>
      </c>
      <c r="H561" s="13">
        <f>+[10]Result!$L$42-[9]Result!$L$42</f>
        <v>-3.9061977305664186</v>
      </c>
      <c r="I561" s="13">
        <f>+[11]Result!$L$42-[10]Result!$L$42</f>
        <v>-4.776303144344638</v>
      </c>
      <c r="J561" s="32">
        <f>+[12]Result!$L$42-[11]Result!$L$42</f>
        <v>-508.17839249654571</v>
      </c>
      <c r="K561" s="13">
        <f>+[13]Result!$L$42-[12]Result!$L$42</f>
        <v>2.7545423296833178</v>
      </c>
      <c r="L561" s="13">
        <f>+[14]Result!$L$42-[13]Result!$L$42</f>
        <v>-0.96437184759815864</v>
      </c>
      <c r="M561" s="13">
        <f>+[15]Result!$L$42-[14]Result!$L$42</f>
        <v>4764.1095088108259</v>
      </c>
      <c r="N561" s="32">
        <f>+[16]Result!$L$42-[15]Result!$L$42</f>
        <v>-0.17057220329036227</v>
      </c>
      <c r="O561" s="13">
        <f>+[17]Result!$L$42-[16]Result!$L$42</f>
        <v>-0.10296483806365586</v>
      </c>
      <c r="P561" s="13">
        <f>+[18]Result!$L$42-[17]Result!$L$42</f>
        <v>-1395.6411883305225</v>
      </c>
      <c r="Q561" s="32">
        <f>+[19]Result!$L$42-[18]Result!$L$42</f>
        <v>1.0608890927151151</v>
      </c>
      <c r="R561" s="32">
        <f>+[20]Result!$L$42-[19]Result!$L$42</f>
        <v>0</v>
      </c>
      <c r="S561" s="70">
        <f>+[22]Result!$L$42-[20]Result!$L$42</f>
        <v>-0.76889056861909921</v>
      </c>
      <c r="AI561" s="73"/>
      <c r="AJ561" s="73"/>
      <c r="AK561" s="73"/>
    </row>
    <row r="562" spans="1:37" hidden="1" outlineLevel="2" x14ac:dyDescent="0.25">
      <c r="A562" s="16" t="s">
        <v>45</v>
      </c>
      <c r="B562" s="13">
        <f>+[1]Result!$L$43-[21]Result!$L$43</f>
        <v>-16.320692315393899</v>
      </c>
      <c r="C562" s="13">
        <f>+[5]Result!$L$43-[1]Result!$L$43</f>
        <v>18.56515120603035</v>
      </c>
      <c r="D562" s="32">
        <f>+[6]Result!$L$43-[5]Result!$L$43</f>
        <v>-287.52567522164463</v>
      </c>
      <c r="E562" s="13">
        <f>+[7]Result!$L$43-[6]Result!$L$43</f>
        <v>13.670216907306894</v>
      </c>
      <c r="F562" s="13">
        <f>+[8]Result!$L$43-[7]Result!$L$43</f>
        <v>-15.454318687929117</v>
      </c>
      <c r="G562" s="32">
        <f>+[9]Result!$L$43-[8]Result!$L$43</f>
        <v>-263.8411164665431</v>
      </c>
      <c r="H562" s="13">
        <f>+[10]Result!$L$43-[9]Result!$L$43</f>
        <v>-0.50930813488048443</v>
      </c>
      <c r="I562" s="13">
        <f>+[11]Result!$L$43-[10]Result!$L$43</f>
        <v>-1.0361768636357738</v>
      </c>
      <c r="J562" s="32">
        <f>+[12]Result!$L$43-[11]Result!$L$43</f>
        <v>-122.86846488495939</v>
      </c>
      <c r="K562" s="13">
        <f>+[13]Result!$L$43-[12]Result!$L$43</f>
        <v>0.17847807137331984</v>
      </c>
      <c r="L562" s="13">
        <f>+[14]Result!$L$43-[13]Result!$L$43</f>
        <v>4.252020479991188</v>
      </c>
      <c r="M562" s="13">
        <f>+[15]Result!$L$43-[14]Result!$L$43</f>
        <v>4071.4915969414897</v>
      </c>
      <c r="N562" s="32">
        <f>+[16]Result!$L$43-[15]Result!$L$43</f>
        <v>4.6661894067952403E-2</v>
      </c>
      <c r="O562" s="13">
        <f>+[17]Result!$L$43-[16]Result!$L$43</f>
        <v>5.0329312456106834E-2</v>
      </c>
      <c r="P562" s="13">
        <f>+[18]Result!$L$43-[17]Result!$L$43</f>
        <v>-1010.79140913846</v>
      </c>
      <c r="Q562" s="32">
        <f>+[19]Result!$L$43-[18]Result!$L$43</f>
        <v>0.66065649126448989</v>
      </c>
      <c r="R562" s="32">
        <f>+[20]Result!$L$43-[19]Result!$L$43</f>
        <v>0</v>
      </c>
      <c r="S562" s="70">
        <f>+[22]Result!$L$43-[20]Result!$L$43</f>
        <v>-0.32433893387633361</v>
      </c>
      <c r="AI562" s="73"/>
      <c r="AJ562" s="73"/>
      <c r="AK562" s="73"/>
    </row>
    <row r="563" spans="1:37" hidden="1" outlineLevel="2" x14ac:dyDescent="0.25">
      <c r="A563" s="16" t="s">
        <v>46</v>
      </c>
      <c r="B563" s="13">
        <f>+[1]Result!$L$44-[21]Result!$L$44</f>
        <v>-10.930913647038324</v>
      </c>
      <c r="C563" s="13">
        <f>+[5]Result!$L$44-[1]Result!$L$44</f>
        <v>12.703222403888503</v>
      </c>
      <c r="D563" s="32">
        <f>+[6]Result!$L$44-[5]Result!$L$44</f>
        <v>39.236852598995029</v>
      </c>
      <c r="E563" s="13">
        <f>+[7]Result!$L$44-[6]Result!$L$44</f>
        <v>6.0905675264802994</v>
      </c>
      <c r="F563" s="13">
        <f>+[8]Result!$L$44-[7]Result!$L$44</f>
        <v>-6.9253687220916618</v>
      </c>
      <c r="G563" s="32">
        <f>+[9]Result!$L$44-[8]Result!$L$44</f>
        <v>-252.37605734239878</v>
      </c>
      <c r="H563" s="13">
        <f>+[10]Result!$L$44-[9]Result!$L$44</f>
        <v>1.2707631955254328</v>
      </c>
      <c r="I563" s="13">
        <f>+[11]Result!$L$44-[10]Result!$L$44</f>
        <v>1.6544548022648087</v>
      </c>
      <c r="J563" s="32">
        <f>+[12]Result!$L$44-[11]Result!$L$44</f>
        <v>200.61453477899795</v>
      </c>
      <c r="K563" s="13">
        <f>+[13]Result!$L$44-[12]Result!$L$44</f>
        <v>-1.8638736279353907</v>
      </c>
      <c r="L563" s="13">
        <f>+[14]Result!$L$44-[13]Result!$L$44</f>
        <v>6.8109777227318773</v>
      </c>
      <c r="M563" s="13">
        <f>+[15]Result!$L$44-[14]Result!$L$44</f>
        <v>2885.8742094934305</v>
      </c>
      <c r="N563" s="32">
        <f>+[16]Result!$L$44-[15]Result!$L$44</f>
        <v>0.32075541824281117</v>
      </c>
      <c r="O563" s="13">
        <f>+[17]Result!$L$44-[16]Result!$L$44</f>
        <v>0.39135024429322129</v>
      </c>
      <c r="P563" s="13">
        <f>+[18]Result!$L$44-[17]Result!$L$44</f>
        <v>-837.77165813645297</v>
      </c>
      <c r="Q563" s="32">
        <f>+[19]Result!$L$44-[18]Result!$L$44</f>
        <v>-5.2625419412834162E-2</v>
      </c>
      <c r="R563" s="32">
        <f>+[20]Result!$L$44-[19]Result!$L$44</f>
        <v>0</v>
      </c>
      <c r="S563" s="70">
        <f>+[22]Result!$L$44-[20]Result!$L$44</f>
        <v>-0.59574298480811194</v>
      </c>
      <c r="AI563" s="73"/>
      <c r="AJ563" s="73"/>
      <c r="AK563" s="73"/>
    </row>
    <row r="564" spans="1:37" hidden="1" outlineLevel="2" x14ac:dyDescent="0.25">
      <c r="A564" s="16" t="s">
        <v>47</v>
      </c>
      <c r="B564" s="13">
        <f>+[1]Result!$L$45-[21]Result!$L$45</f>
        <v>-2.8083450336162059</v>
      </c>
      <c r="C564" s="13">
        <f>+[5]Result!$L$45-[1]Result!$L$45</f>
        <v>3.2923693728771468</v>
      </c>
      <c r="D564" s="32">
        <f>+[6]Result!$L$45-[5]Result!$L$45</f>
        <v>-2.5879773103683874</v>
      </c>
      <c r="E564" s="13">
        <f>+[7]Result!$L$45-[6]Result!$L$45</f>
        <v>1.0995737681168976</v>
      </c>
      <c r="F564" s="13">
        <f>+[8]Result!$L$45-[7]Result!$L$45</f>
        <v>-1.2425083150287719</v>
      </c>
      <c r="G564" s="32">
        <f>+[9]Result!$L$45-[8]Result!$L$45</f>
        <v>-110.80098251515847</v>
      </c>
      <c r="H564" s="13">
        <f>+[10]Result!$L$45-[9]Result!$L$45</f>
        <v>1.205525592055892</v>
      </c>
      <c r="I564" s="13">
        <f>+[11]Result!$L$45-[10]Result!$L$45</f>
        <v>1.4473522575185598</v>
      </c>
      <c r="J564" s="32">
        <f>+[12]Result!$L$45-[11]Result!$L$45</f>
        <v>86.670173662238085</v>
      </c>
      <c r="K564" s="13">
        <f>+[13]Result!$L$45-[12]Result!$L$45</f>
        <v>8.6161507264478132E-2</v>
      </c>
      <c r="L564" s="13">
        <f>+[14]Result!$L$45-[13]Result!$L$45</f>
        <v>3.817028137815214</v>
      </c>
      <c r="M564" s="13">
        <f>+[15]Result!$L$45-[14]Result!$L$45</f>
        <v>-4805.5517283221689</v>
      </c>
      <c r="N564" s="32">
        <f>+[16]Result!$L$45-[15]Result!$L$45</f>
        <v>-17.074499079364614</v>
      </c>
      <c r="O564" s="13">
        <f>+[17]Result!$L$45-[16]Result!$L$45</f>
        <v>-29.233114959351951</v>
      </c>
      <c r="P564" s="13">
        <f>+[18]Result!$L$45-[17]Result!$L$45</f>
        <v>-2607.6824356692778</v>
      </c>
      <c r="Q564" s="32">
        <f>+[19]Result!$L$45-[18]Result!$L$45</f>
        <v>4.8672906357060128</v>
      </c>
      <c r="R564" s="32">
        <f>+[20]Result!$L$45-[19]Result!$L$45</f>
        <v>1.7521619134968205</v>
      </c>
      <c r="S564" s="70">
        <f>+[22]Result!$L$45-[20]Result!$L$45</f>
        <v>-14.577622306904232</v>
      </c>
      <c r="AI564" s="73"/>
      <c r="AJ564" s="73"/>
      <c r="AK564" s="73"/>
    </row>
    <row r="565" spans="1:37" hidden="1" outlineLevel="2" x14ac:dyDescent="0.25">
      <c r="A565" s="16" t="s">
        <v>48</v>
      </c>
      <c r="B565" s="13">
        <f>+[1]Result!$L$46-[21]Result!$L$46</f>
        <v>-0.7833160720365413</v>
      </c>
      <c r="C565" s="13">
        <f>+[5]Result!$L$46-[1]Result!$L$46</f>
        <v>0.88407350464217416</v>
      </c>
      <c r="D565" s="32">
        <f>+[6]Result!$L$46-[5]Result!$L$46</f>
        <v>-6.9601033831324912</v>
      </c>
      <c r="E565" s="13">
        <f>+[7]Result!$L$46-[6]Result!$L$46</f>
        <v>0.15077272876465031</v>
      </c>
      <c r="F565" s="13">
        <f>+[8]Result!$L$46-[7]Result!$L$46</f>
        <v>0.15838400995471602</v>
      </c>
      <c r="G565" s="32">
        <f>+[9]Result!$L$46-[8]Result!$L$46</f>
        <v>-46.763027711339646</v>
      </c>
      <c r="H565" s="13">
        <f>+[10]Result!$L$46-[9]Result!$L$46</f>
        <v>0.49252141449846931</v>
      </c>
      <c r="I565" s="13">
        <f>+[11]Result!$L$46-[10]Result!$L$46</f>
        <v>0.92510470121555954</v>
      </c>
      <c r="J565" s="32">
        <f>+[12]Result!$L$46-[11]Result!$L$46</f>
        <v>30.080300722245966</v>
      </c>
      <c r="K565" s="13">
        <f>+[13]Result!$L$46-[12]Result!$L$46</f>
        <v>4.4762848925756771E-2</v>
      </c>
      <c r="L565" s="13">
        <f>+[14]Result!$L$46-[13]Result!$L$46</f>
        <v>1.9393321299903619</v>
      </c>
      <c r="M565" s="13">
        <f>+[15]Result!$L$46-[14]Result!$L$46</f>
        <v>-1782.6225371114688</v>
      </c>
      <c r="N565" s="32">
        <f>+[16]Result!$L$46-[15]Result!$L$46</f>
        <v>-8.1477961443342792</v>
      </c>
      <c r="O565" s="13">
        <f>+[17]Result!$L$46-[16]Result!$L$46</f>
        <v>-12.829793829967457</v>
      </c>
      <c r="P565" s="13">
        <f>+[18]Result!$L$46-[17]Result!$L$46</f>
        <v>-1791.5872980106687</v>
      </c>
      <c r="Q565" s="32">
        <f>+[19]Result!$L$46-[18]Result!$L$46</f>
        <v>2.0577318151572399</v>
      </c>
      <c r="R565" s="32">
        <f>+[20]Result!$L$46-[19]Result!$L$46</f>
        <v>0.83917437274976692</v>
      </c>
      <c r="S565" s="70">
        <f>+[22]Result!$L$46-[20]Result!$L$46</f>
        <v>-6.7312509721832612</v>
      </c>
      <c r="AI565" s="73"/>
      <c r="AJ565" s="73"/>
      <c r="AK565" s="73"/>
    </row>
    <row r="566" spans="1:37" hidden="1" outlineLevel="2" x14ac:dyDescent="0.25">
      <c r="A566" s="16" t="s">
        <v>49</v>
      </c>
      <c r="B566" s="13">
        <f>+[1]Result!$L$47-[21]Result!$L$47</f>
        <v>-0.36339576873353963</v>
      </c>
      <c r="C566" s="13">
        <f>+[5]Result!$L$47-[1]Result!$L$47</f>
        <v>0.41700444271361903</v>
      </c>
      <c r="D566" s="32">
        <f>+[6]Result!$L$47-[5]Result!$L$47</f>
        <v>-7.859152951818146</v>
      </c>
      <c r="E566" s="13">
        <f>+[7]Result!$L$47-[6]Result!$L$47</f>
        <v>7.6253235492799831E-2</v>
      </c>
      <c r="F566" s="13">
        <f>+[8]Result!$L$47-[7]Result!$L$47</f>
        <v>0.27992621288422015</v>
      </c>
      <c r="G566" s="32">
        <f>+[9]Result!$L$47-[8]Result!$L$47</f>
        <v>-21.445647063565957</v>
      </c>
      <c r="H566" s="13">
        <f>+[10]Result!$L$47-[9]Result!$L$47</f>
        <v>0.44623187785771279</v>
      </c>
      <c r="I566" s="13">
        <f>+[11]Result!$L$47-[10]Result!$L$47</f>
        <v>0.48548294681665993</v>
      </c>
      <c r="J566" s="32">
        <f>+[12]Result!$L$47-[11]Result!$L$47</f>
        <v>12.645498346381487</v>
      </c>
      <c r="K566" s="13">
        <f>+[13]Result!$L$47-[12]Result!$L$47</f>
        <v>2.6973651706043711E-2</v>
      </c>
      <c r="L566" s="13">
        <f>+[14]Result!$L$47-[13]Result!$L$47</f>
        <v>1.3489096006367163</v>
      </c>
      <c r="M566" s="13">
        <f>+[15]Result!$L$47-[14]Result!$L$47</f>
        <v>-660.69748635585802</v>
      </c>
      <c r="N566" s="32">
        <f>+[16]Result!$L$47-[15]Result!$L$47</f>
        <v>-4.1338053479098562</v>
      </c>
      <c r="O566" s="13">
        <f>+[17]Result!$L$47-[16]Result!$L$47</f>
        <v>-5.8098458627860055</v>
      </c>
      <c r="P566" s="13">
        <f>+[18]Result!$L$47-[17]Result!$L$47</f>
        <v>-650.89268389440713</v>
      </c>
      <c r="Q566" s="32">
        <f>+[19]Result!$L$47-[18]Result!$L$47</f>
        <v>-0.117043594939787</v>
      </c>
      <c r="R566" s="32">
        <f>+[20]Result!$L$47-[19]Result!$L$47</f>
        <v>0.33687534726095691</v>
      </c>
      <c r="S566" s="70">
        <f>+[22]Result!$L$47-[20]Result!$L$47</f>
        <v>-3.3070822627728376</v>
      </c>
      <c r="AI566" s="73"/>
      <c r="AJ566" s="73"/>
      <c r="AK566" s="73"/>
    </row>
    <row r="567" spans="1:37" hidden="1" outlineLevel="2" x14ac:dyDescent="0.25">
      <c r="A567" s="16" t="s">
        <v>50</v>
      </c>
      <c r="B567" s="13">
        <f>+[1]Result!$L$48-[21]Result!$L$48</f>
        <v>-0.10774078363937178</v>
      </c>
      <c r="C567" s="13">
        <f>+[5]Result!$L$48-[1]Result!$L$48</f>
        <v>0.14218854586027874</v>
      </c>
      <c r="D567" s="32">
        <f>+[6]Result!$L$48-[5]Result!$L$48</f>
        <v>-2.5848331514659435</v>
      </c>
      <c r="E567" s="13">
        <f>+[7]Result!$L$48-[6]Result!$L$48</f>
        <v>-0.12838714741309332</v>
      </c>
      <c r="F567" s="13">
        <f>+[8]Result!$L$48-[7]Result!$L$48</f>
        <v>0.24724804039260562</v>
      </c>
      <c r="G567" s="32">
        <f>+[9]Result!$L$48-[8]Result!$L$48</f>
        <v>-11.179879177767077</v>
      </c>
      <c r="H567" s="13">
        <f>+[10]Result!$L$48-[9]Result!$L$48</f>
        <v>0.37624090090901063</v>
      </c>
      <c r="I567" s="13">
        <f>+[11]Result!$L$48-[10]Result!$L$48</f>
        <v>0.40893450543813969</v>
      </c>
      <c r="J567" s="32">
        <f>+[12]Result!$L$48-[11]Result!$L$48</f>
        <v>7.4580070397374243</v>
      </c>
      <c r="K567" s="13">
        <f>+[13]Result!$L$48-[12]Result!$L$48</f>
        <v>1.8502170056137857E-2</v>
      </c>
      <c r="L567" s="13">
        <f>+[14]Result!$L$48-[13]Result!$L$48</f>
        <v>1.0244472727047196</v>
      </c>
      <c r="M567" s="13">
        <f>+[15]Result!$L$48-[14]Result!$L$48</f>
        <v>-299.89809645598962</v>
      </c>
      <c r="N567" s="32">
        <f>+[16]Result!$L$48-[15]Result!$L$48</f>
        <v>-2.0295474884710529</v>
      </c>
      <c r="O567" s="13">
        <f>+[17]Result!$L$48-[16]Result!$L$48</f>
        <v>-3.5778039312729106</v>
      </c>
      <c r="P567" s="13">
        <f>+[18]Result!$L$48-[17]Result!$L$48</f>
        <v>-209.9109392001792</v>
      </c>
      <c r="Q567" s="32">
        <f>+[19]Result!$L$48-[18]Result!$L$48</f>
        <v>0.51616717126512413</v>
      </c>
      <c r="R567" s="32">
        <f>+[20]Result!$L$48-[19]Result!$L$48</f>
        <v>0.1438884804913414</v>
      </c>
      <c r="S567" s="70">
        <f>+[22]Result!$L$48-[20]Result!$L$48</f>
        <v>-1.8215061980192786</v>
      </c>
      <c r="AI567" s="73"/>
      <c r="AJ567" s="73"/>
      <c r="AK567" s="73"/>
    </row>
    <row r="568" spans="1:37" hidden="1" outlineLevel="2" x14ac:dyDescent="0.25">
      <c r="A568" s="16" t="s">
        <v>51</v>
      </c>
      <c r="B568" s="13">
        <f>+[1]Result!$L$49-[21]Result!$L$49</f>
        <v>7.2028371339598607E-2</v>
      </c>
      <c r="C568" s="13">
        <f>+[5]Result!$L$49-[1]Result!$L$49</f>
        <v>-5.0215684835734464E-2</v>
      </c>
      <c r="D568" s="32">
        <f>+[6]Result!$L$49-[5]Result!$L$49</f>
        <v>-2.2133843262700452</v>
      </c>
      <c r="E568" s="13">
        <f>+[7]Result!$L$49-[6]Result!$L$49</f>
        <v>-0.19063271269394022</v>
      </c>
      <c r="F568" s="13">
        <f>+[8]Result!$L$49-[7]Result!$L$49</f>
        <v>0.18435020205998853</v>
      </c>
      <c r="G568" s="32">
        <f>+[9]Result!$L$49-[8]Result!$L$49</f>
        <v>-6.9614554254145844</v>
      </c>
      <c r="H568" s="13">
        <f>+[10]Result!$L$49-[9]Result!$L$49</f>
        <v>0.20899036654643055</v>
      </c>
      <c r="I568" s="13">
        <f>+[11]Result!$L$49-[10]Result!$L$49</f>
        <v>0.2854748336513353</v>
      </c>
      <c r="J568" s="32">
        <f>+[12]Result!$L$49-[11]Result!$L$49</f>
        <v>4.1350495336485551</v>
      </c>
      <c r="K568" s="13">
        <f>+[13]Result!$L$49-[12]Result!$L$49</f>
        <v>-5.5506266339989452E-2</v>
      </c>
      <c r="L568" s="13">
        <f>+[14]Result!$L$49-[13]Result!$L$49</f>
        <v>0.63655479521577263</v>
      </c>
      <c r="M568" s="13">
        <f>+[15]Result!$L$49-[14]Result!$L$49</f>
        <v>-154.39062545407447</v>
      </c>
      <c r="N568" s="32">
        <f>+[16]Result!$L$49-[15]Result!$L$49</f>
        <v>-1.0807715107926015</v>
      </c>
      <c r="O568" s="13">
        <f>+[17]Result!$L$49-[16]Result!$L$49</f>
        <v>-2.2965770715036342</v>
      </c>
      <c r="P568" s="13">
        <f>+[18]Result!$L$49-[17]Result!$L$49</f>
        <v>-84.202451914091512</v>
      </c>
      <c r="Q568" s="32">
        <f>+[19]Result!$L$49-[18]Result!$L$49</f>
        <v>0.46524635574155582</v>
      </c>
      <c r="R568" s="32">
        <f>+[20]Result!$L$49-[19]Result!$L$49</f>
        <v>7.3513053138299256E-2</v>
      </c>
      <c r="S568" s="70">
        <f>+[22]Result!$L$49-[20]Result!$L$49</f>
        <v>-1.1794357991599327</v>
      </c>
      <c r="AI568" s="73"/>
      <c r="AJ568" s="73"/>
      <c r="AK568" s="73"/>
    </row>
    <row r="569" spans="1:37" hidden="1" outlineLevel="2" x14ac:dyDescent="0.25">
      <c r="A569" s="16" t="s">
        <v>52</v>
      </c>
      <c r="B569" s="13">
        <f>+[1]Result!$L$50-[21]Result!$L$50</f>
        <v>8.3845689770953413E-2</v>
      </c>
      <c r="C569" s="13">
        <f>+[5]Result!$L$50-[1]Result!$L$50</f>
        <v>-6.9831770350020861E-2</v>
      </c>
      <c r="D569" s="32">
        <f>+[6]Result!$L$50-[5]Result!$L$50</f>
        <v>-1.0133201971536749</v>
      </c>
      <c r="E569" s="13">
        <f>+[7]Result!$L$50-[6]Result!$L$50</f>
        <v>-0.14112446105089305</v>
      </c>
      <c r="F569" s="13">
        <f>+[8]Result!$L$50-[7]Result!$L$50</f>
        <v>0.17348010013270709</v>
      </c>
      <c r="G569" s="32">
        <f>+[9]Result!$L$50-[8]Result!$L$50</f>
        <v>-3.8963792702375599</v>
      </c>
      <c r="H569" s="13">
        <f>+[10]Result!$L$50-[9]Result!$L$50</f>
        <v>0.13845623066495705</v>
      </c>
      <c r="I569" s="13">
        <f>+[11]Result!$L$50-[10]Result!$L$50</f>
        <v>0.15693910746963979</v>
      </c>
      <c r="J569" s="32">
        <f>+[12]Result!$L$50-[11]Result!$L$50</f>
        <v>2.8086912001333246</v>
      </c>
      <c r="K569" s="13">
        <f>+[13]Result!$L$50-[12]Result!$L$50</f>
        <v>7.1828919538177161E-3</v>
      </c>
      <c r="L569" s="13">
        <f>+[14]Result!$L$50-[13]Result!$L$50</f>
        <v>0.37044939701856094</v>
      </c>
      <c r="M569" s="13">
        <f>+[15]Result!$L$50-[14]Result!$L$50</f>
        <v>-77.035479371618962</v>
      </c>
      <c r="N569" s="32">
        <f>+[16]Result!$L$50-[15]Result!$L$50</f>
        <v>-0.64236006132330203</v>
      </c>
      <c r="O569" s="13">
        <f>+[17]Result!$L$50-[16]Result!$L$50</f>
        <v>-1.2617234145765792</v>
      </c>
      <c r="P569" s="13">
        <f>+[18]Result!$L$50-[17]Result!$L$50</f>
        <v>-43.13847329779594</v>
      </c>
      <c r="Q569" s="32">
        <f>+[19]Result!$L$50-[18]Result!$L$50</f>
        <v>0.31000489221605676</v>
      </c>
      <c r="R569" s="32">
        <f>+[20]Result!$L$50-[19]Result!$L$50</f>
        <v>-4.6455422667804669E-2</v>
      </c>
      <c r="S569" s="70">
        <f>+[22]Result!$L$50-[20]Result!$L$50</f>
        <v>-0.71607616594803858</v>
      </c>
      <c r="AI569" s="73"/>
      <c r="AJ569" s="73"/>
      <c r="AK569" s="73"/>
    </row>
    <row r="570" spans="1:37" hidden="1" outlineLevel="2" x14ac:dyDescent="0.25">
      <c r="A570" s="16" t="s">
        <v>53</v>
      </c>
      <c r="B570" s="13">
        <f>+[1]Result!$L$51-[21]Result!$L$51</f>
        <v>6.1206906902953051E-2</v>
      </c>
      <c r="C570" s="13">
        <f>+[5]Result!$L$51-[1]Result!$L$51</f>
        <v>-5.2482143911987578E-2</v>
      </c>
      <c r="D570" s="32">
        <f>+[6]Result!$L$51-[5]Result!$L$51</f>
        <v>-0.56324629453384034</v>
      </c>
      <c r="E570" s="13">
        <f>+[7]Result!$L$51-[6]Result!$L$51</f>
        <v>-9.3040442311405513E-2</v>
      </c>
      <c r="F570" s="13">
        <f>+[8]Result!$L$51-[7]Result!$L$51</f>
        <v>0.13507054972652099</v>
      </c>
      <c r="G570" s="32">
        <f>+[9]Result!$L$51-[8]Result!$L$51</f>
        <v>-2.3539991334619401</v>
      </c>
      <c r="H570" s="13">
        <f>+[10]Result!$L$51-[9]Result!$L$51</f>
        <v>9.2111911210508879E-2</v>
      </c>
      <c r="I570" s="13">
        <f>+[11]Result!$L$51-[10]Result!$L$51</f>
        <v>0.10341161346700289</v>
      </c>
      <c r="J570" s="32">
        <f>+[12]Result!$L$51-[11]Result!$L$51</f>
        <v>1.8828285073076145</v>
      </c>
      <c r="K570" s="13">
        <f>+[13]Result!$L$51-[12]Result!$L$51</f>
        <v>4.2414417122529358E-3</v>
      </c>
      <c r="L570" s="13">
        <f>+[14]Result!$L$51-[13]Result!$L$51</f>
        <v>0.2305572867776462</v>
      </c>
      <c r="M570" s="13">
        <f>+[15]Result!$L$51-[14]Result!$L$51</f>
        <v>-29.341131354263908</v>
      </c>
      <c r="N570" s="32">
        <f>+[16]Result!$L$51-[15]Result!$L$51</f>
        <v>-0.31708590515951585</v>
      </c>
      <c r="O570" s="13">
        <f>+[17]Result!$L$51-[16]Result!$L$51</f>
        <v>-0.59426647477748418</v>
      </c>
      <c r="P570" s="13">
        <f>+[18]Result!$L$51-[17]Result!$L$51</f>
        <v>-25.433648847036352</v>
      </c>
      <c r="Q570" s="32">
        <f>+[19]Result!$L$51-[18]Result!$L$51</f>
        <v>0.13985831872645349</v>
      </c>
      <c r="R570" s="32">
        <f>+[20]Result!$L$51-[19]Result!$L$51</f>
        <v>-4.0843620172296369E-2</v>
      </c>
      <c r="S570" s="70">
        <f>+[22]Result!$L$51-[20]Result!$L$51</f>
        <v>-0.31214352199020823</v>
      </c>
      <c r="AI570" s="73"/>
      <c r="AJ570" s="73"/>
      <c r="AK570" s="73"/>
    </row>
    <row r="571" spans="1:37" hidden="1" outlineLevel="2" x14ac:dyDescent="0.25">
      <c r="A571" s="16" t="s">
        <v>54</v>
      </c>
      <c r="B571" s="13">
        <f>+[1]Result!$L$52-[21]Result!$L$52</f>
        <v>3.5543309573224491E-2</v>
      </c>
      <c r="C571" s="13">
        <f>+[5]Result!$L$52-[1]Result!$L$52</f>
        <v>-4.0758170373223379E-2</v>
      </c>
      <c r="D571" s="32">
        <f>+[6]Result!$L$52-[5]Result!$L$52</f>
        <v>0.13978539802723944</v>
      </c>
      <c r="E571" s="13">
        <f>+[7]Result!$L$52-[6]Result!$L$52</f>
        <v>-5.1757764357954983E-2</v>
      </c>
      <c r="F571" s="13">
        <f>+[8]Result!$L$52-[7]Result!$L$52</f>
        <v>6.9613799517604491E-2</v>
      </c>
      <c r="G571" s="32">
        <f>+[9]Result!$L$52-[8]Result!$L$52</f>
        <v>-1.4205786004430685</v>
      </c>
      <c r="H571" s="13">
        <f>+[10]Result!$L$52-[9]Result!$L$52</f>
        <v>4.33019015128977E-2</v>
      </c>
      <c r="I571" s="13">
        <f>+[11]Result!$L$52-[10]Result!$L$52</f>
        <v>5.3314424115399106E-2</v>
      </c>
      <c r="J571" s="32">
        <f>+[12]Result!$L$52-[11]Result!$L$52</f>
        <v>0.9846313711405692</v>
      </c>
      <c r="K571" s="13">
        <f>+[13]Result!$L$52-[12]Result!$L$52</f>
        <v>-6.9374669935058364E-3</v>
      </c>
      <c r="L571" s="13">
        <f>+[14]Result!$L$52-[13]Result!$L$52</f>
        <v>0.11778714013641434</v>
      </c>
      <c r="M571" s="13">
        <f>+[15]Result!$L$52-[14]Result!$L$52</f>
        <v>-3.7773816495198034</v>
      </c>
      <c r="N571" s="32">
        <f>+[16]Result!$L$52-[15]Result!$L$52</f>
        <v>-9.1157722770113025E-2</v>
      </c>
      <c r="O571" s="13">
        <f>+[17]Result!$L$52-[16]Result!$L$52</f>
        <v>-0.18937178321507986</v>
      </c>
      <c r="P571" s="13">
        <f>+[18]Result!$L$52-[17]Result!$L$52</f>
        <v>-14.880051947142015</v>
      </c>
      <c r="Q571" s="32">
        <f>+[19]Result!$L$52-[18]Result!$L$52</f>
        <v>3.3785858303872374E-2</v>
      </c>
      <c r="R571" s="32">
        <f>+[20]Result!$L$52-[19]Result!$L$52</f>
        <v>7.2277801868239067E-3</v>
      </c>
      <c r="S571" s="70">
        <f>+[22]Result!$L$52-[20]Result!$L$52</f>
        <v>-0.11972023922497499</v>
      </c>
      <c r="AI571" s="73"/>
      <c r="AJ571" s="73"/>
      <c r="AK571" s="73"/>
    </row>
    <row r="572" spans="1:37" hidden="1" outlineLevel="2" x14ac:dyDescent="0.25">
      <c r="A572" s="16" t="s">
        <v>55</v>
      </c>
      <c r="B572" s="13">
        <f>+[1]Result!$L$53-[21]Result!$L$53</f>
        <v>1.3381868484533044E-2</v>
      </c>
      <c r="C572" s="13">
        <f>+[5]Result!$L$53-[1]Result!$L$53</f>
        <v>-1.8797434194883778E-2</v>
      </c>
      <c r="D572" s="32">
        <f>+[6]Result!$L$53-[5]Result!$L$53</f>
        <v>0.1729900695407629</v>
      </c>
      <c r="E572" s="13">
        <f>+[7]Result!$L$53-[6]Result!$L$53</f>
        <v>-2.1638305651631384E-2</v>
      </c>
      <c r="F572" s="13">
        <f>+[8]Result!$L$53-[7]Result!$L$53</f>
        <v>2.7818951358142385E-2</v>
      </c>
      <c r="G572" s="32">
        <f>+[9]Result!$L$53-[8]Result!$L$53</f>
        <v>-0.2964961609562824</v>
      </c>
      <c r="H572" s="13">
        <f>+[10]Result!$L$53-[9]Result!$L$53</f>
        <v>1.4327685380353117E-2</v>
      </c>
      <c r="I572" s="13">
        <f>+[11]Result!$L$53-[10]Result!$L$53</f>
        <v>2.2635200741019545E-2</v>
      </c>
      <c r="J572" s="32">
        <f>+[12]Result!$L$53-[11]Result!$L$53</f>
        <v>0.42437711062190608</v>
      </c>
      <c r="K572" s="13">
        <f>+[13]Result!$L$53-[12]Result!$L$53</f>
        <v>7.5631420095589874E-4</v>
      </c>
      <c r="L572" s="13">
        <f>+[14]Result!$L$53-[13]Result!$L$53</f>
        <v>4.2370954460615451E-2</v>
      </c>
      <c r="M572" s="13">
        <f>+[15]Result!$L$53-[14]Result!$L$53</f>
        <v>3.4887329187459959</v>
      </c>
      <c r="N572" s="32">
        <f>+[16]Result!$L$53-[15]Result!$L$53</f>
        <v>-2.9268468261497427E-3</v>
      </c>
      <c r="O572" s="13">
        <f>+[17]Result!$L$53-[16]Result!$L$53</f>
        <v>-6.3939257596767884E-3</v>
      </c>
      <c r="P572" s="13">
        <f>+[18]Result!$L$53-[17]Result!$L$53</f>
        <v>-5.8291336420687516</v>
      </c>
      <c r="Q572" s="32">
        <f>+[19]Result!$L$53-[18]Result!$L$53</f>
        <v>1.0871610544668897E-2</v>
      </c>
      <c r="R572" s="32">
        <f>+[20]Result!$L$53-[19]Result!$L$53</f>
        <v>3.0292593162144499E-3</v>
      </c>
      <c r="S572" s="70">
        <f>+[22]Result!$L$53-[20]Result!$L$53</f>
        <v>-2.8303310519721236E-2</v>
      </c>
      <c r="AI572" s="73"/>
      <c r="AJ572" s="73"/>
      <c r="AK572" s="73"/>
    </row>
    <row r="573" spans="1:37" hidden="1" outlineLevel="2" x14ac:dyDescent="0.25">
      <c r="A573" s="16" t="s">
        <v>56</v>
      </c>
      <c r="B573" s="13">
        <f>+[1]Result!$L$54-[21]Result!$L$54</f>
        <v>3.5325960008005808E-3</v>
      </c>
      <c r="C573" s="13">
        <f>+[5]Result!$L$54-[1]Result!$L$54</f>
        <v>-4.8773508239094987E-3</v>
      </c>
      <c r="D573" s="32">
        <f>+[6]Result!$L$54-[5]Result!$L$54</f>
        <v>0.12076756573323921</v>
      </c>
      <c r="E573" s="13">
        <f>+[7]Result!$L$54-[6]Result!$L$54</f>
        <v>-4.8722852782705495E-3</v>
      </c>
      <c r="F573" s="13">
        <f>+[8]Result!$L$54-[7]Result!$L$54</f>
        <v>6.5561570467806973E-3</v>
      </c>
      <c r="G573" s="32">
        <f>+[9]Result!$L$54-[8]Result!$L$54</f>
        <v>-0.13230616032396325</v>
      </c>
      <c r="H573" s="13">
        <f>+[10]Result!$L$54-[9]Result!$L$54</f>
        <v>4.4292131699137371E-3</v>
      </c>
      <c r="I573" s="13">
        <f>+[11]Result!$L$54-[10]Result!$L$54</f>
        <v>6.665625183174928E-3</v>
      </c>
      <c r="J573" s="32">
        <f>+[12]Result!$L$54-[11]Result!$L$54</f>
        <v>0.11901497277875883</v>
      </c>
      <c r="K573" s="13">
        <f>+[13]Result!$L$54-[12]Result!$L$54</f>
        <v>1.0126573802073935E-3</v>
      </c>
      <c r="L573" s="13">
        <f>+[14]Result!$L$54-[13]Result!$L$54</f>
        <v>1.0940229774886845E-2</v>
      </c>
      <c r="M573" s="13">
        <f>+[15]Result!$L$54-[14]Result!$L$54</f>
        <v>1.0187990245058876</v>
      </c>
      <c r="N573" s="32">
        <f>+[16]Result!$L$54-[15]Result!$L$54</f>
        <v>6.3547118820431962E-6</v>
      </c>
      <c r="O573" s="13">
        <f>+[17]Result!$L$54-[16]Result!$L$54</f>
        <v>1.375617621787251E-5</v>
      </c>
      <c r="P573" s="13">
        <f>+[18]Result!$L$54-[17]Result!$L$54</f>
        <v>-2.404080878111621E-6</v>
      </c>
      <c r="Q573" s="32">
        <f>+[19]Result!$L$54-[18]Result!$L$54</f>
        <v>-2.278423712845281E-6</v>
      </c>
      <c r="R573" s="32">
        <f>+[20]Result!$L$54-[19]Result!$L$54</f>
        <v>2.4618407681734414E-7</v>
      </c>
      <c r="S573" s="70">
        <f>+[22]Result!$L$54-[20]Result!$L$54</f>
        <v>4.918840995194948E-6</v>
      </c>
      <c r="AI573" s="73"/>
      <c r="AJ573" s="73"/>
      <c r="AK573" s="73"/>
    </row>
    <row r="574" spans="1:37" collapsed="1" x14ac:dyDescent="0.25">
      <c r="A574" s="12" t="s">
        <v>92</v>
      </c>
      <c r="B574" s="13">
        <f>+SUM([1]Result!$G$5:$G$54)-SUM([21]Result!$G$5:$G$54)</f>
        <v>2126755.1734800339</v>
      </c>
      <c r="C574" s="13">
        <f>+SUM([5]Result!$G$5:$G$54)-SUM([1]Result!$G$5:$G$54)</f>
        <v>-4077622.9985109568</v>
      </c>
      <c r="D574" s="32">
        <f>+SUM([6]Result!$G$5:$G$54)-SUM([5]Result!$G$5:$G$54)</f>
        <v>-29110461.187225461</v>
      </c>
      <c r="E574" s="13">
        <f>+SUM([7]Result!$G$5:$G$54)-SUM([6]Result!$G$5:$G$54)</f>
        <v>-9432443.7490408421</v>
      </c>
      <c r="F574" s="13">
        <f>+SUM([8]Result!$G$5:$G$54)-SUM([7]Result!$G$5:$G$54)</f>
        <v>2298597.7003694773</v>
      </c>
      <c r="G574" s="32">
        <f>+SUM([9]Result!$G$5:$G$54)-SUM([8]Result!$G$5:$G$54)</f>
        <v>33416362.382900357</v>
      </c>
      <c r="H574" s="13">
        <f>+SUM([10]Result!$G$5:$G$54)-SUM([9]Result!$G$5:$G$54)</f>
        <v>3024519.7261550426</v>
      </c>
      <c r="I574" s="13">
        <f>+SUM([11]Result!$G$5:$G$54)-SUM([10]Result!$G$5:$G$54)</f>
        <v>-808322.94152581692</v>
      </c>
      <c r="J574" s="32">
        <f>+SUM([12]Result!$G$5:$G$54)-SUM([11]Result!$G$5:$G$54)</f>
        <v>-429072.28116881847</v>
      </c>
      <c r="K574" s="13">
        <f>+SUM([13]Result!$G$5:$G$54)-SUM([12]Result!$G$5:$G$54)</f>
        <v>-1111498.301405549</v>
      </c>
      <c r="L574" s="13">
        <f>+SUM([14]Result!$G$5:$G$54)-SUM([13]Result!$G$5:$G$54)</f>
        <v>2687087.2716757059</v>
      </c>
      <c r="M574" s="32">
        <f>+SUM([15]Result!$G$5:$G$54)-SUM([14]Result!$G$5:$G$54)</f>
        <v>96810098.547351956</v>
      </c>
      <c r="N574" s="13">
        <f>+SUM([16]Result!$G$5:$G$54)-SUM([15]Result!$G$5:$G$54)</f>
        <v>-1393270.5911107063</v>
      </c>
      <c r="O574" s="13">
        <f>+SUM([17]Result!$G$5:$G$54)-SUM([16]Result!$G$5:$G$54)</f>
        <v>-3927910.4789465666</v>
      </c>
      <c r="P574" s="32">
        <f>+SUM([18]Result!$G$5:$G$54)-SUM([17]Result!$G$5:$G$54)</f>
        <v>-89445318.813609004</v>
      </c>
      <c r="Q574" s="13">
        <f>+SUM([19]Result!$G$5:$G$54)-SUM([18]Result!$G$5:$G$54)</f>
        <v>842195.44828701019</v>
      </c>
      <c r="R574" s="13">
        <f>+SUM([20]Result!$G$5:$G$54)-SUM([19]Result!$G$5:$G$54)</f>
        <v>-3205571.0394715071</v>
      </c>
      <c r="S574" s="70">
        <f>+SUM([22]Result!$G$5:$G$54)-SUM([20]Result!$G$5:$G$54)</f>
        <v>-1076940.2659077644</v>
      </c>
      <c r="T574" s="13">
        <f>+B574-(B575+B581+B587+B598+B609)</f>
        <v>7.8231096267700195E-8</v>
      </c>
      <c r="U574" s="13">
        <f t="shared" ref="U574:W574" si="427">+C574-(C575+C581+C587+C598+C609)</f>
        <v>1.6810372471809387E-7</v>
      </c>
      <c r="V574" s="13">
        <f t="shared" si="427"/>
        <v>-1.0058283805847168E-7</v>
      </c>
      <c r="W574" s="13">
        <f t="shared" si="427"/>
        <v>-1.5087425708770752E-7</v>
      </c>
      <c r="X574" s="13">
        <f t="shared" ref="X574" si="428">+F574-(F575+F581+F587+F598+F609)</f>
        <v>6.8452209234237671E-8</v>
      </c>
      <c r="Y574" s="13">
        <f t="shared" ref="Y574:AE574" si="429">+G574-(G575+G581+G587+G598+G609)</f>
        <v>-1.7508864402770996E-7</v>
      </c>
      <c r="Z574" s="13">
        <f t="shared" si="429"/>
        <v>-2.384185791015625E-7</v>
      </c>
      <c r="AA574" s="13">
        <f t="shared" si="429"/>
        <v>6.5867789089679718E-7</v>
      </c>
      <c r="AB574" s="13">
        <f t="shared" si="429"/>
        <v>1.9004801288247108E-7</v>
      </c>
      <c r="AC574" s="13">
        <f t="shared" si="429"/>
        <v>-5.2386894822120667E-7</v>
      </c>
      <c r="AD574" s="13">
        <f t="shared" si="429"/>
        <v>3.1944364309310913E-7</v>
      </c>
      <c r="AE574" s="13">
        <f t="shared" si="429"/>
        <v>2.9802322387695313E-7</v>
      </c>
      <c r="AF574" s="13">
        <f t="shared" ref="AF574" si="430">+N574-(N575+N581+N587+N598+N609)</f>
        <v>-4.7706998884677887E-7</v>
      </c>
      <c r="AG574" s="13">
        <f t="shared" ref="AG574:AH574" si="431">+O574-(O575+O581+O587+O598+O609)</f>
        <v>-3.3341348171234131E-7</v>
      </c>
      <c r="AH574" s="13">
        <f t="shared" si="431"/>
        <v>3.1292438507080078E-7</v>
      </c>
      <c r="AI574" s="73">
        <f t="shared" ref="AI574" si="432">+Q574-(Q575+Q581+Q587+Q598+Q609)</f>
        <v>-1.8067657947540283E-7</v>
      </c>
      <c r="AJ574" s="73">
        <f t="shared" ref="AJ574:AK574" si="433">+R574-(R575+R581+R587+R598+R609)</f>
        <v>-6.4726918935775757E-8</v>
      </c>
      <c r="AK574" s="73">
        <f t="shared" si="433"/>
        <v>5.2200630307197571E-7</v>
      </c>
    </row>
    <row r="575" spans="1:37" hidden="1" outlineLevel="1" x14ac:dyDescent="0.25">
      <c r="A575" s="15" t="s">
        <v>2</v>
      </c>
      <c r="B575" s="13">
        <f>+'[1]Stat by Mat'!$J$3-'[21]Stat by Mat'!$J$3</f>
        <v>1198041.358710885</v>
      </c>
      <c r="C575" s="13">
        <f>+'[5]Stat by Mat'!$J$3-'[1]Stat by Mat'!$J$3</f>
        <v>-2504266.4317715168</v>
      </c>
      <c r="D575" s="32">
        <f>+'[6]Stat by Mat'!$J$3-'[5]Stat by Mat'!$J$3</f>
        <v>-39717411.737403989</v>
      </c>
      <c r="E575" s="13">
        <f>+'[7]Stat by Mat'!$J$3-'[6]Stat by Mat'!$J$3</f>
        <v>-5717323.8423985243</v>
      </c>
      <c r="F575" s="13">
        <f>+'[8]Stat by Mat'!$J$3-'[7]Stat by Mat'!$J$3</f>
        <v>948503.19450473785</v>
      </c>
      <c r="G575" s="32">
        <f>+'[9]Stat by Mat'!$J$3-'[8]Stat by Mat'!$J$3</f>
        <v>32439650.117127657</v>
      </c>
      <c r="H575" s="13">
        <f>+'[10]Stat by Mat'!$J$3-'[9]Stat by Mat'!$J$3</f>
        <v>1753839.4855736494</v>
      </c>
      <c r="I575" s="13">
        <f>+'[11]Stat by Mat'!$J$3-'[10]Stat by Mat'!$J$3</f>
        <v>-721405.34948670864</v>
      </c>
      <c r="J575" s="32">
        <f>+'[12]Stat by Mat'!$J$3-'[11]Stat by Mat'!$J$3</f>
        <v>271258.84529447556</v>
      </c>
      <c r="K575" s="13">
        <f>+'[13]Stat by Mat'!$J$3-'[12]Stat by Mat'!$J$3</f>
        <v>-540081.44423139095</v>
      </c>
      <c r="L575" s="13">
        <f>+'[14]Stat by Mat'!$J$3-'[13]Stat by Mat'!$J$3</f>
        <v>840015.07156407833</v>
      </c>
      <c r="M575" s="13">
        <f>+'[15]Stat by Mat'!$J$3-'[14]Stat by Mat'!$J$3</f>
        <v>66153468.423746586</v>
      </c>
      <c r="N575" s="32">
        <f>+'[16]Stat by Mat'!$J$3-'[15]Stat by Mat'!$J$3</f>
        <v>-632115.00893115997</v>
      </c>
      <c r="O575" s="13">
        <f>+'[17]Stat by Mat'!$J$3-'[16]Stat by Mat'!$J$3</f>
        <v>-1580435.4661443233</v>
      </c>
      <c r="P575" s="13">
        <f>+'[18]Stat by Mat'!$J$3-'[17]Stat by Mat'!$J$3</f>
        <v>-87856222.480308294</v>
      </c>
      <c r="Q575" s="32">
        <f>+'[19]Stat by Mat'!$J$3-'[18]Stat by Mat'!$J$3</f>
        <v>698252.29641819</v>
      </c>
      <c r="R575" s="32">
        <f>+'[20]Stat by Mat'!$J$3-'[19]Stat by Mat'!$J$3</f>
        <v>-2123936.1569026709</v>
      </c>
      <c r="S575" s="70">
        <f>+'[22]Stat by Mat'!$J$3-'[20]Stat by Mat'!$J$3</f>
        <v>-300805.54331743717</v>
      </c>
      <c r="T575" s="13">
        <f>+B575-SUM(B576:B580)</f>
        <v>7.4505805969238281E-8</v>
      </c>
      <c r="U575" s="13">
        <f t="shared" ref="U575:W575" si="434">+C575-SUM(C576:C580)</f>
        <v>8.1956386566162109E-8</v>
      </c>
      <c r="V575" s="13">
        <f t="shared" si="434"/>
        <v>8.9406967163085938E-8</v>
      </c>
      <c r="W575" s="13">
        <f t="shared" si="434"/>
        <v>-1.4901161193847656E-7</v>
      </c>
      <c r="X575" s="13">
        <f t="shared" ref="X575" si="435">+F575-SUM(F576:F580)</f>
        <v>-1.4156103134155273E-7</v>
      </c>
      <c r="Y575" s="13">
        <f t="shared" ref="Y575:AE575" si="436">+G575-SUM(G576:G580)</f>
        <v>1.0430812835693359E-7</v>
      </c>
      <c r="Z575" s="13">
        <f t="shared" si="436"/>
        <v>1.4901161193847656E-8</v>
      </c>
      <c r="AA575" s="13">
        <f t="shared" si="436"/>
        <v>-2.2351741790771484E-8</v>
      </c>
      <c r="AB575" s="13">
        <f t="shared" si="436"/>
        <v>4.4703483581542969E-8</v>
      </c>
      <c r="AC575" s="13">
        <f t="shared" si="436"/>
        <v>-1.4901161193847656E-8</v>
      </c>
      <c r="AD575" s="13">
        <f t="shared" si="436"/>
        <v>-2.9802322387695313E-8</v>
      </c>
      <c r="AE575" s="13">
        <f t="shared" si="436"/>
        <v>0</v>
      </c>
      <c r="AF575" s="13">
        <f t="shared" ref="AF575" si="437">+N575-SUM(N576:N580)</f>
        <v>-2.6077032089233398E-8</v>
      </c>
      <c r="AG575" s="13">
        <f t="shared" ref="AG575:AH575" si="438">+O575-SUM(O576:O580)</f>
        <v>2.6077032089233398E-8</v>
      </c>
      <c r="AH575" s="13">
        <f t="shared" si="438"/>
        <v>0</v>
      </c>
      <c r="AI575" s="73">
        <f t="shared" ref="AI575" si="439">+Q575-SUM(Q576:Q580)</f>
        <v>-1.4156103134155273E-7</v>
      </c>
      <c r="AJ575" s="73">
        <f t="shared" ref="AJ575:AK575" si="440">+R575-SUM(R576:R580)</f>
        <v>-3.7252902984619141E-8</v>
      </c>
      <c r="AK575" s="73">
        <f t="shared" si="440"/>
        <v>1.6391277313232422E-7</v>
      </c>
    </row>
    <row r="576" spans="1:37" hidden="1" outlineLevel="2" x14ac:dyDescent="0.25">
      <c r="A576" s="16" t="s">
        <v>3</v>
      </c>
      <c r="B576" s="13">
        <f>+[1]Result!$G$5-[21]Result!$G$5</f>
        <v>184723.72736561298</v>
      </c>
      <c r="C576" s="13">
        <f>+[5]Result!$G$5-[1]Result!$G$5</f>
        <v>-499738.8756724</v>
      </c>
      <c r="D576" s="32">
        <f>+[6]Result!$G$5-[5]Result!$G$5</f>
        <v>-981385.19023615122</v>
      </c>
      <c r="E576" s="13">
        <f>+[7]Result!$G$5-[6]Result!$G$5</f>
        <v>-933931.65924966335</v>
      </c>
      <c r="F576" s="13">
        <f>+[8]Result!$G$5-[7]Result!$G$5</f>
        <v>54156.495281755924</v>
      </c>
      <c r="G576" s="32">
        <f>+[9]Result!$G$5-[8]Result!$G$5</f>
        <v>37063735.738836765</v>
      </c>
      <c r="H576" s="13">
        <f>+[10]Result!$G$5-[9]Result!$G$5</f>
        <v>203433.25780963898</v>
      </c>
      <c r="I576" s="13">
        <f>+[11]Result!$G$5-[10]Result!$G$5</f>
        <v>-26280.31286495924</v>
      </c>
      <c r="J576" s="32">
        <f>+[12]Result!$G$5-[11]Result!$G$5</f>
        <v>19813373.004714668</v>
      </c>
      <c r="K576" s="13">
        <f>+[13]Result!$G$5-[12]Result!$G$5</f>
        <v>14897.652500033379</v>
      </c>
      <c r="L576" s="13">
        <f>+[14]Result!$G$5-[13]Result!$G$5</f>
        <v>33096.615527868271</v>
      </c>
      <c r="M576" s="13">
        <f>+[15]Result!$G$5-[14]Result!$G$5</f>
        <v>21650725.361779511</v>
      </c>
      <c r="N576" s="32">
        <f>+[16]Result!$G$5-[15]Result!$G$5</f>
        <v>-7751.8240069746971</v>
      </c>
      <c r="O576" s="13">
        <f>+[17]Result!$G$5-[16]Result!$G$5</f>
        <v>-76007.520257294178</v>
      </c>
      <c r="P576" s="13">
        <f>+[18]Result!$G$5-[17]Result!$G$5</f>
        <v>-54168022.012129784</v>
      </c>
      <c r="Q576" s="32">
        <f>+[19]Result!$G$5-[18]Result!$G$5</f>
        <v>220979.90636330843</v>
      </c>
      <c r="R576" s="32">
        <f>+[20]Result!$G$5-[19]Result!$G$5</f>
        <v>-254886.10382920504</v>
      </c>
      <c r="S576" s="70">
        <f>+[22]Result!$G$5-[20]Result!$G$5</f>
        <v>-12494.867756307125</v>
      </c>
      <c r="AI576" s="73"/>
      <c r="AJ576" s="73"/>
      <c r="AK576" s="73"/>
    </row>
    <row r="577" spans="1:37" hidden="1" outlineLevel="2" x14ac:dyDescent="0.25">
      <c r="A577" s="16" t="s">
        <v>4</v>
      </c>
      <c r="B577" s="13">
        <f>+[1]Result!$G$6-[21]Result!$G$6</f>
        <v>336486.73561495543</v>
      </c>
      <c r="C577" s="13">
        <f>+[5]Result!$G$6-[1]Result!$G$6</f>
        <v>-700030.47448900342</v>
      </c>
      <c r="D577" s="32">
        <f>+[6]Result!$G$6-[5]Result!$G$6</f>
        <v>-38171616.348924369</v>
      </c>
      <c r="E577" s="13">
        <f>+[7]Result!$G$6-[6]Result!$G$6</f>
        <v>-1829739.9755289853</v>
      </c>
      <c r="F577" s="13">
        <f>+[8]Result!$G$6-[7]Result!$G$6</f>
        <v>256822.90467578173</v>
      </c>
      <c r="G577" s="32">
        <f>+[9]Result!$G$6-[8]Result!$G$6</f>
        <v>-5547689.2810947895</v>
      </c>
      <c r="H577" s="13">
        <f>+[10]Result!$G$6-[9]Result!$G$6</f>
        <v>551604.96937313676</v>
      </c>
      <c r="I577" s="13">
        <f>+[11]Result!$G$6-[10]Result!$G$6</f>
        <v>-181428.11694350839</v>
      </c>
      <c r="J577" s="32">
        <f>+[12]Result!$G$6-[11]Result!$G$6</f>
        <v>-8739037.6769454777</v>
      </c>
      <c r="K577" s="13">
        <f>+[13]Result!$G$6-[12]Result!$G$6</f>
        <v>-121214.73046839237</v>
      </c>
      <c r="L577" s="13">
        <f>+[14]Result!$G$6-[13]Result!$G$6</f>
        <v>208950.35782384872</v>
      </c>
      <c r="M577" s="13">
        <f>+[15]Result!$G$6-[14]Result!$G$6</f>
        <v>22720942.939593405</v>
      </c>
      <c r="N577" s="32">
        <f>+[16]Result!$G$6-[15]Result!$G$6</f>
        <v>-140702.93451246619</v>
      </c>
      <c r="O577" s="13">
        <f>+[17]Result!$G$6-[16]Result!$G$6</f>
        <v>-355936.3599422574</v>
      </c>
      <c r="P577" s="13">
        <f>+[18]Result!$G$6-[17]Result!$G$6</f>
        <v>-26829902.201285392</v>
      </c>
      <c r="Q577" s="32">
        <f>+[19]Result!$G$6-[18]Result!$G$6</f>
        <v>390775.2646304965</v>
      </c>
      <c r="R577" s="32">
        <f>+[20]Result!$G$6-[19]Result!$G$6</f>
        <v>-724738.98431962729</v>
      </c>
      <c r="S577" s="70">
        <f>+[22]Result!$G$6-[20]Result!$G$6</f>
        <v>-89771.85367333889</v>
      </c>
      <c r="AI577" s="73"/>
      <c r="AJ577" s="73"/>
      <c r="AK577" s="73"/>
    </row>
    <row r="578" spans="1:37" hidden="1" outlineLevel="2" x14ac:dyDescent="0.25">
      <c r="A578" s="16" t="s">
        <v>5</v>
      </c>
      <c r="B578" s="13">
        <f>+[1]Result!$G$7-[21]Result!$G$7</f>
        <v>306833.06745456159</v>
      </c>
      <c r="C578" s="13">
        <f>+[5]Result!$G$7-[1]Result!$G$7</f>
        <v>-561171.2480276376</v>
      </c>
      <c r="D578" s="32">
        <f>+[6]Result!$G$7-[5]Result!$G$7</f>
        <v>-499266.5599104315</v>
      </c>
      <c r="E578" s="13">
        <f>+[7]Result!$G$7-[6]Result!$G$7</f>
        <v>-1249320.4154675156</v>
      </c>
      <c r="F578" s="13">
        <f>+[8]Result!$G$7-[7]Result!$G$7</f>
        <v>246645.61466825008</v>
      </c>
      <c r="G578" s="32">
        <f>+[9]Result!$G$7-[8]Result!$G$7</f>
        <v>759609.75751785934</v>
      </c>
      <c r="H578" s="13">
        <f>+[10]Result!$G$7-[9]Result!$G$7</f>
        <v>422476.33732071519</v>
      </c>
      <c r="I578" s="13">
        <f>+[11]Result!$G$7-[10]Result!$G$7</f>
        <v>-206729.77929630876</v>
      </c>
      <c r="J578" s="32">
        <f>+[12]Result!$G$7-[11]Result!$G$7</f>
        <v>-7770948.6978335679</v>
      </c>
      <c r="K578" s="13">
        <f>+[13]Result!$G$7-[12]Result!$G$7</f>
        <v>-162142.54887084663</v>
      </c>
      <c r="L578" s="13">
        <f>+[14]Result!$G$7-[13]Result!$G$7</f>
        <v>211856.84056656063</v>
      </c>
      <c r="M578" s="13">
        <f>+[15]Result!$G$7-[14]Result!$G$7</f>
        <v>8652681.5472762436</v>
      </c>
      <c r="N578" s="32">
        <f>+[16]Result!$G$7-[15]Result!$G$7</f>
        <v>-192278.53441537917</v>
      </c>
      <c r="O578" s="13">
        <f>+[17]Result!$G$7-[16]Result!$G$7</f>
        <v>-406987.37222935259</v>
      </c>
      <c r="P578" s="13">
        <f>+[18]Result!$G$7-[17]Result!$G$7</f>
        <v>-4413768.0011255145</v>
      </c>
      <c r="Q578" s="32">
        <f>+[19]Result!$G$7-[18]Result!$G$7</f>
        <v>100127.57480798662</v>
      </c>
      <c r="R578" s="32">
        <f>+[20]Result!$G$7-[19]Result!$G$7</f>
        <v>-527103.93924228847</v>
      </c>
      <c r="S578" s="70">
        <f>+[22]Result!$G$7-[20]Result!$G$7</f>
        <v>-61842.381626337767</v>
      </c>
      <c r="AI578" s="73"/>
      <c r="AJ578" s="73"/>
      <c r="AK578" s="73"/>
    </row>
    <row r="579" spans="1:37" hidden="1" outlineLevel="2" x14ac:dyDescent="0.25">
      <c r="A579" s="16" t="s">
        <v>6</v>
      </c>
      <c r="B579" s="13">
        <f>+[1]Result!$G$8-[21]Result!$G$8</f>
        <v>209514.30402562767</v>
      </c>
      <c r="C579" s="13">
        <f>+[5]Result!$G$8-[1]Result!$G$8</f>
        <v>-404331.01922765374</v>
      </c>
      <c r="D579" s="32">
        <f>+[6]Result!$G$8-[5]Result!$G$8</f>
        <v>-793430.66054642946</v>
      </c>
      <c r="E579" s="13">
        <f>+[7]Result!$G$8-[6]Result!$G$8</f>
        <v>-920612.38044722378</v>
      </c>
      <c r="F579" s="13">
        <f>+[8]Result!$G$8-[7]Result!$G$8</f>
        <v>206008.18949509412</v>
      </c>
      <c r="G579" s="32">
        <f>+[9]Result!$G$8-[8]Result!$G$8</f>
        <v>123197.27513642609</v>
      </c>
      <c r="H579" s="13">
        <f>+[10]Result!$G$8-[9]Result!$G$8</f>
        <v>316122.73580266535</v>
      </c>
      <c r="I579" s="13">
        <f>+[11]Result!$G$8-[10]Result!$G$8</f>
        <v>-172306.08666916937</v>
      </c>
      <c r="J579" s="32">
        <f>+[12]Result!$G$8-[11]Result!$G$8</f>
        <v>-2274840.3998019472</v>
      </c>
      <c r="K579" s="13">
        <f>+[13]Result!$G$8-[12]Result!$G$8</f>
        <v>-141275.10266718268</v>
      </c>
      <c r="L579" s="13">
        <f>+[14]Result!$G$8-[13]Result!$G$8</f>
        <v>190075.18495154381</v>
      </c>
      <c r="M579" s="13">
        <f>+[15]Result!$G$8-[14]Result!$G$8</f>
        <v>6791951.3466561586</v>
      </c>
      <c r="N579" s="32">
        <f>+[16]Result!$G$8-[15]Result!$G$8</f>
        <v>-159936.94975239038</v>
      </c>
      <c r="O579" s="13">
        <f>+[17]Result!$G$8-[16]Result!$G$8</f>
        <v>-381890.61833308637</v>
      </c>
      <c r="P579" s="13">
        <f>+[18]Result!$G$8-[17]Result!$G$8</f>
        <v>-1319641.0001292452</v>
      </c>
      <c r="Q579" s="32">
        <f>+[19]Result!$G$8-[18]Result!$G$8</f>
        <v>-6919.2047676295042</v>
      </c>
      <c r="R579" s="32">
        <f>+[20]Result!$G$8-[19]Result!$G$8</f>
        <v>-348249.92964994907</v>
      </c>
      <c r="S579" s="70">
        <f>+[22]Result!$G$8-[20]Result!$G$8</f>
        <v>-56637.158457316458</v>
      </c>
      <c r="AI579" s="73"/>
      <c r="AJ579" s="73"/>
      <c r="AK579" s="73"/>
    </row>
    <row r="580" spans="1:37" hidden="1" outlineLevel="2" x14ac:dyDescent="0.25">
      <c r="A580" s="16" t="s">
        <v>7</v>
      </c>
      <c r="B580" s="13">
        <f>+[1]Result!$G$9-[21]Result!$G$9</f>
        <v>160483.52425005287</v>
      </c>
      <c r="C580" s="13">
        <f>+[5]Result!$G$9-[1]Result!$G$9</f>
        <v>-338994.814354904</v>
      </c>
      <c r="D580" s="32">
        <f>+[6]Result!$G$9-[5]Result!$G$9</f>
        <v>728287.02221330255</v>
      </c>
      <c r="E580" s="13">
        <f>+[7]Result!$G$9-[6]Result!$G$9</f>
        <v>-783719.41170498729</v>
      </c>
      <c r="F580" s="13">
        <f>+[8]Result!$G$9-[7]Result!$G$9</f>
        <v>184869.99038399756</v>
      </c>
      <c r="G580" s="32">
        <f>+[9]Result!$G$9-[8]Result!$G$9</f>
        <v>40796.626731291413</v>
      </c>
      <c r="H580" s="13">
        <f>+[10]Result!$G$9-[9]Result!$G$9</f>
        <v>260202.18526747823</v>
      </c>
      <c r="I580" s="13">
        <f>+[11]Result!$G$9-[10]Result!$G$9</f>
        <v>-134661.05371274054</v>
      </c>
      <c r="J580" s="32">
        <f>+[12]Result!$G$9-[11]Result!$G$9</f>
        <v>-757287.38483924419</v>
      </c>
      <c r="K580" s="13">
        <f>+[13]Result!$G$9-[12]Result!$G$9</f>
        <v>-130346.71472498775</v>
      </c>
      <c r="L580" s="13">
        <f>+[14]Result!$G$9-[13]Result!$G$9</f>
        <v>196036.0726942867</v>
      </c>
      <c r="M580" s="13">
        <f>+[15]Result!$G$9-[14]Result!$G$9</f>
        <v>6337167.2284412384</v>
      </c>
      <c r="N580" s="32">
        <f>+[16]Result!$G$9-[15]Result!$G$9</f>
        <v>-131444.76624392346</v>
      </c>
      <c r="O580" s="13">
        <f>+[17]Result!$G$9-[16]Result!$G$9</f>
        <v>-359613.59538235888</v>
      </c>
      <c r="P580" s="13">
        <f>+[18]Result!$G$9-[17]Result!$G$9</f>
        <v>-1124889.2656384483</v>
      </c>
      <c r="Q580" s="32">
        <f>+[19]Result!$G$9-[18]Result!$G$9</f>
        <v>-6711.2446158304811</v>
      </c>
      <c r="R580" s="32">
        <f>+[20]Result!$G$9-[19]Result!$G$9</f>
        <v>-268957.19986156374</v>
      </c>
      <c r="S580" s="70">
        <f>+[22]Result!$G$9-[20]Result!$G$9</f>
        <v>-80059.281804300845</v>
      </c>
      <c r="AI580" s="73"/>
      <c r="AJ580" s="73"/>
      <c r="AK580" s="73"/>
    </row>
    <row r="581" spans="1:37" hidden="1" outlineLevel="1" x14ac:dyDescent="0.25">
      <c r="A581" s="15" t="s">
        <v>8</v>
      </c>
      <c r="B581" s="13">
        <f>+'[1]Stat by Mat'!$J$4-'[21]Stat by Mat'!$J$4</f>
        <v>477365.48071202636</v>
      </c>
      <c r="C581" s="13">
        <f>+'[5]Stat by Mat'!$J$4-'[1]Stat by Mat'!$J$4</f>
        <v>-1017730.1546316743</v>
      </c>
      <c r="D581" s="32">
        <f>+'[6]Stat by Mat'!$J$4-'[5]Stat by Mat'!$J$4</f>
        <v>4811790.8481369019</v>
      </c>
      <c r="E581" s="13">
        <f>+'[7]Stat by Mat'!$J$4-'[6]Stat by Mat'!$J$4</f>
        <v>-2433592.331432119</v>
      </c>
      <c r="F581" s="13">
        <f>+'[8]Stat by Mat'!$J$4-'[7]Stat by Mat'!$J$4</f>
        <v>670891.52507485449</v>
      </c>
      <c r="G581" s="32">
        <f>+'[9]Stat by Mat'!$J$4-'[8]Stat by Mat'!$J$4</f>
        <v>248550.23071311414</v>
      </c>
      <c r="H581" s="13">
        <f>+'[10]Stat by Mat'!$J$4-'[9]Stat by Mat'!$J$4</f>
        <v>778321.50347930193</v>
      </c>
      <c r="I581" s="13">
        <f>+'[11]Stat by Mat'!$J$4-'[10]Stat by Mat'!$J$4</f>
        <v>-294802.31818217039</v>
      </c>
      <c r="J581" s="32">
        <f>+'[12]Stat by Mat'!$J$4-'[11]Stat by Mat'!$J$4</f>
        <v>-62314.678534656763</v>
      </c>
      <c r="K581" s="13">
        <f>+'[13]Stat by Mat'!$J$4-'[12]Stat by Mat'!$J$4</f>
        <v>-420394.93818242848</v>
      </c>
      <c r="L581" s="13">
        <f>+'[14]Stat by Mat'!$J$4-'[13]Stat by Mat'!$J$4</f>
        <v>903874.46402703226</v>
      </c>
      <c r="M581" s="13">
        <f>+'[15]Stat by Mat'!$J$4-'[14]Stat by Mat'!$J$4</f>
        <v>19543528.489037156</v>
      </c>
      <c r="N581" s="32">
        <f>+'[16]Stat by Mat'!$J$4-'[15]Stat by Mat'!$J$4</f>
        <v>-438739.43817214668</v>
      </c>
      <c r="O581" s="13">
        <f>+'[17]Stat by Mat'!$J$4-'[16]Stat by Mat'!$J$4</f>
        <v>-1337206.1214192063</v>
      </c>
      <c r="P581" s="13">
        <f>+'[18]Stat by Mat'!$J$4-'[17]Stat by Mat'!$J$4</f>
        <v>-1591170.3026624471</v>
      </c>
      <c r="Q581" s="32">
        <f>+'[19]Stat by Mat'!$J$4-'[18]Stat by Mat'!$J$4</f>
        <v>24407.845518290997</v>
      </c>
      <c r="R581" s="32">
        <f>+'[20]Stat by Mat'!$J$4-'[19]Stat by Mat'!$J$4</f>
        <v>-784175.27969145775</v>
      </c>
      <c r="S581" s="70">
        <f>+'[22]Stat by Mat'!$J$4-'[20]Stat by Mat'!$J$4</f>
        <v>-381022.26032844186</v>
      </c>
      <c r="T581" s="13">
        <f>+B581-SUM(B582:B586)</f>
        <v>-1.1175870895385742E-8</v>
      </c>
      <c r="U581" s="13">
        <f t="shared" ref="U581:W581" si="441">+C581-SUM(C582:C586)</f>
        <v>-7.4505805969238281E-9</v>
      </c>
      <c r="V581" s="13">
        <f t="shared" si="441"/>
        <v>0</v>
      </c>
      <c r="W581" s="13">
        <f t="shared" si="441"/>
        <v>5.5879354476928711E-9</v>
      </c>
      <c r="X581" s="13">
        <f t="shared" ref="X581" si="442">+F581-SUM(F582:F586)</f>
        <v>1.862645149230957E-9</v>
      </c>
      <c r="Y581" s="13">
        <f t="shared" ref="Y581:AE581" si="443">+G581-SUM(G582:G586)</f>
        <v>-1.1175870895385742E-8</v>
      </c>
      <c r="Z581" s="13">
        <f t="shared" si="443"/>
        <v>-7.4505805969238281E-9</v>
      </c>
      <c r="AA581" s="13">
        <f t="shared" si="443"/>
        <v>1.1175870895385742E-8</v>
      </c>
      <c r="AB581" s="13">
        <f t="shared" si="443"/>
        <v>-9.3132257461547852E-9</v>
      </c>
      <c r="AC581" s="13">
        <f t="shared" si="443"/>
        <v>1.3038516044616699E-8</v>
      </c>
      <c r="AD581" s="13">
        <f t="shared" si="443"/>
        <v>3.7252902984619141E-9</v>
      </c>
      <c r="AE581" s="13">
        <f t="shared" si="443"/>
        <v>0</v>
      </c>
      <c r="AF581" s="13">
        <f t="shared" ref="AF581" si="444">+N581-SUM(N582:N586)</f>
        <v>-7.4505805969238281E-9</v>
      </c>
      <c r="AG581" s="13">
        <f t="shared" ref="AG581:AH581" si="445">+O581-SUM(O582:O586)</f>
        <v>7.4505805969238281E-9</v>
      </c>
      <c r="AH581" s="13">
        <f t="shared" si="445"/>
        <v>-3.7252902984619141E-9</v>
      </c>
      <c r="AI581" s="73">
        <f t="shared" ref="AI581" si="446">+Q581-SUM(Q582:Q586)</f>
        <v>-5.5879354476928711E-9</v>
      </c>
      <c r="AJ581" s="73">
        <f t="shared" ref="AJ581:AK581" si="447">+R581-SUM(R582:R586)</f>
        <v>1.6763806343078613E-8</v>
      </c>
      <c r="AK581" s="73">
        <f t="shared" si="447"/>
        <v>-2.7939677238464355E-9</v>
      </c>
    </row>
    <row r="582" spans="1:37" hidden="1" outlineLevel="2" x14ac:dyDescent="0.25">
      <c r="A582" s="16" t="s">
        <v>9</v>
      </c>
      <c r="B582" s="13">
        <f>+[1]Result!$G$10-[21]Result!$G$10</f>
        <v>142349.02763285488</v>
      </c>
      <c r="C582" s="13">
        <f>+[5]Result!$G$10-[1]Result!$G$10</f>
        <v>-309845.12628409266</v>
      </c>
      <c r="D582" s="32">
        <f>+[6]Result!$G$10-[5]Result!$G$10</f>
        <v>1001227.6690362766</v>
      </c>
      <c r="E582" s="13">
        <f>+[7]Result!$G$10-[6]Result!$G$10</f>
        <v>-693132.46396367997</v>
      </c>
      <c r="F582" s="13">
        <f>+[8]Result!$G$10-[7]Result!$G$10</f>
        <v>170944.03249034286</v>
      </c>
      <c r="G582" s="32">
        <f>+[9]Result!$G$10-[8]Result!$G$10</f>
        <v>176818.05111304298</v>
      </c>
      <c r="H582" s="13">
        <f>+[10]Result!$G$10-[9]Result!$G$10</f>
        <v>223575.34633746743</v>
      </c>
      <c r="I582" s="13">
        <f>+[11]Result!$G$10-[10]Result!$G$10</f>
        <v>-107468.85265946016</v>
      </c>
      <c r="J582" s="32">
        <f>+[12]Result!$G$10-[11]Result!$G$10</f>
        <v>-147413.21345731616</v>
      </c>
      <c r="K582" s="13">
        <f>+[13]Result!$G$10-[12]Result!$G$10</f>
        <v>-118970.16519255191</v>
      </c>
      <c r="L582" s="13">
        <f>+[14]Result!$G$10-[13]Result!$G$10</f>
        <v>205493.25303603336</v>
      </c>
      <c r="M582" s="13">
        <f>+[15]Result!$G$10-[14]Result!$G$10</f>
        <v>5167372.3904301077</v>
      </c>
      <c r="N582" s="32">
        <f>+[16]Result!$G$10-[15]Result!$G$10</f>
        <v>-118142.2585497424</v>
      </c>
      <c r="O582" s="13">
        <f>+[17]Result!$G$10-[16]Result!$G$10</f>
        <v>-343201.22365455702</v>
      </c>
      <c r="P582" s="13">
        <f>+[18]Result!$G$10-[17]Result!$G$10</f>
        <v>-538952.96800755709</v>
      </c>
      <c r="Q582" s="32">
        <f>+[19]Result!$G$10-[18]Result!$G$10</f>
        <v>700.34269220754504</v>
      </c>
      <c r="R582" s="32">
        <f>+[20]Result!$G$10-[19]Result!$G$10</f>
        <v>-227815.40814012289</v>
      </c>
      <c r="S582" s="70">
        <f>+[22]Result!$G$10-[20]Result!$G$10</f>
        <v>-89765.4338805601</v>
      </c>
      <c r="AI582" s="73"/>
      <c r="AJ582" s="73"/>
      <c r="AK582" s="73"/>
    </row>
    <row r="583" spans="1:37" hidden="1" outlineLevel="2" x14ac:dyDescent="0.25">
      <c r="A583" s="16" t="s">
        <v>10</v>
      </c>
      <c r="B583" s="13">
        <f>+[1]Result!$G$11-[21]Result!$G$11</f>
        <v>113159.07573151961</v>
      </c>
      <c r="C583" s="13">
        <f>+[5]Result!$G$11-[1]Result!$G$11</f>
        <v>-253797.18745945022</v>
      </c>
      <c r="D583" s="32">
        <f>+[6]Result!$G$11-[5]Result!$G$11</f>
        <v>911380.05739015341</v>
      </c>
      <c r="E583" s="13">
        <f>+[7]Result!$G$11-[6]Result!$G$11</f>
        <v>-578243.80028006807</v>
      </c>
      <c r="F583" s="13">
        <f>+[8]Result!$G$11-[7]Result!$G$11</f>
        <v>151280.71217250824</v>
      </c>
      <c r="G583" s="32">
        <f>+[9]Result!$G$11-[8]Result!$G$11</f>
        <v>45916.651070293039</v>
      </c>
      <c r="H583" s="13">
        <f>+[10]Result!$G$11-[9]Result!$G$11</f>
        <v>181575.14471370354</v>
      </c>
      <c r="I583" s="13">
        <f>+[11]Result!$G$11-[10]Result!$G$11</f>
        <v>-80309.288235586137</v>
      </c>
      <c r="J583" s="32">
        <f>+[12]Result!$G$11-[11]Result!$G$11</f>
        <v>-52720.227183021605</v>
      </c>
      <c r="K583" s="13">
        <f>+[13]Result!$G$11-[12]Result!$G$11</f>
        <v>-99794.319011565298</v>
      </c>
      <c r="L583" s="13">
        <f>+[14]Result!$G$11-[13]Result!$G$11</f>
        <v>199220.89838818833</v>
      </c>
      <c r="M583" s="13">
        <f>+[15]Result!$G$11-[14]Result!$G$11</f>
        <v>4304999.8320387229</v>
      </c>
      <c r="N583" s="32">
        <f>+[16]Result!$G$11-[15]Result!$G$11</f>
        <v>-105683.04575578123</v>
      </c>
      <c r="O583" s="13">
        <f>+[17]Result!$G$11-[16]Result!$G$11</f>
        <v>-312773.64413448051</v>
      </c>
      <c r="P583" s="13">
        <f>+[18]Result!$G$11-[17]Result!$G$11</f>
        <v>-432100.61739312857</v>
      </c>
      <c r="Q583" s="32">
        <f>+[19]Result!$G$11-[18]Result!$G$11</f>
        <v>2379.1725159324706</v>
      </c>
      <c r="R583" s="32">
        <f>+[20]Result!$G$11-[19]Result!$G$11</f>
        <v>-191628.68908462301</v>
      </c>
      <c r="S583" s="70">
        <f>+[22]Result!$G$11-[20]Result!$G$11</f>
        <v>-85173.758485216647</v>
      </c>
      <c r="AI583" s="73"/>
      <c r="AJ583" s="73"/>
      <c r="AK583" s="73"/>
    </row>
    <row r="584" spans="1:37" hidden="1" outlineLevel="2" x14ac:dyDescent="0.25">
      <c r="A584" s="16" t="s">
        <v>11</v>
      </c>
      <c r="B584" s="13">
        <f>+[1]Result!$G$12-[21]Result!$G$12</f>
        <v>88731.869682896882</v>
      </c>
      <c r="C584" s="13">
        <f>+[5]Result!$G$12-[1]Result!$G$12</f>
        <v>-201218.59169303253</v>
      </c>
      <c r="D584" s="32">
        <f>+[6]Result!$G$12-[5]Result!$G$12</f>
        <v>848640.77937480249</v>
      </c>
      <c r="E584" s="13">
        <f>+[7]Result!$G$12-[6]Result!$G$12</f>
        <v>-474519.55323761515</v>
      </c>
      <c r="F584" s="13">
        <f>+[8]Result!$G$12-[7]Result!$G$12</f>
        <v>133289.38553954288</v>
      </c>
      <c r="G584" s="32">
        <f>+[9]Result!$G$12-[8]Result!$G$12</f>
        <v>-18152.168850015849</v>
      </c>
      <c r="H584" s="13">
        <f>+[10]Result!$G$12-[9]Result!$G$12</f>
        <v>147668.2200922519</v>
      </c>
      <c r="I584" s="13">
        <f>+[11]Result!$G$12-[10]Result!$G$12</f>
        <v>-55932.109342906624</v>
      </c>
      <c r="J584" s="32">
        <f>+[12]Result!$G$12-[11]Result!$G$12</f>
        <v>-16910.9931438528</v>
      </c>
      <c r="K584" s="13">
        <f>+[13]Result!$G$12-[12]Result!$G$12</f>
        <v>-81034.300523806363</v>
      </c>
      <c r="L584" s="13">
        <f>+[14]Result!$G$12-[13]Result!$G$12</f>
        <v>183384.53440160677</v>
      </c>
      <c r="M584" s="13">
        <f>+[15]Result!$G$12-[14]Result!$G$12</f>
        <v>3603629.8333685882</v>
      </c>
      <c r="N584" s="32">
        <f>+[16]Result!$G$12-[15]Result!$G$12</f>
        <v>-90497.784445792437</v>
      </c>
      <c r="O584" s="13">
        <f>+[17]Result!$G$12-[16]Result!$G$12</f>
        <v>-275154.66239614226</v>
      </c>
      <c r="P584" s="13">
        <f>+[18]Result!$G$12-[17]Result!$G$12</f>
        <v>-282916.06923456676</v>
      </c>
      <c r="Q584" s="32">
        <f>+[19]Result!$G$12-[18]Result!$G$12</f>
        <v>6129.8575849663466</v>
      </c>
      <c r="R584" s="32">
        <f>+[20]Result!$G$12-[19]Result!$G$12</f>
        <v>-158715.24656926654</v>
      </c>
      <c r="S584" s="70">
        <f>+[22]Result!$G$12-[20]Result!$G$12</f>
        <v>-77216.743814414367</v>
      </c>
      <c r="AI584" s="73"/>
      <c r="AJ584" s="73"/>
      <c r="AK584" s="73"/>
    </row>
    <row r="585" spans="1:37" hidden="1" outlineLevel="2" x14ac:dyDescent="0.25">
      <c r="A585" s="16" t="s">
        <v>12</v>
      </c>
      <c r="B585" s="13">
        <f>+[1]Result!$G$13-[21]Result!$G$13</f>
        <v>69327.221386950463</v>
      </c>
      <c r="C585" s="13">
        <f>+[5]Result!$G$13-[1]Result!$G$13</f>
        <v>-140708.97290240228</v>
      </c>
      <c r="D585" s="32">
        <f>+[6]Result!$G$13-[5]Result!$G$13</f>
        <v>1187671.8671705704</v>
      </c>
      <c r="E585" s="13">
        <f>+[7]Result!$G$13-[6]Result!$G$13</f>
        <v>-371502.0554725863</v>
      </c>
      <c r="F585" s="13">
        <f>+[8]Result!$G$13-[7]Result!$G$13</f>
        <v>113489.15126891062</v>
      </c>
      <c r="G585" s="32">
        <f>+[9]Result!$G$13-[8]Result!$G$13</f>
        <v>91337.420885385945</v>
      </c>
      <c r="H585" s="13">
        <f>+[10]Result!$G$13-[9]Result!$G$13</f>
        <v>114237.0384192802</v>
      </c>
      <c r="I585" s="13">
        <f>+[11]Result!$G$13-[10]Result!$G$13</f>
        <v>-32781.562827562913</v>
      </c>
      <c r="J585" s="32">
        <f>+[12]Result!$G$13-[11]Result!$G$13</f>
        <v>50065.798758836463</v>
      </c>
      <c r="K585" s="13">
        <f>+[13]Result!$G$13-[12]Result!$G$13</f>
        <v>-63563.238072628155</v>
      </c>
      <c r="L585" s="13">
        <f>+[14]Result!$G$13-[13]Result!$G$13</f>
        <v>157200.55593030341</v>
      </c>
      <c r="M585" s="13">
        <f>+[15]Result!$G$13-[14]Result!$G$13</f>
        <v>2728612.1161762327</v>
      </c>
      <c r="N585" s="32">
        <f>+[16]Result!$G$13-[15]Result!$G$13</f>
        <v>-69720.298755332828</v>
      </c>
      <c r="O585" s="13">
        <f>+[17]Result!$G$13-[16]Result!$G$13</f>
        <v>-227451.35844898224</v>
      </c>
      <c r="P585" s="13">
        <f>+[18]Result!$G$13-[17]Result!$G$13</f>
        <v>-194407.72442712449</v>
      </c>
      <c r="Q585" s="32">
        <f>+[19]Result!$G$13-[18]Result!$G$13</f>
        <v>5670.4669090490788</v>
      </c>
      <c r="R585" s="32">
        <f>+[20]Result!$G$13-[19]Result!$G$13</f>
        <v>-121342.58041210473</v>
      </c>
      <c r="S585" s="70">
        <f>+[22]Result!$G$13-[20]Result!$G$13</f>
        <v>-70630.699564749375</v>
      </c>
      <c r="AI585" s="73"/>
      <c r="AJ585" s="73"/>
      <c r="AK585" s="73"/>
    </row>
    <row r="586" spans="1:37" hidden="1" outlineLevel="2" x14ac:dyDescent="0.25">
      <c r="A586" s="16" t="s">
        <v>13</v>
      </c>
      <c r="B586" s="13">
        <f>+[1]Result!$G$14-[21]Result!$G$14</f>
        <v>63798.2862778157</v>
      </c>
      <c r="C586" s="13">
        <f>+[5]Result!$G$14-[1]Result!$G$14</f>
        <v>-112160.27629268914</v>
      </c>
      <c r="D586" s="32">
        <f>+[6]Result!$G$14-[5]Result!$G$14</f>
        <v>862870.47516509518</v>
      </c>
      <c r="E586" s="13">
        <f>+[7]Result!$G$14-[6]Result!$G$14</f>
        <v>-316194.4584781751</v>
      </c>
      <c r="F586" s="13">
        <f>+[8]Result!$G$14-[7]Result!$G$14</f>
        <v>101888.24360354804</v>
      </c>
      <c r="G586" s="32">
        <f>+[9]Result!$G$14-[8]Result!$G$14</f>
        <v>-47369.723505580798</v>
      </c>
      <c r="H586" s="13">
        <f>+[10]Result!$G$14-[9]Result!$G$14</f>
        <v>111265.75391660631</v>
      </c>
      <c r="I586" s="13">
        <f>+[11]Result!$G$14-[10]Result!$G$14</f>
        <v>-18310.505116665736</v>
      </c>
      <c r="J586" s="32">
        <f>+[12]Result!$G$14-[11]Result!$G$14</f>
        <v>104663.95649070665</v>
      </c>
      <c r="K586" s="13">
        <f>+[13]Result!$G$14-[12]Result!$G$14</f>
        <v>-57032.91538188979</v>
      </c>
      <c r="L586" s="13">
        <f>+[14]Result!$G$14-[13]Result!$G$14</f>
        <v>158575.22227089666</v>
      </c>
      <c r="M586" s="13">
        <f>+[15]Result!$G$14-[14]Result!$G$14</f>
        <v>3738914.317023512</v>
      </c>
      <c r="N586" s="32">
        <f>+[16]Result!$G$14-[15]Result!$G$14</f>
        <v>-54696.050665490329</v>
      </c>
      <c r="O586" s="13">
        <f>+[17]Result!$G$14-[16]Result!$G$14</f>
        <v>-178625.23278505169</v>
      </c>
      <c r="P586" s="13">
        <f>+[18]Result!$G$14-[17]Result!$G$14</f>
        <v>-142792.92360006645</v>
      </c>
      <c r="Q586" s="32">
        <f>+[19]Result!$G$14-[18]Result!$G$14</f>
        <v>9528.0058161411434</v>
      </c>
      <c r="R586" s="32">
        <f>+[20]Result!$G$14-[19]Result!$G$14</f>
        <v>-84673.355485357344</v>
      </c>
      <c r="S586" s="70">
        <f>+[22]Result!$G$14-[20]Result!$G$14</f>
        <v>-58235.624583498575</v>
      </c>
      <c r="AI586" s="73"/>
      <c r="AJ586" s="73"/>
      <c r="AK586" s="73"/>
    </row>
    <row r="587" spans="1:37" hidden="1" outlineLevel="1" x14ac:dyDescent="0.25">
      <c r="A587" s="15" t="s">
        <v>14</v>
      </c>
      <c r="B587" s="13">
        <f>+'[1]Stat by Mat'!$J$5-'[21]Stat by Mat'!$J$5</f>
        <v>320684.77071677893</v>
      </c>
      <c r="C587" s="13">
        <f>+'[5]Stat by Mat'!$J$5-'[1]Stat by Mat'!$J$5</f>
        <v>-413333.21538839489</v>
      </c>
      <c r="D587" s="32">
        <f>+'[6]Stat by Mat'!$J$5-'[5]Stat by Mat'!$J$5</f>
        <v>5046899.5507504866</v>
      </c>
      <c r="E587" s="13">
        <f>+'[7]Stat by Mat'!$J$5-'[6]Stat by Mat'!$J$5</f>
        <v>-1068654.1584515944</v>
      </c>
      <c r="F587" s="13">
        <f>+'[8]Stat by Mat'!$J$5-'[7]Stat by Mat'!$J$5</f>
        <v>488005.46355175972</v>
      </c>
      <c r="G587" s="32">
        <f>+'[9]Stat by Mat'!$J$5-'[8]Stat by Mat'!$J$5</f>
        <v>528068.59004347771</v>
      </c>
      <c r="H587" s="13">
        <f>+'[10]Stat by Mat'!$J$5-'[9]Stat by Mat'!$J$5</f>
        <v>394023.51124123484</v>
      </c>
      <c r="I587" s="13">
        <f>+'[11]Stat by Mat'!$J$5-'[10]Stat by Mat'!$J$5</f>
        <v>116203.3448157236</v>
      </c>
      <c r="J587" s="32">
        <f>+'[12]Stat by Mat'!$J$5-'[11]Stat by Mat'!$J$5</f>
        <v>-288665.9505598098</v>
      </c>
      <c r="K587" s="13">
        <f>+'[13]Stat by Mat'!$J$5-'[12]Stat by Mat'!$J$5</f>
        <v>-145471.58284261078</v>
      </c>
      <c r="L587" s="13">
        <f>+'[14]Stat by Mat'!$J$5-'[13]Stat by Mat'!$J$5</f>
        <v>725832.52578935027</v>
      </c>
      <c r="M587" s="13">
        <f>+'[15]Stat by Mat'!$J$5-'[14]Stat by Mat'!$J$5</f>
        <v>9501992.8464861214</v>
      </c>
      <c r="N587" s="32">
        <f>+'[16]Stat by Mat'!$J$5-'[15]Stat by Mat'!$J$5</f>
        <v>-260153.74472313374</v>
      </c>
      <c r="O587" s="13">
        <f>+'[17]Stat by Mat'!$J$5-'[16]Stat by Mat'!$J$5</f>
        <v>-831585.54974092916</v>
      </c>
      <c r="P587" s="13">
        <f>+'[18]Stat by Mat'!$J$5-'[17]Stat by Mat'!$J$5</f>
        <v>87587.094317588955</v>
      </c>
      <c r="Q587" s="32">
        <f>+'[19]Stat by Mat'!$J$5-'[18]Stat by Mat'!$J$5</f>
        <v>85845.769493799657</v>
      </c>
      <c r="R587" s="32">
        <f>+'[20]Stat by Mat'!$J$5-'[19]Stat by Mat'!$J$5</f>
        <v>-284622.18474422023</v>
      </c>
      <c r="S587" s="70">
        <f>+'[22]Stat by Mat'!$J$5-'[20]Stat by Mat'!$J$5</f>
        <v>-326560.99674814194</v>
      </c>
      <c r="T587" s="13">
        <f>+B587-SUM(B588:B597)</f>
        <v>-7.4505805969238281E-9</v>
      </c>
      <c r="U587" s="13">
        <f t="shared" ref="U587:W587" si="448">+C587-SUM(C588:C597)</f>
        <v>6.9849193096160889E-9</v>
      </c>
      <c r="V587" s="13">
        <f t="shared" si="448"/>
        <v>0</v>
      </c>
      <c r="W587" s="13">
        <f t="shared" si="448"/>
        <v>0</v>
      </c>
      <c r="X587" s="13">
        <f t="shared" ref="X587" si="449">+F587-SUM(F588:F597)</f>
        <v>3.4924596548080444E-9</v>
      </c>
      <c r="Y587" s="13">
        <f t="shared" ref="Y587:AE587" si="450">+G587-SUM(G588:G597)</f>
        <v>-4.8894435167312622E-9</v>
      </c>
      <c r="Z587" s="13">
        <f t="shared" si="450"/>
        <v>5.3551048040390015E-9</v>
      </c>
      <c r="AA587" s="13">
        <f t="shared" si="450"/>
        <v>-8.8475644588470459E-9</v>
      </c>
      <c r="AB587" s="13">
        <f t="shared" si="450"/>
        <v>-3.4924596548080444E-9</v>
      </c>
      <c r="AC587" s="13">
        <f t="shared" si="450"/>
        <v>1.862645149230957E-9</v>
      </c>
      <c r="AD587" s="13">
        <f t="shared" si="450"/>
        <v>1.0943040251731873E-8</v>
      </c>
      <c r="AE587" s="13">
        <f t="shared" si="450"/>
        <v>0</v>
      </c>
      <c r="AF587" s="13">
        <f t="shared" ref="AF587" si="451">+N587-SUM(N588:N597)</f>
        <v>6.9849193096160889E-10</v>
      </c>
      <c r="AG587" s="13">
        <f t="shared" ref="AG587:AH587" si="452">+O587-SUM(O588:O597)</f>
        <v>0</v>
      </c>
      <c r="AH587" s="13">
        <f t="shared" si="452"/>
        <v>-9.3132257461547852E-10</v>
      </c>
      <c r="AI587" s="73">
        <f t="shared" ref="AI587" si="453">+Q587-SUM(Q588:Q597)</f>
        <v>-3.9581209421157837E-9</v>
      </c>
      <c r="AJ587" s="73">
        <f t="shared" ref="AJ587:AK587" si="454">+R587-SUM(R588:R597)</f>
        <v>0</v>
      </c>
      <c r="AK587" s="73">
        <f t="shared" si="454"/>
        <v>1.1641532182693481E-9</v>
      </c>
    </row>
    <row r="588" spans="1:37" hidden="1" outlineLevel="2" x14ac:dyDescent="0.25">
      <c r="A588" s="16" t="s">
        <v>15</v>
      </c>
      <c r="B588" s="13">
        <f>+[1]Result!$G$15-[21]Result!$G$15</f>
        <v>51199.153519421816</v>
      </c>
      <c r="C588" s="13">
        <f>+[5]Result!$G$15-[1]Result!$G$15</f>
        <v>-87937.013394325972</v>
      </c>
      <c r="D588" s="32">
        <f>+[6]Result!$G$15-[5]Result!$G$15</f>
        <v>866181.57098523621</v>
      </c>
      <c r="E588" s="13">
        <f>+[7]Result!$G$15-[6]Result!$G$15</f>
        <v>-224697.10604719073</v>
      </c>
      <c r="F588" s="13">
        <f>+[8]Result!$G$15-[7]Result!$G$15</f>
        <v>74590.158095401712</v>
      </c>
      <c r="G588" s="32">
        <f>+[9]Result!$G$15-[8]Result!$G$15</f>
        <v>-21537.183826228604</v>
      </c>
      <c r="H588" s="13">
        <f>+[10]Result!$G$15-[9]Result!$G$15</f>
        <v>93660.154428381473</v>
      </c>
      <c r="I588" s="13">
        <f>+[11]Result!$G$15-[10]Result!$G$15</f>
        <v>-2630.1618183813989</v>
      </c>
      <c r="J588" s="32">
        <f>+[12]Result!$G$15-[11]Result!$G$15</f>
        <v>15581.201196761802</v>
      </c>
      <c r="K588" s="13">
        <f>+[13]Result!$G$15-[12]Result!$G$15</f>
        <v>-44563.277980727144</v>
      </c>
      <c r="L588" s="13">
        <f>+[14]Result!$G$15-[13]Result!$G$15</f>
        <v>138258.54915465508</v>
      </c>
      <c r="M588" s="13">
        <f>+[15]Result!$G$15-[14]Result!$G$15</f>
        <v>3111132.6049997052</v>
      </c>
      <c r="N588" s="32">
        <f>+[16]Result!$G$15-[15]Result!$G$15</f>
        <v>-43557.808835872449</v>
      </c>
      <c r="O588" s="13">
        <f>+[17]Result!$G$15-[16]Result!$G$15</f>
        <v>-142840.25131266937</v>
      </c>
      <c r="P588" s="13">
        <f>+[18]Result!$G$15-[17]Result!$G$15</f>
        <v>-97179.893618396483</v>
      </c>
      <c r="Q588" s="32">
        <f>+[19]Result!$G$15-[18]Result!$G$15</f>
        <v>7629.618684287183</v>
      </c>
      <c r="R588" s="32">
        <f>+[20]Result!$G$15-[19]Result!$G$15</f>
        <v>-62447.293045573868</v>
      </c>
      <c r="S588" s="70">
        <f>+[22]Result!$G$15-[20]Result!$G$15</f>
        <v>-49103.933113622479</v>
      </c>
      <c r="AI588" s="73"/>
      <c r="AJ588" s="73"/>
      <c r="AK588" s="73"/>
    </row>
    <row r="589" spans="1:37" hidden="1" outlineLevel="2" x14ac:dyDescent="0.25">
      <c r="A589" s="16" t="s">
        <v>16</v>
      </c>
      <c r="B589" s="13">
        <f>+[1]Result!$G$16-[21]Result!$G$16</f>
        <v>33458.718289086595</v>
      </c>
      <c r="C589" s="13">
        <f>+[5]Result!$G$16-[1]Result!$G$16</f>
        <v>-59612.400194500573</v>
      </c>
      <c r="D589" s="32">
        <f>+[6]Result!$G$16-[5]Result!$G$16</f>
        <v>862053.37806870602</v>
      </c>
      <c r="E589" s="13">
        <f>+[7]Result!$G$16-[6]Result!$G$16</f>
        <v>-146532.4666842185</v>
      </c>
      <c r="F589" s="13">
        <f>+[8]Result!$G$16-[7]Result!$G$16</f>
        <v>53611.850177071057</v>
      </c>
      <c r="G589" s="32">
        <f>+[9]Result!$G$16-[8]Result!$G$16</f>
        <v>53521.048716613092</v>
      </c>
      <c r="H589" s="13">
        <f>+[10]Result!$G$16-[9]Result!$G$16</f>
        <v>54347.939861171879</v>
      </c>
      <c r="I589" s="13">
        <f>+[11]Result!$G$16-[10]Result!$G$16</f>
        <v>5600.8239913871512</v>
      </c>
      <c r="J589" s="32">
        <f>+[12]Result!$G$16-[11]Result!$G$16</f>
        <v>-40722.521804229356</v>
      </c>
      <c r="K589" s="13">
        <f>+[13]Result!$G$16-[12]Result!$G$16</f>
        <v>-26336.664332398213</v>
      </c>
      <c r="L589" s="13">
        <f>+[14]Result!$G$16-[13]Result!$G$16</f>
        <v>103258.67875656951</v>
      </c>
      <c r="M589" s="13">
        <f>+[15]Result!$G$16-[14]Result!$G$16</f>
        <v>1568005.3440872044</v>
      </c>
      <c r="N589" s="32">
        <f>+[16]Result!$G$16-[15]Result!$G$16</f>
        <v>-36485.268383913673</v>
      </c>
      <c r="O589" s="13">
        <f>+[17]Result!$G$16-[16]Result!$G$16</f>
        <v>-127012.94913216773</v>
      </c>
      <c r="P589" s="13">
        <f>+[18]Result!$G$16-[17]Result!$G$16</f>
        <v>54010.200562356971</v>
      </c>
      <c r="Q589" s="32">
        <f>+[19]Result!$G$16-[18]Result!$G$16</f>
        <v>5218.7798268054612</v>
      </c>
      <c r="R589" s="32">
        <f>+[20]Result!$G$16-[19]Result!$G$16</f>
        <v>-51222.096713800915</v>
      </c>
      <c r="S589" s="70">
        <f>+[22]Result!$G$16-[20]Result!$G$16</f>
        <v>-48110.708575876895</v>
      </c>
      <c r="AI589" s="73"/>
      <c r="AJ589" s="73"/>
      <c r="AK589" s="73"/>
    </row>
    <row r="590" spans="1:37" hidden="1" outlineLevel="2" x14ac:dyDescent="0.25">
      <c r="A590" s="16" t="s">
        <v>17</v>
      </c>
      <c r="B590" s="13">
        <f>+[1]Result!$G$17-[21]Result!$G$17</f>
        <v>28741.864085566252</v>
      </c>
      <c r="C590" s="13">
        <f>+[5]Result!$G$17-[1]Result!$G$17</f>
        <v>-51109.126869912259</v>
      </c>
      <c r="D590" s="32">
        <f>+[6]Result!$G$17-[5]Result!$G$17</f>
        <v>721308.71226777881</v>
      </c>
      <c r="E590" s="13">
        <f>+[7]Result!$G$17-[6]Result!$G$17</f>
        <v>-124418.17745751608</v>
      </c>
      <c r="F590" s="13">
        <f>+[8]Result!$G$17-[7]Result!$G$17</f>
        <v>51433.324802711606</v>
      </c>
      <c r="G590" s="32">
        <f>+[9]Result!$G$17-[8]Result!$G$17</f>
        <v>71266.145011280663</v>
      </c>
      <c r="H590" s="13">
        <f>+[10]Result!$G$17-[9]Result!$G$17</f>
        <v>36895.753856614232</v>
      </c>
      <c r="I590" s="13">
        <f>+[11]Result!$G$17-[10]Result!$G$17</f>
        <v>9511.1231355583295</v>
      </c>
      <c r="J590" s="32">
        <f>+[12]Result!$G$17-[11]Result!$G$17</f>
        <v>-28989.258272905834</v>
      </c>
      <c r="K590" s="13">
        <f>+[13]Result!$G$17-[12]Result!$G$17</f>
        <v>-17636.057386593893</v>
      </c>
      <c r="L590" s="13">
        <f>+[14]Result!$G$17-[13]Result!$G$17</f>
        <v>82118.029986250214</v>
      </c>
      <c r="M590" s="13">
        <f>+[15]Result!$G$17-[14]Result!$G$17</f>
        <v>1202618.0610334319</v>
      </c>
      <c r="N590" s="32">
        <f>+[16]Result!$G$17-[15]Result!$G$17</f>
        <v>-35295.776533721946</v>
      </c>
      <c r="O590" s="13">
        <f>+[17]Result!$G$17-[16]Result!$G$17</f>
        <v>-109492.60503653437</v>
      </c>
      <c r="P590" s="13">
        <f>+[18]Result!$G$17-[17]Result!$G$17</f>
        <v>31128.314169981051</v>
      </c>
      <c r="Q590" s="32">
        <f>+[19]Result!$G$17-[18]Result!$G$17</f>
        <v>7107.0272075496614</v>
      </c>
      <c r="R590" s="32">
        <f>+[20]Result!$G$17-[19]Result!$G$17</f>
        <v>-43672.325454615988</v>
      </c>
      <c r="S590" s="70">
        <f>+[22]Result!$G$17-[20]Result!$G$17</f>
        <v>-47102.094935142435</v>
      </c>
      <c r="AI590" s="73"/>
      <c r="AJ590" s="73"/>
      <c r="AK590" s="73"/>
    </row>
    <row r="591" spans="1:37" hidden="1" outlineLevel="2" x14ac:dyDescent="0.25">
      <c r="A591" s="16" t="s">
        <v>18</v>
      </c>
      <c r="B591" s="13">
        <f>+[1]Result!$G$18-[21]Result!$G$18</f>
        <v>29676.218538533896</v>
      </c>
      <c r="C591" s="13">
        <f>+[5]Result!$G$18-[1]Result!$G$18</f>
        <v>-47212.602092349902</v>
      </c>
      <c r="D591" s="32">
        <f>+[6]Result!$G$18-[5]Result!$G$18</f>
        <v>598728.66927802935</v>
      </c>
      <c r="E591" s="13">
        <f>+[7]Result!$G$18-[6]Result!$G$18</f>
        <v>-111108.20749861468</v>
      </c>
      <c r="F591" s="13">
        <f>+[8]Result!$G$18-[7]Result!$G$18</f>
        <v>50509.116892852355</v>
      </c>
      <c r="G591" s="32">
        <f>+[9]Result!$G$18-[8]Result!$G$18</f>
        <v>44431.978433368262</v>
      </c>
      <c r="H591" s="13">
        <f>+[10]Result!$G$18-[9]Result!$G$18</f>
        <v>34350.321485344321</v>
      </c>
      <c r="I591" s="13">
        <f>+[11]Result!$G$18-[10]Result!$G$18</f>
        <v>13107.647319463082</v>
      </c>
      <c r="J591" s="32">
        <f>+[12]Result!$G$18-[11]Result!$G$18</f>
        <v>-31974.332017875742</v>
      </c>
      <c r="K591" s="13">
        <f>+[13]Result!$G$18-[12]Result!$G$18</f>
        <v>-14991.514393804129</v>
      </c>
      <c r="L591" s="13">
        <f>+[14]Result!$G$18-[13]Result!$G$18</f>
        <v>68575.861636770889</v>
      </c>
      <c r="M591" s="13">
        <f>+[15]Result!$G$18-[14]Result!$G$18</f>
        <v>940023.62726048985</v>
      </c>
      <c r="N591" s="32">
        <f>+[16]Result!$G$18-[15]Result!$G$18</f>
        <v>-35913.581449311692</v>
      </c>
      <c r="O591" s="13">
        <f>+[17]Result!$G$18-[16]Result!$G$18</f>
        <v>-93286.376042123418</v>
      </c>
      <c r="P591" s="13">
        <f>+[18]Result!$G$18-[17]Result!$G$18</f>
        <v>20569.016766707879</v>
      </c>
      <c r="Q591" s="32">
        <f>+[19]Result!$G$18-[18]Result!$G$18</f>
        <v>5568.9880919051357</v>
      </c>
      <c r="R591" s="32">
        <f>+[20]Result!$G$18-[19]Result!$G$18</f>
        <v>-38935.028715777677</v>
      </c>
      <c r="S591" s="70">
        <f>+[22]Result!$G$18-[20]Result!$G$18</f>
        <v>-43550.575729718432</v>
      </c>
      <c r="AI591" s="73"/>
      <c r="AJ591" s="73"/>
      <c r="AK591" s="73"/>
    </row>
    <row r="592" spans="1:37" hidden="1" outlineLevel="2" x14ac:dyDescent="0.25">
      <c r="A592" s="16" t="s">
        <v>19</v>
      </c>
      <c r="B592" s="13">
        <f>+[1]Result!$G$19-[21]Result!$G$19</f>
        <v>35176.470661091618</v>
      </c>
      <c r="C592" s="13">
        <f>+[5]Result!$G$19-[1]Result!$G$19</f>
        <v>-47750.435602062847</v>
      </c>
      <c r="D592" s="32">
        <f>+[6]Result!$G$19-[5]Result!$G$19</f>
        <v>514659.12368205003</v>
      </c>
      <c r="E592" s="13">
        <f>+[7]Result!$G$19-[6]Result!$G$19</f>
        <v>-101515.06602668809</v>
      </c>
      <c r="F592" s="13">
        <f>+[8]Result!$G$19-[7]Result!$G$19</f>
        <v>50682.272804463282</v>
      </c>
      <c r="G592" s="32">
        <f>+[9]Result!$G$19-[8]Result!$G$19</f>
        <v>69601.556669033132</v>
      </c>
      <c r="H592" s="13">
        <f>+[10]Result!$G$19-[9]Result!$G$19</f>
        <v>35487.294006471988</v>
      </c>
      <c r="I592" s="13">
        <f>+[11]Result!$G$19-[10]Result!$G$19</f>
        <v>14608.664500760846</v>
      </c>
      <c r="J592" s="32">
        <f>+[12]Result!$G$19-[11]Result!$G$19</f>
        <v>-4074.6992554324679</v>
      </c>
      <c r="K592" s="13">
        <f>+[13]Result!$G$19-[12]Result!$G$19</f>
        <v>-12687.496125196572</v>
      </c>
      <c r="L592" s="13">
        <f>+[14]Result!$G$19-[13]Result!$G$19</f>
        <v>67722.765052096453</v>
      </c>
      <c r="M592" s="13">
        <f>+[15]Result!$G$19-[14]Result!$G$19</f>
        <v>752727.59763965383</v>
      </c>
      <c r="N592" s="32">
        <f>+[16]Result!$G$19-[15]Result!$G$19</f>
        <v>-31494.736419547349</v>
      </c>
      <c r="O592" s="13">
        <f>+[17]Result!$G$19-[16]Result!$G$19</f>
        <v>-82099.960067699198</v>
      </c>
      <c r="P592" s="13">
        <f>+[18]Result!$G$19-[17]Result!$G$19</f>
        <v>40446.230308468919</v>
      </c>
      <c r="Q592" s="32">
        <f>+[19]Result!$G$19-[18]Result!$G$19</f>
        <v>7898.842763768509</v>
      </c>
      <c r="R592" s="32">
        <f>+[20]Result!$G$19-[19]Result!$G$19</f>
        <v>-32815.817234100308</v>
      </c>
      <c r="S592" s="70">
        <f>+[22]Result!$G$19-[20]Result!$G$19</f>
        <v>-38446.20244816225</v>
      </c>
      <c r="AI592" s="73"/>
      <c r="AJ592" s="73"/>
      <c r="AK592" s="73"/>
    </row>
    <row r="593" spans="1:37" hidden="1" outlineLevel="2" x14ac:dyDescent="0.25">
      <c r="A593" s="16" t="s">
        <v>20</v>
      </c>
      <c r="B593" s="13">
        <f>+[1]Result!$G$20-[21]Result!$G$20</f>
        <v>35795.459647422656</v>
      </c>
      <c r="C593" s="13">
        <f>+[5]Result!$G$20-[1]Result!$G$20</f>
        <v>-40445.105603820179</v>
      </c>
      <c r="D593" s="32">
        <f>+[6]Result!$G$20-[5]Result!$G$20</f>
        <v>431576.17697093124</v>
      </c>
      <c r="E593" s="13">
        <f>+[7]Result!$G$20-[6]Result!$G$20</f>
        <v>-89313.653454772662</v>
      </c>
      <c r="F593" s="13">
        <f>+[8]Result!$G$20-[7]Result!$G$20</f>
        <v>47441.456052434631</v>
      </c>
      <c r="G593" s="32">
        <f>+[9]Result!$G$20-[8]Result!$G$20</f>
        <v>77591.563063478097</v>
      </c>
      <c r="H593" s="13">
        <f>+[10]Result!$G$20-[9]Result!$G$20</f>
        <v>34027.801784197334</v>
      </c>
      <c r="I593" s="13">
        <f>+[11]Result!$G$20-[10]Result!$G$20</f>
        <v>14668.25145553099</v>
      </c>
      <c r="J593" s="32">
        <f>+[12]Result!$G$20-[11]Result!$G$20</f>
        <v>-18748.876614791807</v>
      </c>
      <c r="K593" s="13">
        <f>+[13]Result!$G$20-[12]Result!$G$20</f>
        <v>-9676.2940606097691</v>
      </c>
      <c r="L593" s="13">
        <f>+[14]Result!$G$20-[13]Result!$G$20</f>
        <v>63379.344676617999</v>
      </c>
      <c r="M593" s="13">
        <f>+[15]Result!$G$20-[14]Result!$G$20</f>
        <v>583124.80961613031</v>
      </c>
      <c r="N593" s="32">
        <f>+[16]Result!$G$20-[15]Result!$G$20</f>
        <v>-21639.717003602535</v>
      </c>
      <c r="O593" s="13">
        <f>+[17]Result!$G$20-[16]Result!$G$20</f>
        <v>-69990.31589794904</v>
      </c>
      <c r="P593" s="13">
        <f>+[18]Result!$G$20-[17]Result!$G$20</f>
        <v>25838.098231184762</v>
      </c>
      <c r="Q593" s="32">
        <f>+[19]Result!$G$20-[18]Result!$G$20</f>
        <v>11005.446517131291</v>
      </c>
      <c r="R593" s="32">
        <f>+[20]Result!$G$20-[19]Result!$G$20</f>
        <v>-20974.244976663031</v>
      </c>
      <c r="S593" s="70">
        <f>+[22]Result!$G$20-[20]Result!$G$20</f>
        <v>-28503.082718205173</v>
      </c>
      <c r="AI593" s="73"/>
      <c r="AJ593" s="73"/>
      <c r="AK593" s="73"/>
    </row>
    <row r="594" spans="1:37" hidden="1" outlineLevel="2" x14ac:dyDescent="0.25">
      <c r="A594" s="16" t="s">
        <v>21</v>
      </c>
      <c r="B594" s="13">
        <f>+[1]Result!$G$21-[21]Result!$G$21</f>
        <v>32420.055042617489</v>
      </c>
      <c r="C594" s="13">
        <f>+[5]Result!$G$21-[1]Result!$G$21</f>
        <v>-29082.387347787153</v>
      </c>
      <c r="D594" s="32">
        <f>+[6]Result!$G$21-[5]Result!$G$21</f>
        <v>359356.0560567244</v>
      </c>
      <c r="E594" s="13">
        <f>+[7]Result!$G$21-[6]Result!$G$21</f>
        <v>-80742.222729051951</v>
      </c>
      <c r="F594" s="13">
        <f>+[8]Result!$G$21-[7]Result!$G$21</f>
        <v>44490.649048926309</v>
      </c>
      <c r="G594" s="32">
        <f>+[9]Result!$G$21-[8]Result!$G$21</f>
        <v>70838.201769951731</v>
      </c>
      <c r="H594" s="13">
        <f>+[10]Result!$G$21-[9]Result!$G$21</f>
        <v>31298.141512006056</v>
      </c>
      <c r="I594" s="13">
        <f>+[11]Result!$G$21-[10]Result!$G$21</f>
        <v>15218.757676921319</v>
      </c>
      <c r="J594" s="32">
        <f>+[12]Result!$G$21-[11]Result!$G$21</f>
        <v>-28104.861400328577</v>
      </c>
      <c r="K594" s="13">
        <f>+[13]Result!$G$21-[12]Result!$G$21</f>
        <v>-7214.4390939860605</v>
      </c>
      <c r="L594" s="13">
        <f>+[14]Result!$G$21-[13]Result!$G$21</f>
        <v>58377.230228874367</v>
      </c>
      <c r="M594" s="13">
        <f>+[15]Result!$G$21-[14]Result!$G$21</f>
        <v>463661.83863336314</v>
      </c>
      <c r="N594" s="32">
        <f>+[16]Result!$G$21-[15]Result!$G$21</f>
        <v>-15570.329055745387</v>
      </c>
      <c r="O594" s="13">
        <f>+[17]Result!$G$21-[16]Result!$G$21</f>
        <v>-61162.682279195637</v>
      </c>
      <c r="P594" s="13">
        <f>+[18]Result!$G$21-[17]Result!$G$21</f>
        <v>13723.460707705468</v>
      </c>
      <c r="Q594" s="32">
        <f>+[19]Result!$G$21-[18]Result!$G$21</f>
        <v>11258.26538723032</v>
      </c>
      <c r="R594" s="32">
        <f>+[20]Result!$G$21-[19]Result!$G$21</f>
        <v>-12724.845816179644</v>
      </c>
      <c r="S594" s="70">
        <f>+[22]Result!$G$21-[20]Result!$G$21</f>
        <v>-20926.820198372938</v>
      </c>
      <c r="AI594" s="73"/>
      <c r="AJ594" s="73"/>
      <c r="AK594" s="73"/>
    </row>
    <row r="595" spans="1:37" hidden="1" outlineLevel="2" x14ac:dyDescent="0.25">
      <c r="A595" s="16" t="s">
        <v>22</v>
      </c>
      <c r="B595" s="13">
        <f>+[1]Result!$G$22-[21]Result!$G$22</f>
        <v>27573.423428737093</v>
      </c>
      <c r="C595" s="13">
        <f>+[5]Result!$G$22-[1]Result!$G$22</f>
        <v>-19385.55518589681</v>
      </c>
      <c r="D595" s="32">
        <f>+[6]Result!$G$22-[5]Result!$G$22</f>
        <v>284619.7524401336</v>
      </c>
      <c r="E595" s="13">
        <f>+[7]Result!$G$22-[6]Result!$G$22</f>
        <v>-72009.950412139762</v>
      </c>
      <c r="F595" s="13">
        <f>+[8]Result!$G$22-[7]Result!$G$22</f>
        <v>40967.913096457953</v>
      </c>
      <c r="G595" s="32">
        <f>+[9]Result!$G$22-[8]Result!$G$22</f>
        <v>63330.505871844245</v>
      </c>
      <c r="H595" s="13">
        <f>+[10]Result!$G$22-[9]Result!$G$22</f>
        <v>27792.67373904516</v>
      </c>
      <c r="I595" s="13">
        <f>+[11]Result!$G$22-[10]Result!$G$22</f>
        <v>15405.572360682301</v>
      </c>
      <c r="J595" s="32">
        <f>+[12]Result!$G$22-[11]Result!$G$22</f>
        <v>-46728.410463283304</v>
      </c>
      <c r="K595" s="13">
        <f>+[13]Result!$G$22-[12]Result!$G$22</f>
        <v>-5349.7429298509378</v>
      </c>
      <c r="L595" s="13">
        <f>+[14]Result!$G$22-[13]Result!$G$22</f>
        <v>52842.886151844403</v>
      </c>
      <c r="M595" s="13">
        <f>+[15]Result!$G$22-[14]Result!$G$22</f>
        <v>363330.33356263884</v>
      </c>
      <c r="N595" s="32">
        <f>+[16]Result!$G$22-[15]Result!$G$22</f>
        <v>-14041.781470340677</v>
      </c>
      <c r="O595" s="13">
        <f>+[17]Result!$G$22-[16]Result!$G$22</f>
        <v>-53956.03432645672</v>
      </c>
      <c r="P595" s="13">
        <f>+[18]Result!$G$22-[17]Result!$G$22</f>
        <v>509.33784335548989</v>
      </c>
      <c r="Q595" s="32">
        <f>+[19]Result!$G$22-[18]Result!$G$22</f>
        <v>11107.553727322724</v>
      </c>
      <c r="R595" s="32">
        <f>+[20]Result!$G$22-[19]Result!$G$22</f>
        <v>-9374.1250720599201</v>
      </c>
      <c r="S595" s="70">
        <f>+[22]Result!$G$22-[20]Result!$G$22</f>
        <v>-18539.005949012935</v>
      </c>
      <c r="AI595" s="73"/>
      <c r="AJ595" s="73"/>
      <c r="AK595" s="73"/>
    </row>
    <row r="596" spans="1:37" hidden="1" outlineLevel="2" x14ac:dyDescent="0.25">
      <c r="A596" s="16" t="s">
        <v>23</v>
      </c>
      <c r="B596" s="13">
        <f>+[1]Result!$G$23-[21]Result!$G$23</f>
        <v>23794.268305768259</v>
      </c>
      <c r="C596" s="13">
        <f>+[5]Result!$G$23-[1]Result!$G$23</f>
        <v>-14729.235859876499</v>
      </c>
      <c r="D596" s="32">
        <f>+[6]Result!$G$23-[5]Result!$G$23</f>
        <v>215295.21239205729</v>
      </c>
      <c r="E596" s="13">
        <f>+[7]Result!$G$23-[6]Result!$G$23</f>
        <v>-63107.0950496234</v>
      </c>
      <c r="F596" s="13">
        <f>+[8]Result!$G$23-[7]Result!$G$23</f>
        <v>37918.325225223787</v>
      </c>
      <c r="G596" s="32">
        <f>+[9]Result!$G$23-[8]Result!$G$23</f>
        <v>46917.359145617811</v>
      </c>
      <c r="H596" s="13">
        <f>+[10]Result!$G$23-[9]Result!$G$23</f>
        <v>24455.102254817495</v>
      </c>
      <c r="I596" s="13">
        <f>+[11]Result!$G$23-[10]Result!$G$23</f>
        <v>15350.997757049045</v>
      </c>
      <c r="J596" s="32">
        <f>+[12]Result!$G$23-[11]Result!$G$23</f>
        <v>-60437.597656865604</v>
      </c>
      <c r="K596" s="13">
        <f>+[13]Result!$G$23-[12]Result!$G$23</f>
        <v>-4040.5553705261555</v>
      </c>
      <c r="L596" s="13">
        <f>+[14]Result!$G$23-[13]Result!$G$23</f>
        <v>47960.353069819743</v>
      </c>
      <c r="M596" s="13">
        <f>+[15]Result!$G$23-[14]Result!$G$23</f>
        <v>282067.72551097558</v>
      </c>
      <c r="N596" s="32">
        <f>+[16]Result!$G$23-[15]Result!$G$23</f>
        <v>-13392.466508339625</v>
      </c>
      <c r="O596" s="13">
        <f>+[17]Result!$G$23-[16]Result!$G$23</f>
        <v>-48509.166632278822</v>
      </c>
      <c r="P596" s="13">
        <f>+[18]Result!$G$23-[17]Result!$G$23</f>
        <v>-3840.4701150604524</v>
      </c>
      <c r="Q596" s="32">
        <f>+[19]Result!$G$23-[18]Result!$G$23</f>
        <v>10216.416955448221</v>
      </c>
      <c r="R596" s="32">
        <f>+[20]Result!$G$23-[19]Result!$G$23</f>
        <v>-7079.3734519621357</v>
      </c>
      <c r="S596" s="70">
        <f>+[22]Result!$G$23-[20]Result!$G$23</f>
        <v>-16965.064661924494</v>
      </c>
      <c r="AI596" s="73"/>
      <c r="AJ596" s="73"/>
      <c r="AK596" s="73"/>
    </row>
    <row r="597" spans="1:37" hidden="1" outlineLevel="2" x14ac:dyDescent="0.25">
      <c r="A597" s="16" t="s">
        <v>24</v>
      </c>
      <c r="B597" s="13">
        <f>+[1]Result!$G$24-[21]Result!$G$24</f>
        <v>22849.13919854071</v>
      </c>
      <c r="C597" s="13">
        <f>+[5]Result!$G$24-[1]Result!$G$24</f>
        <v>-16069.353237869684</v>
      </c>
      <c r="D597" s="32">
        <f>+[6]Result!$G$24-[5]Result!$G$24</f>
        <v>193120.89860883821</v>
      </c>
      <c r="E597" s="13">
        <f>+[7]Result!$G$24-[6]Result!$G$24</f>
        <v>-55210.213091779966</v>
      </c>
      <c r="F597" s="13">
        <f>+[8]Result!$G$24-[7]Result!$G$24</f>
        <v>36360.397356213536</v>
      </c>
      <c r="G597" s="32">
        <f>+[9]Result!$G$24-[8]Result!$G$24</f>
        <v>52107.415188524174</v>
      </c>
      <c r="H597" s="13">
        <f>+[10]Result!$G$24-[9]Result!$G$24</f>
        <v>21708.328313179547</v>
      </c>
      <c r="I597" s="13">
        <f>+[11]Result!$G$24-[10]Result!$G$24</f>
        <v>15361.668436760781</v>
      </c>
      <c r="J597" s="32">
        <f>+[12]Result!$G$24-[11]Result!$G$24</f>
        <v>-44466.594270855421</v>
      </c>
      <c r="K597" s="13">
        <f>+[13]Result!$G$24-[12]Result!$G$24</f>
        <v>-2975.5411689197645</v>
      </c>
      <c r="L597" s="13">
        <f>+[14]Result!$G$24-[13]Result!$G$24</f>
        <v>43338.827075840672</v>
      </c>
      <c r="M597" s="13">
        <f>+[15]Result!$G$24-[14]Result!$G$24</f>
        <v>235300.90414253343</v>
      </c>
      <c r="N597" s="32">
        <f>+[16]Result!$G$24-[15]Result!$G$24</f>
        <v>-12762.279062739108</v>
      </c>
      <c r="O597" s="13">
        <f>+[17]Result!$G$24-[16]Result!$G$24</f>
        <v>-43235.209013854386</v>
      </c>
      <c r="P597" s="13">
        <f>+[18]Result!$G$24-[17]Result!$G$24</f>
        <v>2382.7994612862822</v>
      </c>
      <c r="Q597" s="32">
        <f>+[19]Result!$G$24-[18]Result!$G$24</f>
        <v>8834.8303323551081</v>
      </c>
      <c r="R597" s="32">
        <f>+[20]Result!$G$24-[19]Result!$G$24</f>
        <v>-5377.0342634867411</v>
      </c>
      <c r="S597" s="70">
        <f>+[22]Result!$G$24-[20]Result!$G$24</f>
        <v>-15313.508418105077</v>
      </c>
      <c r="AI597" s="73"/>
      <c r="AJ597" s="73"/>
      <c r="AK597" s="73"/>
    </row>
    <row r="598" spans="1:37" hidden="1" outlineLevel="1" x14ac:dyDescent="0.25">
      <c r="A598" s="15" t="s">
        <v>25</v>
      </c>
      <c r="B598" s="13">
        <f>+'[1]Stat by Mat'!$J$6-'[21]Stat by Mat'!$J$6</f>
        <v>122475.61870452389</v>
      </c>
      <c r="C598" s="13">
        <f>+'[5]Stat by Mat'!$J$6-'[1]Stat by Mat'!$J$6</f>
        <v>-131529.39807276521</v>
      </c>
      <c r="D598" s="32">
        <f>+'[6]Stat by Mat'!$J$6-'[5]Stat by Mat'!$J$6</f>
        <v>731092.64543525036</v>
      </c>
      <c r="E598" s="13">
        <f>+'[7]Stat by Mat'!$J$6-'[6]Stat by Mat'!$J$6</f>
        <v>-202760.35137110855</v>
      </c>
      <c r="F598" s="13">
        <f>+'[8]Stat by Mat'!$J$6-'[7]Stat by Mat'!$J$6</f>
        <v>179104.21187780332</v>
      </c>
      <c r="G598" s="32">
        <f>+'[9]Stat by Mat'!$J$6-'[8]Stat by Mat'!$J$6</f>
        <v>203822.15917141549</v>
      </c>
      <c r="H598" s="13">
        <f>+'[10]Stat by Mat'!$J$6-'[9]Stat by Mat'!$J$6</f>
        <v>92506.736633126624</v>
      </c>
      <c r="I598" s="13">
        <f>+'[11]Stat by Mat'!$J$6-'[10]Stat by Mat'!$J$6</f>
        <v>84981.907524944283</v>
      </c>
      <c r="J598" s="32">
        <f>+'[12]Stat by Mat'!$J$6-'[11]Stat by Mat'!$J$6</f>
        <v>-336336.40467317495</v>
      </c>
      <c r="K598" s="13">
        <f>+'[13]Stat by Mat'!$J$6-'[12]Stat by Mat'!$J$6</f>
        <v>-5645.7570396726951</v>
      </c>
      <c r="L598" s="13">
        <f>+'[14]Stat by Mat'!$J$6-'[13]Stat by Mat'!$J$6</f>
        <v>203652.51860098261</v>
      </c>
      <c r="M598" s="13">
        <f>+'[15]Stat by Mat'!$J$6-'[14]Stat by Mat'!$J$6</f>
        <v>1451678.9914482404</v>
      </c>
      <c r="N598" s="32">
        <f>+'[16]Stat by Mat'!$J$6-'[15]Stat by Mat'!$J$6</f>
        <v>-59381.130128438119</v>
      </c>
      <c r="O598" s="13">
        <f>+'[17]Stat by Mat'!$J$6-'[16]Stat by Mat'!$J$6</f>
        <v>-171446.39879263891</v>
      </c>
      <c r="P598" s="13">
        <f>+'[18]Stat by Mat'!$J$6-'[17]Stat by Mat'!$J$6</f>
        <v>-39177.622952827252</v>
      </c>
      <c r="Q598" s="32">
        <f>+'[19]Stat by Mat'!$J$6-'[18]Stat by Mat'!$J$6</f>
        <v>32184.588263455778</v>
      </c>
      <c r="R598" s="32">
        <f>+'[20]Stat by Mat'!$J$6-'[19]Stat by Mat'!$J$6</f>
        <v>-12701.033067914192</v>
      </c>
      <c r="S598" s="70">
        <f>+'[22]Stat by Mat'!$J$6-'[20]Stat by Mat'!$J$6</f>
        <v>-64895.601153210271</v>
      </c>
      <c r="T598" s="13">
        <f>+B598-SUM(B599:B608)</f>
        <v>-2.2700987756252289E-9</v>
      </c>
      <c r="U598" s="13">
        <f t="shared" ref="U598:W598" si="455">+C598-SUM(C599:C608)</f>
        <v>-3.2014213502407074E-10</v>
      </c>
      <c r="V598" s="13">
        <f t="shared" si="455"/>
        <v>1.862645149230957E-9</v>
      </c>
      <c r="W598" s="13">
        <f t="shared" si="455"/>
        <v>-1.7753336578607559E-9</v>
      </c>
      <c r="X598" s="13">
        <f t="shared" ref="X598" si="456">+F598-SUM(F599:F608)</f>
        <v>2.2700987756252289E-9</v>
      </c>
      <c r="Y598" s="13">
        <f t="shared" ref="Y598:AE598" si="457">+G598-SUM(G599:G608)</f>
        <v>-1.862645149230957E-9</v>
      </c>
      <c r="Z598" s="13">
        <f t="shared" si="457"/>
        <v>0</v>
      </c>
      <c r="AA598" s="13">
        <f t="shared" si="457"/>
        <v>1.3678800314664841E-9</v>
      </c>
      <c r="AB598" s="13">
        <f t="shared" si="457"/>
        <v>-4.6566128730773926E-10</v>
      </c>
      <c r="AC598" s="13">
        <f t="shared" si="457"/>
        <v>-7.2759576141834259E-10</v>
      </c>
      <c r="AD598" s="13">
        <f t="shared" si="457"/>
        <v>9.6042640507221222E-10</v>
      </c>
      <c r="AE598" s="13">
        <f t="shared" si="457"/>
        <v>0</v>
      </c>
      <c r="AF598" s="13">
        <f t="shared" ref="AF598" si="458">+N598-SUM(N599:N608)</f>
        <v>2.9103830456733704E-10</v>
      </c>
      <c r="AG598" s="13">
        <f t="shared" ref="AG598:AH598" si="459">+O598-SUM(O599:O608)</f>
        <v>0</v>
      </c>
      <c r="AH598" s="13">
        <f t="shared" si="459"/>
        <v>5.8207660913467407E-11</v>
      </c>
      <c r="AI598" s="73">
        <f t="shared" ref="AI598" si="460">+Q598-SUM(Q599:Q608)</f>
        <v>-8.7311491370201111E-11</v>
      </c>
      <c r="AJ598" s="73">
        <f t="shared" ref="AJ598:AK598" si="461">+R598-SUM(R599:R608)</f>
        <v>1.3096723705530167E-10</v>
      </c>
      <c r="AK598" s="73">
        <f t="shared" si="461"/>
        <v>-1.3096723705530167E-10</v>
      </c>
    </row>
    <row r="599" spans="1:37" hidden="1" outlineLevel="2" x14ac:dyDescent="0.25">
      <c r="A599" s="16" t="s">
        <v>26</v>
      </c>
      <c r="B599" s="13">
        <f>+[1]Result!$G$25-[21]Result!$G$25</f>
        <v>21558.100229632575</v>
      </c>
      <c r="C599" s="13">
        <f>+[5]Result!$G$25-[1]Result!$G$25</f>
        <v>-18373.679554557428</v>
      </c>
      <c r="D599" s="32">
        <f>+[6]Result!$G$25-[5]Result!$G$25</f>
        <v>166877.93817404541</v>
      </c>
      <c r="E599" s="13">
        <f>+[7]Result!$G$25-[6]Result!$G$25</f>
        <v>-45196.286935358075</v>
      </c>
      <c r="F599" s="13">
        <f>+[8]Result!$G$25-[7]Result!$G$25</f>
        <v>32963.152549107326</v>
      </c>
      <c r="G599" s="32">
        <f>+[9]Result!$G$25-[8]Result!$G$25</f>
        <v>49784.703127454501</v>
      </c>
      <c r="H599" s="13">
        <f>+[10]Result!$G$25-[9]Result!$G$25</f>
        <v>18465.646365283057</v>
      </c>
      <c r="I599" s="13">
        <f>+[11]Result!$G$25-[10]Result!$G$25</f>
        <v>14461.631358023966</v>
      </c>
      <c r="J599" s="32">
        <f>+[12]Result!$G$25-[11]Result!$G$25</f>
        <v>-43863.055467912229</v>
      </c>
      <c r="K599" s="13">
        <f>+[13]Result!$G$25-[12]Result!$G$25</f>
        <v>-2037.5597385170404</v>
      </c>
      <c r="L599" s="13">
        <f>+[14]Result!$G$25-[13]Result!$G$25</f>
        <v>37982.494665272301</v>
      </c>
      <c r="M599" s="13">
        <f>+[15]Result!$G$25-[14]Result!$G$25</f>
        <v>215280.15087346814</v>
      </c>
      <c r="N599" s="32">
        <f>+[16]Result!$G$25-[15]Result!$G$25</f>
        <v>-11438.669832486077</v>
      </c>
      <c r="O599" s="13">
        <f>+[17]Result!$G$25-[16]Result!$G$25</f>
        <v>-36543.02883376542</v>
      </c>
      <c r="P599" s="13">
        <f>+[18]Result!$G$25-[17]Result!$G$25</f>
        <v>2426.9078307402087</v>
      </c>
      <c r="Q599" s="32">
        <f>+[19]Result!$G$25-[18]Result!$G$25</f>
        <v>7194.2920338705881</v>
      </c>
      <c r="R599" s="32">
        <f>+[20]Result!$G$25-[19]Result!$G$25</f>
        <v>-3865.5731939551188</v>
      </c>
      <c r="S599" s="70">
        <f>+[22]Result!$G$25-[20]Result!$G$25</f>
        <v>-13293.153006717912</v>
      </c>
      <c r="AI599" s="73"/>
      <c r="AJ599" s="73"/>
      <c r="AK599" s="73"/>
    </row>
    <row r="600" spans="1:37" hidden="1" outlineLevel="2" x14ac:dyDescent="0.25">
      <c r="A600" s="16" t="s">
        <v>27</v>
      </c>
      <c r="B600" s="13">
        <f>+[1]Result!$G$26-[21]Result!$G$26</f>
        <v>19813.181952387793</v>
      </c>
      <c r="C600" s="13">
        <f>+[5]Result!$G$26-[1]Result!$G$26</f>
        <v>-19122.557817905908</v>
      </c>
      <c r="D600" s="32">
        <f>+[6]Result!$G$26-[5]Result!$G$26</f>
        <v>142137.56733676663</v>
      </c>
      <c r="E600" s="13">
        <f>+[7]Result!$G$26-[6]Result!$G$26</f>
        <v>-36658.101113998564</v>
      </c>
      <c r="F600" s="13">
        <f>+[8]Result!$G$26-[7]Result!$G$26</f>
        <v>29263.976382294786</v>
      </c>
      <c r="G600" s="32">
        <f>+[9]Result!$G$26-[8]Result!$G$26</f>
        <v>45083.539492422715</v>
      </c>
      <c r="H600" s="13">
        <f>+[10]Result!$G$26-[9]Result!$G$26</f>
        <v>15671.49114618462</v>
      </c>
      <c r="I600" s="13">
        <f>+[11]Result!$G$26-[10]Result!$G$26</f>
        <v>13148.406127648777</v>
      </c>
      <c r="J600" s="32">
        <f>+[12]Result!$G$26-[11]Result!$G$26</f>
        <v>-43667.60846276104</v>
      </c>
      <c r="K600" s="13">
        <f>+[13]Result!$G$26-[12]Result!$G$26</f>
        <v>-1378.2427765736356</v>
      </c>
      <c r="L600" s="13">
        <f>+[14]Result!$G$26-[13]Result!$G$26</f>
        <v>32998.070323976222</v>
      </c>
      <c r="M600" s="13">
        <f>+[15]Result!$G$26-[14]Result!$G$26</f>
        <v>198961.50651783659</v>
      </c>
      <c r="N600" s="32">
        <f>+[16]Result!$G$26-[15]Result!$G$26</f>
        <v>-10030.96505034226</v>
      </c>
      <c r="O600" s="13">
        <f>+[17]Result!$G$26-[16]Result!$G$26</f>
        <v>-30426.934394898009</v>
      </c>
      <c r="P600" s="13">
        <f>+[18]Result!$G$26-[17]Result!$G$26</f>
        <v>41.569174293545075</v>
      </c>
      <c r="Q600" s="32">
        <f>+[19]Result!$G$26-[18]Result!$G$26</f>
        <v>5866.7129023257876</v>
      </c>
      <c r="R600" s="32">
        <f>+[20]Result!$G$26-[19]Result!$G$26</f>
        <v>-2731.3222148178611</v>
      </c>
      <c r="S600" s="70">
        <f>+[22]Result!$G$26-[20]Result!$G$26</f>
        <v>-11269.771452341811</v>
      </c>
      <c r="AI600" s="73"/>
      <c r="AJ600" s="73"/>
      <c r="AK600" s="73"/>
    </row>
    <row r="601" spans="1:37" hidden="1" outlineLevel="2" x14ac:dyDescent="0.25">
      <c r="A601" s="16" t="s">
        <v>28</v>
      </c>
      <c r="B601" s="13">
        <f>+[1]Result!$G$27-[21]Result!$G$27</f>
        <v>17509.741933346842</v>
      </c>
      <c r="C601" s="13">
        <f>+[5]Result!$G$27-[1]Result!$G$27</f>
        <v>-18413.388677706826</v>
      </c>
      <c r="D601" s="32">
        <f>+[6]Result!$G$27-[5]Result!$G$27</f>
        <v>115451.79158054467</v>
      </c>
      <c r="E601" s="13">
        <f>+[7]Result!$G$27-[6]Result!$G$27</f>
        <v>-29566.437419375638</v>
      </c>
      <c r="F601" s="13">
        <f>+[8]Result!$G$27-[7]Result!$G$27</f>
        <v>25464.648615603102</v>
      </c>
      <c r="G601" s="32">
        <f>+[9]Result!$G$27-[8]Result!$G$27</f>
        <v>37450.854367810651</v>
      </c>
      <c r="H601" s="13">
        <f>+[10]Result!$G$27-[9]Result!$G$27</f>
        <v>13224.703567886725</v>
      </c>
      <c r="I601" s="13">
        <f>+[11]Result!$G$27-[10]Result!$G$27</f>
        <v>11700.027518903138</v>
      </c>
      <c r="J601" s="32">
        <f>+[12]Result!$G$27-[11]Result!$G$27</f>
        <v>-46210.207008452271</v>
      </c>
      <c r="K601" s="13">
        <f>+[13]Result!$G$27-[12]Result!$G$27</f>
        <v>-942.11969456251245</v>
      </c>
      <c r="L601" s="13">
        <f>+[14]Result!$G$27-[13]Result!$G$27</f>
        <v>28590.978660612251</v>
      </c>
      <c r="M601" s="13">
        <f>+[15]Result!$G$27-[14]Result!$G$27</f>
        <v>181760.8144634628</v>
      </c>
      <c r="N601" s="32">
        <f>+[16]Result!$G$27-[15]Result!$G$27</f>
        <v>-8660.9396918036509</v>
      </c>
      <c r="O601" s="13">
        <f>+[17]Result!$G$27-[16]Result!$G$27</f>
        <v>-25400.863679936738</v>
      </c>
      <c r="P601" s="13">
        <f>+[18]Result!$G$27-[17]Result!$G$27</f>
        <v>-4467.9111663670046</v>
      </c>
      <c r="Q601" s="32">
        <f>+[19]Result!$G$27-[18]Result!$G$27</f>
        <v>4800.3480628608959</v>
      </c>
      <c r="R601" s="32">
        <f>+[20]Result!$G$27-[19]Result!$G$27</f>
        <v>-1995.274663652177</v>
      </c>
      <c r="S601" s="70">
        <f>+[22]Result!$G$27-[20]Result!$G$27</f>
        <v>-9537.5679859162774</v>
      </c>
      <c r="AI601" s="73"/>
      <c r="AJ601" s="73"/>
      <c r="AK601" s="73"/>
    </row>
    <row r="602" spans="1:37" hidden="1" outlineLevel="2" x14ac:dyDescent="0.25">
      <c r="A602" s="16" t="s">
        <v>29</v>
      </c>
      <c r="B602" s="13">
        <f>+[1]Result!$G$28-[21]Result!$G$28</f>
        <v>15298.428044239641</v>
      </c>
      <c r="C602" s="13">
        <f>+[5]Result!$G$28-[1]Result!$G$28</f>
        <v>-17019.86514554231</v>
      </c>
      <c r="D602" s="32">
        <f>+[6]Result!$G$28-[5]Result!$G$28</f>
        <v>89241.589045279427</v>
      </c>
      <c r="E602" s="13">
        <f>+[7]Result!$G$28-[6]Result!$G$28</f>
        <v>-24131.030077273143</v>
      </c>
      <c r="F602" s="13">
        <f>+[8]Result!$G$28-[7]Result!$G$28</f>
        <v>22086.517436582129</v>
      </c>
      <c r="G602" s="32">
        <f>+[9]Result!$G$28-[8]Result!$G$28</f>
        <v>21585.833134699729</v>
      </c>
      <c r="H602" s="13">
        <f>+[10]Result!$G$28-[9]Result!$G$28</f>
        <v>11267.883047373383</v>
      </c>
      <c r="I602" s="13">
        <f>+[11]Result!$G$28-[10]Result!$G$28</f>
        <v>10639.842747843941</v>
      </c>
      <c r="J602" s="32">
        <f>+[12]Result!$G$28-[11]Result!$G$28</f>
        <v>-46194.944914011634</v>
      </c>
      <c r="K602" s="13">
        <f>+[13]Result!$G$28-[12]Result!$G$28</f>
        <v>-608.29732406302355</v>
      </c>
      <c r="L602" s="13">
        <f>+[14]Result!$G$28-[13]Result!$G$28</f>
        <v>25141.061449599103</v>
      </c>
      <c r="M602" s="13">
        <f>+[15]Result!$G$28-[14]Result!$G$28</f>
        <v>165828.60659026389</v>
      </c>
      <c r="N602" s="32">
        <f>+[16]Result!$G$28-[15]Result!$G$28</f>
        <v>-7667.4184275749722</v>
      </c>
      <c r="O602" s="13">
        <f>+[17]Result!$G$28-[16]Result!$G$28</f>
        <v>-21748.281971359684</v>
      </c>
      <c r="P602" s="13">
        <f>+[18]Result!$G$28-[17]Result!$G$28</f>
        <v>-4978.095952524629</v>
      </c>
      <c r="Q602" s="32">
        <f>+[19]Result!$G$28-[18]Result!$G$28</f>
        <v>4002.8400030767079</v>
      </c>
      <c r="R602" s="32">
        <f>+[20]Result!$G$28-[19]Result!$G$28</f>
        <v>-1446.4391411254182</v>
      </c>
      <c r="S602" s="70">
        <f>+[22]Result!$G$28-[20]Result!$G$28</f>
        <v>-8297.667756590934</v>
      </c>
      <c r="AI602" s="73"/>
      <c r="AJ602" s="73"/>
      <c r="AK602" s="73"/>
    </row>
    <row r="603" spans="1:37" hidden="1" outlineLevel="2" x14ac:dyDescent="0.25">
      <c r="A603" s="16" t="s">
        <v>30</v>
      </c>
      <c r="B603" s="13">
        <f>+[1]Result!$G$29-[21]Result!$G$29</f>
        <v>13678.834134184173</v>
      </c>
      <c r="C603" s="13">
        <f>+[5]Result!$G$29-[1]Result!$G$29</f>
        <v>-15888.000621478888</v>
      </c>
      <c r="D603" s="32">
        <f>+[6]Result!$G$29-[5]Result!$G$29</f>
        <v>74971.193129719468</v>
      </c>
      <c r="E603" s="13">
        <f>+[7]Result!$G$29-[6]Result!$G$29</f>
        <v>-20244.337721423712</v>
      </c>
      <c r="F603" s="13">
        <f>+[8]Result!$G$29-[7]Result!$G$29</f>
        <v>19506.058454903774</v>
      </c>
      <c r="G603" s="32">
        <f>+[9]Result!$G$29-[8]Result!$G$29</f>
        <v>21257.533477587276</v>
      </c>
      <c r="H603" s="13">
        <f>+[10]Result!$G$29-[9]Result!$G$29</f>
        <v>9669.9400782736484</v>
      </c>
      <c r="I603" s="13">
        <f>+[11]Result!$G$29-[10]Result!$G$29</f>
        <v>9554.6646708456101</v>
      </c>
      <c r="J603" s="32">
        <f>+[12]Result!$G$29-[11]Result!$G$29</f>
        <v>-32581.125799525995</v>
      </c>
      <c r="K603" s="13">
        <f>+[13]Result!$G$29-[12]Result!$G$29</f>
        <v>-330.74861742544454</v>
      </c>
      <c r="L603" s="13">
        <f>+[14]Result!$G$29-[13]Result!$G$29</f>
        <v>21591.684746730374</v>
      </c>
      <c r="M603" s="13">
        <f>+[15]Result!$G$29-[14]Result!$G$29</f>
        <v>152512.1806215418</v>
      </c>
      <c r="N603" s="32">
        <f>+[16]Result!$G$29-[15]Result!$G$29</f>
        <v>-6517.2546222485835</v>
      </c>
      <c r="O603" s="13">
        <f>+[17]Result!$G$29-[16]Result!$G$29</f>
        <v>-17959.742037385993</v>
      </c>
      <c r="P603" s="13">
        <f>+[18]Result!$G$29-[17]Result!$G$29</f>
        <v>593.93675053340849</v>
      </c>
      <c r="Q603" s="32">
        <f>+[19]Result!$G$29-[18]Result!$G$29</f>
        <v>3226.4200391900376</v>
      </c>
      <c r="R603" s="32">
        <f>+[20]Result!$G$29-[19]Result!$G$29</f>
        <v>-1008.4255481435684</v>
      </c>
      <c r="S603" s="70">
        <f>+[22]Result!$G$29-[20]Result!$G$29</f>
        <v>-6838.356724857993</v>
      </c>
      <c r="AI603" s="73"/>
      <c r="AJ603" s="73"/>
      <c r="AK603" s="73"/>
    </row>
    <row r="604" spans="1:37" hidden="1" outlineLevel="2" x14ac:dyDescent="0.25">
      <c r="A604" s="16" t="s">
        <v>31</v>
      </c>
      <c r="B604" s="13">
        <f>+[1]Result!$G$30-[21]Result!$G$30</f>
        <v>10939.202659750881</v>
      </c>
      <c r="C604" s="13">
        <f>+[5]Result!$G$30-[1]Result!$G$30</f>
        <v>-13133.595938017592</v>
      </c>
      <c r="D604" s="32">
        <f>+[6]Result!$G$30-[5]Result!$G$30</f>
        <v>59088.666506446432</v>
      </c>
      <c r="E604" s="13">
        <f>+[7]Result!$G$30-[6]Result!$G$30</f>
        <v>-15341.147090585087</v>
      </c>
      <c r="F604" s="13">
        <f>+[8]Result!$G$30-[7]Result!$G$30</f>
        <v>15448.703967643436</v>
      </c>
      <c r="G604" s="32">
        <f>+[9]Result!$G$30-[8]Result!$G$30</f>
        <v>19816.031537774135</v>
      </c>
      <c r="H604" s="13">
        <f>+[10]Result!$G$30-[9]Result!$G$30</f>
        <v>7490.299504651106</v>
      </c>
      <c r="I604" s="13">
        <f>+[11]Result!$G$30-[10]Result!$G$30</f>
        <v>7596.0771503827418</v>
      </c>
      <c r="J604" s="32">
        <f>+[12]Result!$G$30-[11]Result!$G$30</f>
        <v>-30592.863902223879</v>
      </c>
      <c r="K604" s="13">
        <f>+[13]Result!$G$30-[12]Result!$G$30</f>
        <v>-158.85837246157462</v>
      </c>
      <c r="L604" s="13">
        <f>+[14]Result!$G$30-[13]Result!$G$30</f>
        <v>17111.684902537323</v>
      </c>
      <c r="M604" s="13">
        <f>+[15]Result!$G$30-[14]Result!$G$30</f>
        <v>138443.13511446584</v>
      </c>
      <c r="N604" s="32">
        <f>+[16]Result!$G$30-[15]Result!$G$30</f>
        <v>-4871.3467096610693</v>
      </c>
      <c r="O604" s="13">
        <f>+[17]Result!$G$30-[16]Result!$G$30</f>
        <v>-13131.684145081555</v>
      </c>
      <c r="P604" s="13">
        <f>+[18]Result!$G$30-[17]Result!$G$30</f>
        <v>92.019006460555829</v>
      </c>
      <c r="Q604" s="32">
        <f>+[19]Result!$G$30-[18]Result!$G$30</f>
        <v>2329.4376182303531</v>
      </c>
      <c r="R604" s="32">
        <f>+[20]Result!$G$30-[19]Result!$G$30</f>
        <v>-643.20974743849365</v>
      </c>
      <c r="S604" s="70">
        <f>+[22]Result!$G$30-[20]Result!$G$30</f>
        <v>-5016.3868365550297</v>
      </c>
      <c r="AI604" s="73"/>
      <c r="AJ604" s="73"/>
      <c r="AK604" s="73"/>
    </row>
    <row r="605" spans="1:37" hidden="1" outlineLevel="2" x14ac:dyDescent="0.25">
      <c r="A605" s="16" t="s">
        <v>32</v>
      </c>
      <c r="B605" s="13">
        <f>+[1]Result!$G$31-[21]Result!$G$31</f>
        <v>8442.7477391871507</v>
      </c>
      <c r="C605" s="13">
        <f>+[5]Result!$G$31-[1]Result!$G$31</f>
        <v>-10325.907833746518</v>
      </c>
      <c r="D605" s="32">
        <f>+[6]Result!$G$31-[5]Result!$G$31</f>
        <v>42167.032583752181</v>
      </c>
      <c r="E605" s="13">
        <f>+[7]Result!$G$31-[6]Result!$G$31</f>
        <v>-11366.336106212577</v>
      </c>
      <c r="F605" s="13">
        <f>+[8]Result!$G$31-[7]Result!$G$31</f>
        <v>11907.451222595526</v>
      </c>
      <c r="G605" s="32">
        <f>+[9]Result!$G$31-[8]Result!$G$31</f>
        <v>15098.257070460706</v>
      </c>
      <c r="H605" s="13">
        <f>+[10]Result!$G$31-[9]Result!$G$31</f>
        <v>5648.218221036368</v>
      </c>
      <c r="I605" s="13">
        <f>+[11]Result!$G$31-[10]Result!$G$31</f>
        <v>5884.406932981452</v>
      </c>
      <c r="J605" s="32">
        <f>+[12]Result!$G$31-[11]Result!$G$31</f>
        <v>-28909.909363721206</v>
      </c>
      <c r="K605" s="13">
        <f>+[13]Result!$G$31-[12]Result!$G$31</f>
        <v>-125.2631567704957</v>
      </c>
      <c r="L605" s="13">
        <f>+[14]Result!$G$31-[13]Result!$G$31</f>
        <v>13332.111046380713</v>
      </c>
      <c r="M605" s="13">
        <f>+[15]Result!$G$31-[14]Result!$G$31</f>
        <v>128835.41528803043</v>
      </c>
      <c r="N605" s="32">
        <f>+[16]Result!$G$31-[15]Result!$G$31</f>
        <v>-3452.5078382242937</v>
      </c>
      <c r="O605" s="13">
        <f>+[17]Result!$G$31-[16]Result!$G$31</f>
        <v>-9014.6201699202065</v>
      </c>
      <c r="P605" s="13">
        <f>+[18]Result!$G$31-[17]Result!$G$31</f>
        <v>463.35048942884896</v>
      </c>
      <c r="Q605" s="32">
        <f>+[19]Result!$G$31-[18]Result!$G$31</f>
        <v>1577.0988485322159</v>
      </c>
      <c r="R605" s="32">
        <f>+[20]Result!$G$31-[19]Result!$G$31</f>
        <v>-399.28086256299866</v>
      </c>
      <c r="S605" s="70">
        <f>+[22]Result!$G$31-[20]Result!$G$31</f>
        <v>-3428.2314379939926</v>
      </c>
      <c r="AI605" s="73"/>
      <c r="AJ605" s="73"/>
      <c r="AK605" s="73"/>
    </row>
    <row r="606" spans="1:37" hidden="1" outlineLevel="2" x14ac:dyDescent="0.25">
      <c r="A606" s="16" t="s">
        <v>33</v>
      </c>
      <c r="B606" s="13">
        <f>+[1]Result!$G$32-[21]Result!$G$32</f>
        <v>6153.1531044053845</v>
      </c>
      <c r="C606" s="13">
        <f>+[5]Result!$G$32-[1]Result!$G$32</f>
        <v>-7672.2487210526306</v>
      </c>
      <c r="D606" s="32">
        <f>+[6]Result!$G$32-[5]Result!$G$32</f>
        <v>28371.145588053478</v>
      </c>
      <c r="E606" s="13">
        <f>+[7]Result!$G$32-[6]Result!$G$32</f>
        <v>-8014.8247943554888</v>
      </c>
      <c r="F606" s="13">
        <f>+[8]Result!$G$32-[7]Result!$G$32</f>
        <v>8690.3930404208659</v>
      </c>
      <c r="G606" s="32">
        <f>+[9]Result!$G$32-[8]Result!$G$32</f>
        <v>10291.421761781414</v>
      </c>
      <c r="H606" s="13">
        <f>+[10]Result!$G$32-[9]Result!$G$32</f>
        <v>4056.8673962694593</v>
      </c>
      <c r="I606" s="13">
        <f>+[11]Result!$G$32-[10]Result!$G$32</f>
        <v>4317.1696106314776</v>
      </c>
      <c r="J606" s="32">
        <f>+[12]Result!$G$32-[11]Result!$G$32</f>
        <v>-31332.798674395977</v>
      </c>
      <c r="K606" s="13">
        <f>+[13]Result!$G$32-[12]Result!$G$32</f>
        <v>-64.667359298240626</v>
      </c>
      <c r="L606" s="13">
        <f>+[14]Result!$G$32-[13]Result!$G$32</f>
        <v>10133.666379167233</v>
      </c>
      <c r="M606" s="13">
        <f>+[15]Result!$G$32-[14]Result!$G$32</f>
        <v>112666.39929101728</v>
      </c>
      <c r="N606" s="32">
        <f>+[16]Result!$G$32-[15]Result!$G$32</f>
        <v>-2339.300585647492</v>
      </c>
      <c r="O606" s="13">
        <f>+[17]Result!$G$32-[16]Result!$G$32</f>
        <v>-6012.4822670730355</v>
      </c>
      <c r="P606" s="13">
        <f>+[18]Result!$G$32-[17]Result!$G$32</f>
        <v>-9056.3973782620305</v>
      </c>
      <c r="Q606" s="32">
        <f>+[19]Result!$G$32-[18]Result!$G$32</f>
        <v>1111.0459093246027</v>
      </c>
      <c r="R606" s="32">
        <f>+[20]Result!$G$32-[19]Result!$G$32</f>
        <v>-254.25377831436344</v>
      </c>
      <c r="S606" s="70">
        <f>+[22]Result!$G$32-[20]Result!$G$32</f>
        <v>-2457.5056705708848</v>
      </c>
      <c r="AI606" s="73"/>
      <c r="AJ606" s="73"/>
      <c r="AK606" s="73"/>
    </row>
    <row r="607" spans="1:37" hidden="1" outlineLevel="2" x14ac:dyDescent="0.25">
      <c r="A607" s="16" t="s">
        <v>34</v>
      </c>
      <c r="B607" s="13">
        <f>+[1]Result!$G$33-[21]Result!$G$33</f>
        <v>4481.8555198922695</v>
      </c>
      <c r="C607" s="13">
        <f>+[5]Result!$G$33-[1]Result!$G$33</f>
        <v>-5677.70039983475</v>
      </c>
      <c r="D607" s="32">
        <f>+[6]Result!$G$33-[5]Result!$G$33</f>
        <v>5910.8199075777957</v>
      </c>
      <c r="E607" s="13">
        <f>+[7]Result!$G$33-[6]Result!$G$33</f>
        <v>-6143.4539465701382</v>
      </c>
      <c r="F607" s="13">
        <f>+[8]Result!$G$33-[7]Result!$G$33</f>
        <v>6831.9057780636067</v>
      </c>
      <c r="G607" s="32">
        <f>+[9]Result!$G$33-[8]Result!$G$33</f>
        <v>-8922.7475381763652</v>
      </c>
      <c r="H607" s="13">
        <f>+[10]Result!$G$33-[9]Result!$G$33</f>
        <v>3490.7653572832351</v>
      </c>
      <c r="I607" s="13">
        <f>+[11]Result!$G$33-[10]Result!$G$33</f>
        <v>3794.2699406739557</v>
      </c>
      <c r="J607" s="32">
        <f>+[12]Result!$G$33-[11]Result!$G$33</f>
        <v>-30436.898973101575</v>
      </c>
      <c r="K607" s="13">
        <f>+[13]Result!$G$33-[12]Result!$G$33</f>
        <v>0</v>
      </c>
      <c r="L607" s="13">
        <f>+[14]Result!$G$33-[13]Result!$G$33</f>
        <v>8922.3870147484413</v>
      </c>
      <c r="M607" s="13">
        <f>+[15]Result!$G$33-[14]Result!$G$33</f>
        <v>92024.245806445877</v>
      </c>
      <c r="N607" s="32">
        <f>+[16]Result!$G$33-[15]Result!$G$33</f>
        <v>-2180.34512467272</v>
      </c>
      <c r="O607" s="13">
        <f>+[17]Result!$G$33-[16]Result!$G$33</f>
        <v>-5569.0640032052906</v>
      </c>
      <c r="P607" s="13">
        <f>+[18]Result!$G$33-[17]Result!$G$33</f>
        <v>-15644.918771009572</v>
      </c>
      <c r="Q607" s="32">
        <f>+[19]Result!$G$33-[18]Result!$G$33</f>
        <v>1069.6691453295934</v>
      </c>
      <c r="R607" s="32">
        <f>+[20]Result!$G$33-[19]Result!$G$33</f>
        <v>-198.79941830402822</v>
      </c>
      <c r="S607" s="70">
        <f>+[22]Result!$G$33-[20]Result!$G$33</f>
        <v>-2427.6876724706381</v>
      </c>
      <c r="AI607" s="73"/>
      <c r="AJ607" s="73"/>
      <c r="AK607" s="73"/>
    </row>
    <row r="608" spans="1:37" hidden="1" outlineLevel="2" x14ac:dyDescent="0.25">
      <c r="A608" s="16" t="s">
        <v>35</v>
      </c>
      <c r="B608" s="13">
        <f>+[1]Result!$G$34-[21]Result!$G$34</f>
        <v>4600.3733874994505</v>
      </c>
      <c r="C608" s="13">
        <f>+[5]Result!$G$34-[1]Result!$G$34</f>
        <v>-5902.4533629220387</v>
      </c>
      <c r="D608" s="32">
        <f>+[6]Result!$G$34-[5]Result!$G$34</f>
        <v>6874.9015830629505</v>
      </c>
      <c r="E608" s="13">
        <f>+[7]Result!$G$34-[6]Result!$G$34</f>
        <v>-6098.3961659543565</v>
      </c>
      <c r="F608" s="13">
        <f>+[8]Result!$G$34-[7]Result!$G$34</f>
        <v>6941.4044305864954</v>
      </c>
      <c r="G608" s="32">
        <f>+[9]Result!$G$34-[8]Result!$G$34</f>
        <v>-7623.2672603974061</v>
      </c>
      <c r="H608" s="13">
        <f>+[10]Result!$G$34-[9]Result!$G$34</f>
        <v>3520.9219488851086</v>
      </c>
      <c r="I608" s="13">
        <f>+[11]Result!$G$34-[10]Result!$G$34</f>
        <v>3885.4114670078561</v>
      </c>
      <c r="J608" s="32">
        <f>+[12]Result!$G$34-[11]Result!$G$34</f>
        <v>-2546.9921070687415</v>
      </c>
      <c r="K608" s="13">
        <f>+[13]Result!$G$34-[12]Result!$G$34</f>
        <v>0</v>
      </c>
      <c r="L608" s="13">
        <f>+[14]Result!$G$34-[13]Result!$G$34</f>
        <v>7848.3794119576924</v>
      </c>
      <c r="M608" s="13">
        <f>+[15]Result!$G$34-[14]Result!$G$34</f>
        <v>65366.53688170886</v>
      </c>
      <c r="N608" s="32">
        <f>+[16]Result!$G$34-[15]Result!$G$34</f>
        <v>-2222.3822457772912</v>
      </c>
      <c r="O608" s="13">
        <f>+[17]Result!$G$34-[16]Result!$G$34</f>
        <v>-5639.6972900129767</v>
      </c>
      <c r="P608" s="13">
        <f>+[18]Result!$G$34-[17]Result!$G$34</f>
        <v>-8648.0829361206415</v>
      </c>
      <c r="Q608" s="32">
        <f>+[19]Result!$G$34-[18]Result!$G$34</f>
        <v>1006.7237007150834</v>
      </c>
      <c r="R608" s="32">
        <f>+[20]Result!$G$34-[19]Result!$G$34</f>
        <v>-158.45449960029509</v>
      </c>
      <c r="S608" s="70">
        <f>+[22]Result!$G$34-[20]Result!$G$34</f>
        <v>-2329.2726091946679</v>
      </c>
      <c r="AI608" s="73"/>
      <c r="AJ608" s="73"/>
      <c r="AK608" s="73"/>
    </row>
    <row r="609" spans="1:37" hidden="1" outlineLevel="1" x14ac:dyDescent="0.25">
      <c r="A609" s="15" t="s">
        <v>36</v>
      </c>
      <c r="B609" s="13">
        <f>+'[1]Stat by Mat'!$J$7-'[21]Stat by Mat'!$J$7</f>
        <v>8187.9446357415291</v>
      </c>
      <c r="C609" s="13">
        <f>+'[5]Stat by Mat'!$J$7-'[1]Stat by Mat'!$J$7</f>
        <v>-10763.798646773852</v>
      </c>
      <c r="D609" s="32">
        <f>+'[6]Stat by Mat'!$J$7-'[5]Stat by Mat'!$J$7</f>
        <v>17167.505855987372</v>
      </c>
      <c r="E609" s="13">
        <f>+'[7]Stat by Mat'!$J$7-'[6]Stat by Mat'!$J$7</f>
        <v>-10113.065387343289</v>
      </c>
      <c r="F609" s="13">
        <f>+'[8]Stat by Mat'!$J$7-'[7]Stat by Mat'!$J$7</f>
        <v>12093.305360253376</v>
      </c>
      <c r="G609" s="32">
        <f>+'[9]Stat by Mat'!$J$7-'[8]Stat by Mat'!$J$7</f>
        <v>-3728.7141551335808</v>
      </c>
      <c r="H609" s="13">
        <f>+'[10]Stat by Mat'!$J$7-'[9]Stat by Mat'!$J$7</f>
        <v>5828.4892279682681</v>
      </c>
      <c r="I609" s="13">
        <f>+'[11]Stat by Mat'!$J$7-'[10]Stat by Mat'!$J$7</f>
        <v>6699.473801735614</v>
      </c>
      <c r="J609" s="32">
        <f>+'[12]Stat by Mat'!$J$7-'[11]Stat by Mat'!$J$7</f>
        <v>-13014.092695842555</v>
      </c>
      <c r="K609" s="13">
        <f>+'[13]Stat by Mat'!$J$7-'[12]Stat by Mat'!$J$7</f>
        <v>95.420891077665146</v>
      </c>
      <c r="L609" s="13">
        <f>+'[14]Stat by Mat'!$J$7-'[13]Stat by Mat'!$J$7</f>
        <v>13712.691693942819</v>
      </c>
      <c r="M609" s="13">
        <f>+'[15]Stat by Mat'!$J$7-'[14]Stat by Mat'!$J$7</f>
        <v>159429.79663355468</v>
      </c>
      <c r="N609" s="32">
        <f>+'[16]Stat by Mat'!$J$7-'[15]Stat by Mat'!$J$7</f>
        <v>-2881.2691553507466</v>
      </c>
      <c r="O609" s="13">
        <f>+'[17]Stat by Mat'!$J$7-'[16]Stat by Mat'!$J$7</f>
        <v>-7236.9428491353756</v>
      </c>
      <c r="P609" s="13">
        <f>+'[18]Stat by Mat'!$J$7-'[17]Stat by Mat'!$J$7</f>
        <v>-46335.502003331902</v>
      </c>
      <c r="Q609" s="32">
        <f>+'[19]Stat by Mat'!$J$7-'[18]Stat by Mat'!$J$7</f>
        <v>1504.9485934543773</v>
      </c>
      <c r="R609" s="32">
        <f>+'[20]Stat by Mat'!$J$7-'[19]Stat by Mat'!$J$7</f>
        <v>-136.38506517925998</v>
      </c>
      <c r="S609" s="70">
        <f>+'[22]Stat by Mat'!$J$7-'[20]Stat by Mat'!$J$7</f>
        <v>-3655.8643610552826</v>
      </c>
      <c r="T609" s="13">
        <f>+B609-SUM(B610:B629)</f>
        <v>-2.2737367544323206E-11</v>
      </c>
      <c r="U609" s="13">
        <f t="shared" ref="U609:W609" si="462">+C609-SUM(C610:C629)</f>
        <v>-16.665852381765944</v>
      </c>
      <c r="V609" s="13">
        <f t="shared" si="462"/>
        <v>20.358916576566116</v>
      </c>
      <c r="W609" s="13">
        <f t="shared" si="462"/>
        <v>-8.9594121638692741</v>
      </c>
      <c r="X609" s="13">
        <f t="shared" ref="X609" si="463">+F609-SUM(F610:F629)</f>
        <v>-6.4293877310628886</v>
      </c>
      <c r="Y609" s="13">
        <f t="shared" ref="Y609:AE609" si="464">+G609-SUM(G610:G629)</f>
        <v>4.646604255656257</v>
      </c>
      <c r="Z609" s="13">
        <f t="shared" si="464"/>
        <v>5.4881079828837755</v>
      </c>
      <c r="AA609" s="13">
        <f t="shared" si="464"/>
        <v>6.7189465325191122</v>
      </c>
      <c r="AB609" s="13">
        <f t="shared" si="464"/>
        <v>10.439770042374221</v>
      </c>
      <c r="AC609" s="13">
        <f t="shared" si="464"/>
        <v>0.21419324314413757</v>
      </c>
      <c r="AD609" s="13">
        <f t="shared" si="464"/>
        <v>12.421409370075708</v>
      </c>
      <c r="AE609" s="13">
        <f t="shared" si="464"/>
        <v>-437.73953183487174</v>
      </c>
      <c r="AF609" s="13">
        <f t="shared" ref="AF609" si="465">+N609-SUM(N610:N629)</f>
        <v>-16.977490029266392</v>
      </c>
      <c r="AG609" s="13">
        <f t="shared" ref="AG609:AH609" si="466">+O609-SUM(O610:O629)</f>
        <v>-41.878778196986786</v>
      </c>
      <c r="AH609" s="13">
        <f t="shared" si="466"/>
        <v>-308.73152167712396</v>
      </c>
      <c r="AI609" s="73">
        <f t="shared" ref="AI609" si="467">+Q609-SUM(Q610:Q629)</f>
        <v>8.7201793144936346</v>
      </c>
      <c r="AJ609" s="73">
        <f t="shared" ref="AJ609:AK609" si="468">+R609-SUM(R610:R629)</f>
        <v>0.21909772866482058</v>
      </c>
      <c r="AK609" s="73">
        <f t="shared" si="468"/>
        <v>-21.716579647229992</v>
      </c>
    </row>
    <row r="610" spans="1:37" hidden="1" outlineLevel="2" x14ac:dyDescent="0.25">
      <c r="A610" s="16" t="s">
        <v>37</v>
      </c>
      <c r="B610" s="13">
        <f>+[1]Result!$G$35-[21]Result!$G$35</f>
        <v>2558.8920062645193</v>
      </c>
      <c r="C610" s="13">
        <f>+[5]Result!$G$35-[1]Result!$G$35</f>
        <v>-3311.0864429931244</v>
      </c>
      <c r="D610" s="32">
        <f>+[6]Result!$G$35-[5]Result!$G$35</f>
        <v>4646.5332809430256</v>
      </c>
      <c r="E610" s="13">
        <f>+[7]Result!$G$35-[6]Result!$G$35</f>
        <v>-3290.3547316775803</v>
      </c>
      <c r="F610" s="13">
        <f>+[8]Result!$G$35-[7]Result!$G$35</f>
        <v>3820.6743349772732</v>
      </c>
      <c r="G610" s="32">
        <f>+[9]Result!$G$35-[8]Result!$G$35</f>
        <v>-2043.7072018281906</v>
      </c>
      <c r="H610" s="13">
        <f>+[10]Result!$G$35-[9]Result!$G$35</f>
        <v>1876.0084671099903</v>
      </c>
      <c r="I610" s="13">
        <f>+[11]Result!$G$35-[10]Result!$G$35</f>
        <v>2105.1542847772944</v>
      </c>
      <c r="J610" s="32">
        <f>+[12]Result!$G$35-[11]Result!$G$35</f>
        <v>-2088.3665038838808</v>
      </c>
      <c r="K610" s="13">
        <f>+[13]Result!$G$35-[12]Result!$G$35</f>
        <v>14.219256036914885</v>
      </c>
      <c r="L610" s="13">
        <f>+[14]Result!$G$35-[13]Result!$G$35</f>
        <v>4255.6675087827607</v>
      </c>
      <c r="M610" s="13">
        <f>+[15]Result!$G$35-[14]Result!$G$35</f>
        <v>38941.909627224501</v>
      </c>
      <c r="N610" s="32">
        <f>+[16]Result!$G$35-[15]Result!$G$35</f>
        <v>-1128.2439873116891</v>
      </c>
      <c r="O610" s="13">
        <f>+[17]Result!$G$35-[16]Result!$G$35</f>
        <v>-2864.1654579211754</v>
      </c>
      <c r="P610" s="13">
        <f>+[18]Result!$G$35-[17]Result!$G$35</f>
        <v>-6574.9901821113162</v>
      </c>
      <c r="Q610" s="32">
        <f>+[19]Result!$G$35-[18]Result!$G$35</f>
        <v>518.88550102095905</v>
      </c>
      <c r="R610" s="32">
        <f>+[20]Result!$G$35-[19]Result!$G$35</f>
        <v>-75.200602363322105</v>
      </c>
      <c r="S610" s="70">
        <f>+[22]Result!$G$35-[20]Result!$G$35</f>
        <v>-1215.7412846658772</v>
      </c>
      <c r="AI610" s="73"/>
      <c r="AJ610" s="73"/>
      <c r="AK610" s="73"/>
    </row>
    <row r="611" spans="1:37" hidden="1" outlineLevel="2" x14ac:dyDescent="0.25">
      <c r="A611" s="16" t="s">
        <v>38</v>
      </c>
      <c r="B611" s="13">
        <f>+[1]Result!$G$36-[21]Result!$G$36</f>
        <v>1521.2012022973868</v>
      </c>
      <c r="C611" s="13">
        <f>+[5]Result!$G$36-[1]Result!$G$36</f>
        <v>-1985.484095169566</v>
      </c>
      <c r="D611" s="32">
        <f>+[6]Result!$G$36-[5]Result!$G$36</f>
        <v>3560.1669967818452</v>
      </c>
      <c r="E611" s="13">
        <f>+[7]Result!$G$36-[6]Result!$G$36</f>
        <v>-1892.8671622704205</v>
      </c>
      <c r="F611" s="13">
        <f>+[8]Result!$G$36-[7]Result!$G$36</f>
        <v>2234.7109772590047</v>
      </c>
      <c r="G611" s="32">
        <f>+[9]Result!$G$36-[8]Result!$G$36</f>
        <v>-244.30202108904632</v>
      </c>
      <c r="H611" s="13">
        <f>+[10]Result!$G$36-[9]Result!$G$36</f>
        <v>1074.6073502047147</v>
      </c>
      <c r="I611" s="13">
        <f>+[11]Result!$G$36-[10]Result!$G$36</f>
        <v>1217.4791738954882</v>
      </c>
      <c r="J611" s="32">
        <f>+[12]Result!$G$36-[11]Result!$G$36</f>
        <v>-2698.0475945329963</v>
      </c>
      <c r="K611" s="13">
        <f>+[13]Result!$G$36-[12]Result!$G$36</f>
        <v>17.193002745225385</v>
      </c>
      <c r="L611" s="13">
        <f>+[14]Result!$G$36-[13]Result!$G$36</f>
        <v>2510.9842274584007</v>
      </c>
      <c r="M611" s="13">
        <f>+[15]Result!$G$36-[14]Result!$G$36</f>
        <v>28266.832476689644</v>
      </c>
      <c r="N611" s="32">
        <f>+[16]Result!$G$36-[15]Result!$G$36</f>
        <v>-555.03274474209684</v>
      </c>
      <c r="O611" s="13">
        <f>+[17]Result!$G$36-[16]Result!$G$36</f>
        <v>-1395.3158336016459</v>
      </c>
      <c r="P611" s="13">
        <f>+[18]Result!$G$36-[17]Result!$G$36</f>
        <v>-5956.1673448506372</v>
      </c>
      <c r="Q611" s="32">
        <f>+[19]Result!$G$36-[18]Result!$G$36</f>
        <v>270.3376410791825</v>
      </c>
      <c r="R611" s="32">
        <f>+[20]Result!$G$36-[19]Result!$G$36</f>
        <v>-35.598542589286808</v>
      </c>
      <c r="S611" s="70">
        <f>+[22]Result!$G$36-[20]Result!$G$36</f>
        <v>-641.85404278306669</v>
      </c>
      <c r="AI611" s="73"/>
      <c r="AJ611" s="73"/>
      <c r="AK611" s="73"/>
    </row>
    <row r="612" spans="1:37" hidden="1" outlineLevel="2" x14ac:dyDescent="0.25">
      <c r="A612" s="16" t="s">
        <v>39</v>
      </c>
      <c r="B612" s="13">
        <f>+[1]Result!$G$37-[21]Result!$G$37</f>
        <v>1048.2972359673295</v>
      </c>
      <c r="C612" s="13">
        <f>+[5]Result!$G$37-[1]Result!$G$37</f>
        <v>-1382.4977954662536</v>
      </c>
      <c r="D612" s="32">
        <f>+[6]Result!$G$37-[5]Result!$G$37</f>
        <v>2262.6499628140518</v>
      </c>
      <c r="E612" s="13">
        <f>+[7]Result!$G$37-[6]Result!$G$37</f>
        <v>-1286.6720319748929</v>
      </c>
      <c r="F612" s="13">
        <f>+[8]Result!$G$37-[7]Result!$G$37</f>
        <v>1547.2652479881581</v>
      </c>
      <c r="G612" s="32">
        <f>+[9]Result!$G$37-[8]Result!$G$37</f>
        <v>-148.41045606382977</v>
      </c>
      <c r="H612" s="13">
        <f>+[10]Result!$G$37-[9]Result!$G$37</f>
        <v>737.44656798411597</v>
      </c>
      <c r="I612" s="13">
        <f>+[11]Result!$G$37-[10]Result!$G$37</f>
        <v>850.70728390149452</v>
      </c>
      <c r="J612" s="32">
        <f>+[12]Result!$G$37-[11]Result!$G$37</f>
        <v>-3159.1217153443795</v>
      </c>
      <c r="K612" s="13">
        <f>+[13]Result!$G$37-[12]Result!$G$37</f>
        <v>12.585020996586536</v>
      </c>
      <c r="L612" s="13">
        <f>+[14]Result!$G$37-[13]Result!$G$37</f>
        <v>1806.6700952049796</v>
      </c>
      <c r="M612" s="13">
        <f>+[15]Result!$G$37-[14]Result!$G$37</f>
        <v>23162.072662501661</v>
      </c>
      <c r="N612" s="32">
        <f>+[16]Result!$G$37-[15]Result!$G$37</f>
        <v>-334.93769658563906</v>
      </c>
      <c r="O612" s="13">
        <f>+[17]Result!$G$37-[16]Result!$G$37</f>
        <v>-833.51721481028835</v>
      </c>
      <c r="P612" s="13">
        <f>+[18]Result!$G$37-[17]Result!$G$37</f>
        <v>-5580.1805101227801</v>
      </c>
      <c r="Q612" s="32">
        <f>+[19]Result!$G$37-[18]Result!$G$37</f>
        <v>174.64633079768828</v>
      </c>
      <c r="R612" s="32">
        <f>+[20]Result!$G$37-[19]Result!$G$37</f>
        <v>-17.075504239292059</v>
      </c>
      <c r="S612" s="70">
        <f>+[22]Result!$G$37-[20]Result!$G$37</f>
        <v>-423.97128193872413</v>
      </c>
      <c r="AI612" s="73"/>
      <c r="AJ612" s="73"/>
      <c r="AK612" s="73"/>
    </row>
    <row r="613" spans="1:37" hidden="1" outlineLevel="2" x14ac:dyDescent="0.25">
      <c r="A613" s="16" t="s">
        <v>40</v>
      </c>
      <c r="B613" s="13">
        <f>+[1]Result!$G$38-[21]Result!$G$38</f>
        <v>847.2223495947328</v>
      </c>
      <c r="C613" s="13">
        <f>+[5]Result!$G$38-[1]Result!$G$38</f>
        <v>-1124.0387103180765</v>
      </c>
      <c r="D613" s="32">
        <f>+[6]Result!$G$38-[5]Result!$G$38</f>
        <v>1599.3148940280116</v>
      </c>
      <c r="E613" s="13">
        <f>+[7]Result!$G$38-[6]Result!$G$38</f>
        <v>-1042.4468697488592</v>
      </c>
      <c r="F613" s="13">
        <f>+[8]Result!$G$38-[7]Result!$G$38</f>
        <v>1264.8939614628507</v>
      </c>
      <c r="G613" s="32">
        <f>+[9]Result!$G$38-[8]Result!$G$38</f>
        <v>-235.97101652484344</v>
      </c>
      <c r="H613" s="13">
        <f>+[10]Result!$G$38-[9]Result!$G$38</f>
        <v>597.20318877638056</v>
      </c>
      <c r="I613" s="13">
        <f>+[11]Result!$G$38-[10]Result!$G$38</f>
        <v>702.21493663705041</v>
      </c>
      <c r="J613" s="32">
        <f>+[12]Result!$G$38-[11]Result!$G$38</f>
        <v>-1530.5927020157214</v>
      </c>
      <c r="K613" s="13">
        <f>+[13]Result!$G$38-[12]Result!$G$38</f>
        <v>10.198429978339846</v>
      </c>
      <c r="L613" s="13">
        <f>+[14]Result!$G$38-[13]Result!$G$38</f>
        <v>1438.7724304829244</v>
      </c>
      <c r="M613" s="13">
        <f>+[15]Result!$G$38-[14]Result!$G$38</f>
        <v>19696.457482320751</v>
      </c>
      <c r="N613" s="32">
        <f>+[16]Result!$G$38-[15]Result!$G$38</f>
        <v>-234.10274572505659</v>
      </c>
      <c r="O613" s="13">
        <f>+[17]Result!$G$38-[16]Result!$G$38</f>
        <v>-582.52433322398974</v>
      </c>
      <c r="P613" s="13">
        <f>+[18]Result!$G$38-[17]Result!$G$38</f>
        <v>-4416.4416290195331</v>
      </c>
      <c r="Q613" s="32">
        <f>+[19]Result!$G$38-[18]Result!$G$38</f>
        <v>123.61584809264787</v>
      </c>
      <c r="R613" s="32">
        <f>+[20]Result!$G$38-[19]Result!$G$38</f>
        <v>-7.5533371465880919</v>
      </c>
      <c r="S613" s="70">
        <f>+[22]Result!$G$38-[20]Result!$G$38</f>
        <v>-307.21563310552119</v>
      </c>
      <c r="AI613" s="73"/>
      <c r="AJ613" s="73"/>
      <c r="AK613" s="73"/>
    </row>
    <row r="614" spans="1:37" hidden="1" outlineLevel="2" x14ac:dyDescent="0.25">
      <c r="A614" s="16" t="s">
        <v>41</v>
      </c>
      <c r="B614" s="13">
        <f>+[1]Result!$G$39-[21]Result!$G$39</f>
        <v>675.81483502708579</v>
      </c>
      <c r="C614" s="13">
        <f>+[5]Result!$G$39-[1]Result!$G$39</f>
        <v>-900.85699222541734</v>
      </c>
      <c r="D614" s="32">
        <f>+[6]Result!$G$39-[5]Result!$G$39</f>
        <v>1904.5588581981574</v>
      </c>
      <c r="E614" s="13">
        <f>+[7]Result!$G$39-[6]Result!$G$39</f>
        <v>-801.21899041837241</v>
      </c>
      <c r="F614" s="13">
        <f>+[8]Result!$G$39-[7]Result!$G$39</f>
        <v>977.39960680306467</v>
      </c>
      <c r="G614" s="32">
        <f>+[9]Result!$G$39-[8]Result!$G$39</f>
        <v>111.95393970697114</v>
      </c>
      <c r="H614" s="13">
        <f>+[10]Result!$G$39-[9]Result!$G$39</f>
        <v>459.30965341061165</v>
      </c>
      <c r="I614" s="13">
        <f>+[11]Result!$G$39-[10]Result!$G$39</f>
        <v>537.6973507980656</v>
      </c>
      <c r="J614" s="32">
        <f>+[12]Result!$G$39-[11]Result!$G$39</f>
        <v>-679.09997171335635</v>
      </c>
      <c r="K614" s="13">
        <f>+[13]Result!$G$39-[12]Result!$G$39</f>
        <v>7.8150195783346135</v>
      </c>
      <c r="L614" s="13">
        <f>+[14]Result!$G$39-[13]Result!$G$39</f>
        <v>1079.4438449759546</v>
      </c>
      <c r="M614" s="13">
        <f>+[15]Result!$G$39-[14]Result!$G$39</f>
        <v>15873.582602646111</v>
      </c>
      <c r="N614" s="32">
        <f>+[16]Result!$G$39-[15]Result!$G$39</f>
        <v>-149.13120347742552</v>
      </c>
      <c r="O614" s="13">
        <f>+[17]Result!$G$39-[16]Result!$G$39</f>
        <v>-371.04476543568035</v>
      </c>
      <c r="P614" s="13">
        <f>+[18]Result!$G$39-[17]Result!$G$39</f>
        <v>-3390.6334486552396</v>
      </c>
      <c r="Q614" s="32">
        <f>+[19]Result!$G$39-[18]Result!$G$39</f>
        <v>83.215307433441922</v>
      </c>
      <c r="R614" s="32">
        <f>+[20]Result!$G$39-[19]Result!$G$39</f>
        <v>-3.4537359537825978</v>
      </c>
      <c r="S614" s="70">
        <f>+[22]Result!$G$39-[20]Result!$G$39</f>
        <v>-207.64089719692856</v>
      </c>
      <c r="AI614" s="73"/>
      <c r="AJ614" s="73"/>
      <c r="AK614" s="73"/>
    </row>
    <row r="615" spans="1:37" hidden="1" outlineLevel="2" x14ac:dyDescent="0.25">
      <c r="A615" s="16" t="s">
        <v>42</v>
      </c>
      <c r="B615" s="13">
        <f>+[1]Result!$G$40-[21]Result!$G$40</f>
        <v>454.83138233925638</v>
      </c>
      <c r="C615" s="13">
        <f>+[5]Result!$G$40-[1]Result!$G$40</f>
        <v>-609.23048030490099</v>
      </c>
      <c r="D615" s="32">
        <f>+[6]Result!$G$40-[5]Result!$G$40</f>
        <v>1143.5731061534298</v>
      </c>
      <c r="E615" s="13">
        <f>+[7]Result!$G$40-[6]Result!$G$40</f>
        <v>-534.25687723151168</v>
      </c>
      <c r="F615" s="13">
        <f>+[8]Result!$G$40-[7]Result!$G$40</f>
        <v>658.83385304715375</v>
      </c>
      <c r="G615" s="32">
        <f>+[9]Result!$G$40-[8]Result!$G$40</f>
        <v>-126.66470797157126</v>
      </c>
      <c r="H615" s="13">
        <f>+[10]Result!$G$40-[9]Result!$G$40</f>
        <v>316.01946412546204</v>
      </c>
      <c r="I615" s="13">
        <f>+[11]Result!$G$40-[10]Result!$G$40</f>
        <v>368.2393219325586</v>
      </c>
      <c r="J615" s="32">
        <f>+[12]Result!$G$40-[11]Result!$G$40</f>
        <v>-939.18879976790049</v>
      </c>
      <c r="K615" s="13">
        <f>+[13]Result!$G$40-[12]Result!$G$40</f>
        <v>8.4285225642342994</v>
      </c>
      <c r="L615" s="13">
        <f>+[14]Result!$G$40-[13]Result!$G$40</f>
        <v>761.16417292227561</v>
      </c>
      <c r="M615" s="13">
        <f>+[15]Result!$G$40-[14]Result!$G$40</f>
        <v>12887.804114252645</v>
      </c>
      <c r="N615" s="32">
        <f>+[16]Result!$G$40-[15]Result!$G$40</f>
        <v>-65.192040620867374</v>
      </c>
      <c r="O615" s="13">
        <f>+[17]Result!$G$40-[16]Result!$G$40</f>
        <v>-162.16664984569934</v>
      </c>
      <c r="P615" s="13">
        <f>+[18]Result!$G$40-[17]Result!$G$40</f>
        <v>-3020.540355178297</v>
      </c>
      <c r="Q615" s="32">
        <f>+[19]Result!$G$40-[18]Result!$G$40</f>
        <v>48.607355118318083</v>
      </c>
      <c r="R615" s="32">
        <f>+[20]Result!$G$40-[19]Result!$G$40</f>
        <v>-2.0599661117748838</v>
      </c>
      <c r="S615" s="70">
        <f>+[22]Result!$G$40-[20]Result!$G$40</f>
        <v>-120.73505364998164</v>
      </c>
      <c r="AI615" s="73"/>
      <c r="AJ615" s="73"/>
      <c r="AK615" s="73"/>
    </row>
    <row r="616" spans="1:37" hidden="1" outlineLevel="2" x14ac:dyDescent="0.25">
      <c r="A616" s="16" t="s">
        <v>43</v>
      </c>
      <c r="B616" s="13">
        <f>+[1]Result!$G$41-[21]Result!$G$41</f>
        <v>324.15624835727976</v>
      </c>
      <c r="C616" s="13">
        <f>+[5]Result!$G$41-[1]Result!$G$41</f>
        <v>-434.22912619275121</v>
      </c>
      <c r="D616" s="32">
        <f>+[6]Result!$G$41-[5]Result!$G$41</f>
        <v>621.9093247847195</v>
      </c>
      <c r="E616" s="13">
        <f>+[7]Result!$G$41-[6]Result!$G$41</f>
        <v>-382.08603542860692</v>
      </c>
      <c r="F616" s="13">
        <f>+[8]Result!$G$41-[7]Result!$G$41</f>
        <v>476.14782594142525</v>
      </c>
      <c r="G616" s="32">
        <f>+[9]Result!$G$41-[8]Result!$G$41</f>
        <v>-211.54250595023586</v>
      </c>
      <c r="H616" s="13">
        <f>+[10]Result!$G$41-[9]Result!$G$41</f>
        <v>229.62529380202795</v>
      </c>
      <c r="I616" s="13">
        <f>+[11]Result!$G$41-[10]Result!$G$41</f>
        <v>270.66665943034241</v>
      </c>
      <c r="J616" s="32">
        <f>+[12]Result!$G$41-[11]Result!$G$41</f>
        <v>-1065.7480425271151</v>
      </c>
      <c r="K616" s="13">
        <f>+[13]Result!$G$41-[12]Result!$G$41</f>
        <v>6.5174220913613681</v>
      </c>
      <c r="L616" s="13">
        <f>+[14]Result!$G$41-[13]Result!$G$41</f>
        <v>575.18667197805553</v>
      </c>
      <c r="M616" s="13">
        <f>+[15]Result!$G$41-[14]Result!$G$41</f>
        <v>10926.750979883987</v>
      </c>
      <c r="N616" s="32">
        <f>+[16]Result!$G$41-[15]Result!$G$41</f>
        <v>-19.682410319996961</v>
      </c>
      <c r="O616" s="13">
        <f>+[17]Result!$G$41-[16]Result!$G$41</f>
        <v>-48.949669839088074</v>
      </c>
      <c r="P616" s="13">
        <f>+[18]Result!$G$41-[17]Result!$G$41</f>
        <v>-2726.0942252522732</v>
      </c>
      <c r="Q616" s="32">
        <f>+[19]Result!$G$41-[18]Result!$G$41</f>
        <v>28.604223842189185</v>
      </c>
      <c r="R616" s="32">
        <f>+[20]Result!$G$41-[19]Result!$G$41</f>
        <v>-0.6375431177457358</v>
      </c>
      <c r="S616" s="70">
        <f>+[22]Result!$G$41-[20]Result!$G$41</f>
        <v>-72.918097188205138</v>
      </c>
      <c r="AI616" s="73"/>
      <c r="AJ616" s="73"/>
      <c r="AK616" s="73"/>
    </row>
    <row r="617" spans="1:37" hidden="1" outlineLevel="2" x14ac:dyDescent="0.25">
      <c r="A617" s="16" t="s">
        <v>44</v>
      </c>
      <c r="B617" s="13">
        <f>+[1]Result!$G$42-[21]Result!$G$42</f>
        <v>245.10978912224891</v>
      </c>
      <c r="C617" s="13">
        <f>+[5]Result!$G$42-[1]Result!$G$42</f>
        <v>-328.33574675975797</v>
      </c>
      <c r="D617" s="32">
        <f>+[6]Result!$G$42-[5]Result!$G$42</f>
        <v>230.73280353550763</v>
      </c>
      <c r="E617" s="13">
        <f>+[7]Result!$G$42-[6]Result!$G$42</f>
        <v>-294.39543914473688</v>
      </c>
      <c r="F617" s="13">
        <f>+[8]Result!$G$42-[7]Result!$G$42</f>
        <v>368.90121194931817</v>
      </c>
      <c r="G617" s="32">
        <f>+[9]Result!$G$42-[8]Result!$G$42</f>
        <v>-309.76396093985386</v>
      </c>
      <c r="H617" s="13">
        <f>+[10]Result!$G$42-[9]Result!$G$42</f>
        <v>179.84494850468582</v>
      </c>
      <c r="I617" s="13">
        <f>+[11]Result!$G$42-[10]Result!$G$42</f>
        <v>214.58190533728157</v>
      </c>
      <c r="J617" s="32">
        <f>+[12]Result!$G$42-[11]Result!$G$42</f>
        <v>-1110.8814822989025</v>
      </c>
      <c r="K617" s="13">
        <f>+[13]Result!$G$42-[12]Result!$G$42</f>
        <v>5.3674059701133956</v>
      </c>
      <c r="L617" s="13">
        <f>+[14]Result!$G$42-[13]Result!$G$42</f>
        <v>467.17036208297031</v>
      </c>
      <c r="M617" s="13">
        <f>+[15]Result!$G$42-[14]Result!$G$42</f>
        <v>9278.4152970710911</v>
      </c>
      <c r="N617" s="32">
        <f>+[16]Result!$G$42-[15]Result!$G$42</f>
        <v>-4.8052854764931965</v>
      </c>
      <c r="O617" s="13">
        <f>+[17]Result!$G$42-[16]Result!$G$42</f>
        <v>-11.817393319369671</v>
      </c>
      <c r="P617" s="13">
        <f>+[18]Result!$G$42-[17]Result!$G$42</f>
        <v>-2668.0312696068031</v>
      </c>
      <c r="Q617" s="32">
        <f>+[19]Result!$G$42-[18]Result!$G$42</f>
        <v>22.771122057077719</v>
      </c>
      <c r="R617" s="32">
        <f>+[20]Result!$G$42-[19]Result!$G$42</f>
        <v>0</v>
      </c>
      <c r="S617" s="70">
        <f>+[22]Result!$G$42-[20]Result!$G$42</f>
        <v>-58.859177522023401</v>
      </c>
      <c r="AI617" s="73"/>
      <c r="AJ617" s="73"/>
      <c r="AK617" s="73"/>
    </row>
    <row r="618" spans="1:37" hidden="1" outlineLevel="2" x14ac:dyDescent="0.25">
      <c r="A618" s="16" t="s">
        <v>45</v>
      </c>
      <c r="B618" s="13">
        <f>+[1]Result!$G$43-[21]Result!$G$43</f>
        <v>216.37893586733026</v>
      </c>
      <c r="C618" s="13">
        <f>+[5]Result!$G$43-[1]Result!$G$43</f>
        <v>-289.87112703068578</v>
      </c>
      <c r="D618" s="32">
        <f>+[6]Result!$G$43-[5]Result!$G$43</f>
        <v>152.50607778915219</v>
      </c>
      <c r="E618" s="13">
        <f>+[7]Result!$G$43-[6]Result!$G$43</f>
        <v>-260.94534414414375</v>
      </c>
      <c r="F618" s="13">
        <f>+[8]Result!$G$43-[7]Result!$G$43</f>
        <v>328.49263483149753</v>
      </c>
      <c r="G618" s="32">
        <f>+[9]Result!$G$43-[8]Result!$G$43</f>
        <v>-138.23164727059429</v>
      </c>
      <c r="H618" s="13">
        <f>+[10]Result!$G$43-[9]Result!$G$43</f>
        <v>157.37859091380051</v>
      </c>
      <c r="I618" s="13">
        <f>+[11]Result!$G$43-[10]Result!$G$43</f>
        <v>188.37159257334861</v>
      </c>
      <c r="J618" s="32">
        <f>+[12]Result!$G$43-[11]Result!$G$43</f>
        <v>-306.12098712389707</v>
      </c>
      <c r="K618" s="13">
        <f>+[13]Result!$G$43-[12]Result!$G$43</f>
        <v>5.9058233661598933</v>
      </c>
      <c r="L618" s="13">
        <f>+[14]Result!$G$43-[13]Result!$G$43</f>
        <v>375.85793762723824</v>
      </c>
      <c r="M618" s="13">
        <f>+[15]Result!$G$43-[14]Result!$G$43</f>
        <v>7636.8069896099214</v>
      </c>
      <c r="N618" s="32">
        <f>+[16]Result!$G$43-[15]Result!$G$43</f>
        <v>0.86448834605926095</v>
      </c>
      <c r="O618" s="13">
        <f>+[17]Result!$G$43-[16]Result!$G$43</f>
        <v>2.1245428826217534</v>
      </c>
      <c r="P618" s="13">
        <f>+[18]Result!$G$43-[17]Result!$G$43</f>
        <v>-1871.1894770298036</v>
      </c>
      <c r="Q618" s="32">
        <f>+[19]Result!$G$43-[18]Result!$G$43</f>
        <v>14.496252490329425</v>
      </c>
      <c r="R618" s="32">
        <f>+[20]Result!$G$43-[19]Result!$G$43</f>
        <v>0</v>
      </c>
      <c r="S618" s="70">
        <f>+[22]Result!$G$43-[20]Result!$G$43</f>
        <v>-37.318774711201513</v>
      </c>
      <c r="AI618" s="73"/>
      <c r="AJ618" s="73"/>
      <c r="AK618" s="73"/>
    </row>
    <row r="619" spans="1:37" hidden="1" outlineLevel="2" x14ac:dyDescent="0.25">
      <c r="A619" s="16" t="s">
        <v>46</v>
      </c>
      <c r="B619" s="13">
        <f>+[1]Result!$G$44-[21]Result!$G$44</f>
        <v>171.08577652531494</v>
      </c>
      <c r="C619" s="13">
        <f>+[5]Result!$G$44-[1]Result!$G$44</f>
        <v>-229.18664234071821</v>
      </c>
      <c r="D619" s="32">
        <f>+[6]Result!$G$44-[5]Result!$G$44</f>
        <v>676.13461211377307</v>
      </c>
      <c r="E619" s="13">
        <f>+[7]Result!$G$44-[6]Result!$G$44</f>
        <v>-187.51264695557438</v>
      </c>
      <c r="F619" s="13">
        <f>+[8]Result!$G$44-[7]Result!$G$44</f>
        <v>237.18633776079514</v>
      </c>
      <c r="G619" s="32">
        <f>+[9]Result!$G$44-[8]Result!$G$44</f>
        <v>-212.03826621197095</v>
      </c>
      <c r="H619" s="13">
        <f>+[10]Result!$G$44-[9]Result!$G$44</f>
        <v>114.70409447998009</v>
      </c>
      <c r="I619" s="13">
        <f>+[11]Result!$G$44-[10]Result!$G$44</f>
        <v>139.0742679743089</v>
      </c>
      <c r="J619" s="32">
        <f>+[12]Result!$G$44-[11]Result!$G$44</f>
        <v>333.70185962582764</v>
      </c>
      <c r="K619" s="13">
        <f>+[13]Result!$G$44-[12]Result!$G$44</f>
        <v>4.0041684582392918</v>
      </c>
      <c r="L619" s="13">
        <f>+[14]Result!$G$44-[13]Result!$G$44</f>
        <v>249.90777033316408</v>
      </c>
      <c r="M619" s="13">
        <f>+[15]Result!$G$44-[14]Result!$G$44</f>
        <v>5215.4673712399399</v>
      </c>
      <c r="N619" s="32">
        <f>+[16]Result!$G$44-[15]Result!$G$44</f>
        <v>4.6462188758950163</v>
      </c>
      <c r="O619" s="13">
        <f>+[17]Result!$G$44-[16]Result!$G$44</f>
        <v>11.542410327312467</v>
      </c>
      <c r="P619" s="13">
        <f>+[18]Result!$G$44-[17]Result!$G$44</f>
        <v>-1504.3405053427343</v>
      </c>
      <c r="Q619" s="32">
        <f>+[19]Result!$G$44-[18]Result!$G$44</f>
        <v>10.259969453303938</v>
      </c>
      <c r="R619" s="32">
        <f>+[20]Result!$G$44-[19]Result!$G$44</f>
        <v>0</v>
      </c>
      <c r="S619" s="70">
        <f>+[22]Result!$G$44-[20]Result!$G$44</f>
        <v>-26.306552379153118</v>
      </c>
      <c r="AI619" s="73"/>
      <c r="AJ619" s="73"/>
      <c r="AK619" s="73"/>
    </row>
    <row r="620" spans="1:37" hidden="1" outlineLevel="2" x14ac:dyDescent="0.25">
      <c r="A620" s="16" t="s">
        <v>47</v>
      </c>
      <c r="B620" s="13">
        <f>+[1]Result!$G$45-[21]Result!$G$45</f>
        <v>67.332394274671515</v>
      </c>
      <c r="C620" s="13">
        <f>+[5]Result!$G$45-[1]Result!$G$45</f>
        <v>-90.853042111574723</v>
      </c>
      <c r="D620" s="32">
        <f>+[6]Result!$G$45-[5]Result!$G$45</f>
        <v>222.81349334965125</v>
      </c>
      <c r="E620" s="13">
        <f>+[7]Result!$G$45-[6]Result!$G$45</f>
        <v>-75.134195872070904</v>
      </c>
      <c r="F620" s="13">
        <f>+[8]Result!$G$45-[7]Result!$G$45</f>
        <v>95.639501508226658</v>
      </c>
      <c r="G620" s="32">
        <f>+[9]Result!$G$45-[8]Result!$G$45</f>
        <v>-96.744561177589731</v>
      </c>
      <c r="H620" s="13">
        <f>+[10]Result!$G$45-[9]Result!$G$45</f>
        <v>46.200609945315136</v>
      </c>
      <c r="I620" s="13">
        <f>+[11]Result!$G$45-[10]Result!$G$45</f>
        <v>56.349211282194119</v>
      </c>
      <c r="J620" s="32">
        <f>+[12]Result!$G$45-[11]Result!$G$45</f>
        <v>141.23830355177915</v>
      </c>
      <c r="K620" s="13">
        <f>+[13]Result!$G$45-[12]Result!$G$45</f>
        <v>1.6560016859198186</v>
      </c>
      <c r="L620" s="13">
        <f>+[14]Result!$G$45-[13]Result!$G$45</f>
        <v>101.71686130114608</v>
      </c>
      <c r="M620" s="13">
        <f>+[15]Result!$G$45-[14]Result!$G$45</f>
        <v>-7846.4166803325279</v>
      </c>
      <c r="N620" s="32">
        <f>+[16]Result!$G$45-[15]Result!$G$45</f>
        <v>-238.57647138264838</v>
      </c>
      <c r="O620" s="13">
        <f>+[17]Result!$G$45-[16]Result!$G$45</f>
        <v>-592.42318416563648</v>
      </c>
      <c r="P620" s="13">
        <f>+[18]Result!$G$45-[17]Result!$G$45</f>
        <v>-4190.327426883423</v>
      </c>
      <c r="Q620" s="32">
        <f>+[19]Result!$G$45-[18]Result!$G$45</f>
        <v>118.19263487903663</v>
      </c>
      <c r="R620" s="32">
        <f>+[20]Result!$G$45-[19]Result!$G$45</f>
        <v>2.8456295291107381</v>
      </c>
      <c r="S620" s="70">
        <f>+[22]Result!$G$45-[20]Result!$G$45</f>
        <v>-307.43539117919499</v>
      </c>
      <c r="AI620" s="73"/>
      <c r="AJ620" s="73"/>
      <c r="AK620" s="73"/>
    </row>
    <row r="621" spans="1:37" hidden="1" outlineLevel="2" x14ac:dyDescent="0.25">
      <c r="A621" s="16" t="s">
        <v>48</v>
      </c>
      <c r="B621" s="13">
        <f>+[1]Result!$G$46-[21]Result!$G$46</f>
        <v>27.247760382596425</v>
      </c>
      <c r="C621" s="13">
        <f>+[5]Result!$G$46-[1]Result!$G$46</f>
        <v>-36.976357824396018</v>
      </c>
      <c r="D621" s="32">
        <f>+[6]Result!$G$46-[5]Result!$G$46</f>
        <v>76.574259728199422</v>
      </c>
      <c r="E621" s="13">
        <f>+[7]Result!$G$46-[6]Result!$G$46</f>
        <v>-30.763131683874349</v>
      </c>
      <c r="F621" s="13">
        <f>+[8]Result!$G$46-[7]Result!$G$46</f>
        <v>39.182908658085466</v>
      </c>
      <c r="G621" s="32">
        <f>+[9]Result!$G$46-[8]Result!$G$46</f>
        <v>-40.307303033908511</v>
      </c>
      <c r="H621" s="13">
        <f>+[10]Result!$G$46-[9]Result!$G$46</f>
        <v>19.017585520216699</v>
      </c>
      <c r="I621" s="13">
        <f>+[11]Result!$G$46-[10]Result!$G$46</f>
        <v>23.09788978910592</v>
      </c>
      <c r="J621" s="32">
        <f>+[12]Result!$G$46-[11]Result!$G$46</f>
        <v>45.997667641088356</v>
      </c>
      <c r="K621" s="13">
        <f>+[13]Result!$G$46-[12]Result!$G$46</f>
        <v>0.70487453529403865</v>
      </c>
      <c r="L621" s="13">
        <f>+[14]Result!$G$46-[13]Result!$G$46</f>
        <v>42.433979069479847</v>
      </c>
      <c r="M621" s="13">
        <f>+[15]Result!$G$46-[14]Result!$G$46</f>
        <v>-2810.7422625620366</v>
      </c>
      <c r="N621" s="32">
        <f>+[16]Result!$G$46-[15]Result!$G$46</f>
        <v>-88.973775191777804</v>
      </c>
      <c r="O621" s="13">
        <f>+[17]Result!$G$46-[16]Result!$G$46</f>
        <v>-220.81135359760492</v>
      </c>
      <c r="P621" s="13">
        <f>+[18]Result!$G$46-[17]Result!$G$46</f>
        <v>-2879.4141424797995</v>
      </c>
      <c r="Q621" s="32">
        <f>+[19]Result!$G$46-[18]Result!$G$46</f>
        <v>54.263665949498318</v>
      </c>
      <c r="R621" s="32">
        <f>+[20]Result!$G$46-[19]Result!$G$46</f>
        <v>1.3628759743996852</v>
      </c>
      <c r="S621" s="70">
        <f>+[22]Result!$G$46-[20]Result!$G$46</f>
        <v>-142.00673964656107</v>
      </c>
      <c r="AI621" s="73"/>
      <c r="AJ621" s="73"/>
      <c r="AK621" s="73"/>
    </row>
    <row r="622" spans="1:37" hidden="1" outlineLevel="2" x14ac:dyDescent="0.25">
      <c r="A622" s="16" t="s">
        <v>49</v>
      </c>
      <c r="B622" s="13">
        <f>+[1]Result!$G$47-[21]Result!$G$47</f>
        <v>13.644984949170009</v>
      </c>
      <c r="C622" s="13">
        <f>+[5]Result!$G$47-[1]Result!$G$47</f>
        <v>-18.487520003645329</v>
      </c>
      <c r="D622" s="32">
        <f>+[6]Result!$G$47-[5]Result!$G$47</f>
        <v>29.406683966727144</v>
      </c>
      <c r="E622" s="13">
        <f>+[7]Result!$G$47-[6]Result!$G$47</f>
        <v>-15.63001610503369</v>
      </c>
      <c r="F622" s="13">
        <f>+[8]Result!$G$47-[7]Result!$G$47</f>
        <v>19.890858279430631</v>
      </c>
      <c r="G622" s="32">
        <f>+[9]Result!$G$47-[8]Result!$G$47</f>
        <v>-15.597033166551</v>
      </c>
      <c r="H622" s="13">
        <f>+[10]Result!$G$47-[9]Result!$G$47</f>
        <v>9.5518640682350906</v>
      </c>
      <c r="I622" s="13">
        <f>+[11]Result!$G$47-[10]Result!$G$47</f>
        <v>11.646587756067561</v>
      </c>
      <c r="J622" s="32">
        <f>+[12]Result!$G$47-[11]Result!$G$47</f>
        <v>17.986564521307514</v>
      </c>
      <c r="K622" s="13">
        <f>+[13]Result!$G$47-[12]Result!$G$47</f>
        <v>0.36536534664992359</v>
      </c>
      <c r="L622" s="13">
        <f>+[14]Result!$G$47-[13]Result!$G$47</f>
        <v>21.547611419179759</v>
      </c>
      <c r="M622" s="13">
        <f>+[15]Result!$G$47-[14]Result!$G$47</f>
        <v>-1002.1304973550698</v>
      </c>
      <c r="N622" s="32">
        <f>+[16]Result!$G$47-[15]Result!$G$47</f>
        <v>-35.3338342513714</v>
      </c>
      <c r="O622" s="13">
        <f>+[17]Result!$G$47-[16]Result!$G$47</f>
        <v>-86.926201709034331</v>
      </c>
      <c r="P622" s="13">
        <f>+[18]Result!$G$47-[17]Result!$G$47</f>
        <v>-1010.3626746373748</v>
      </c>
      <c r="Q622" s="32">
        <f>+[19]Result!$G$47-[18]Result!$G$47</f>
        <v>20.796436929537322</v>
      </c>
      <c r="R622" s="32">
        <f>+[20]Result!$G$47-[19]Result!$G$47</f>
        <v>0.51295713996705672</v>
      </c>
      <c r="S622" s="70">
        <f>+[22]Result!$G$47-[20]Result!$G$47</f>
        <v>-52.840983582683293</v>
      </c>
      <c r="AI622" s="73"/>
      <c r="AJ622" s="73"/>
      <c r="AK622" s="73"/>
    </row>
    <row r="623" spans="1:37" hidden="1" outlineLevel="2" x14ac:dyDescent="0.25">
      <c r="A623" s="16" t="s">
        <v>50</v>
      </c>
      <c r="B623" s="13">
        <f>+[1]Result!G48-[21]Result!G48</f>
        <v>7.9890441812918311</v>
      </c>
      <c r="C623" s="13">
        <f>+[5]Result!H48-[1]Result!H48</f>
        <v>5.8395310066472348</v>
      </c>
      <c r="D623" s="32">
        <f>+[6]Result!I48-[5]Result!I48</f>
        <v>0</v>
      </c>
      <c r="E623" s="13">
        <f>+[7]Result!J48-[6]Result!J48</f>
        <v>0</v>
      </c>
      <c r="F623" s="13">
        <f>+[8]Result!K48-[7]Result!K48</f>
        <v>17.910971635975898</v>
      </c>
      <c r="G623" s="32">
        <f>+[9]Result!L48-[8]Result!L48</f>
        <v>-11.179879177767077</v>
      </c>
      <c r="H623" s="13">
        <f>+[10]Result!M48-[9]Result!M48</f>
        <v>0</v>
      </c>
      <c r="I623" s="13">
        <f>+[11]Result!N48-[10]Result!N48</f>
        <v>0</v>
      </c>
      <c r="J623" s="32">
        <f>+[12]Result!O48-[11]Result!O48</f>
        <v>0</v>
      </c>
      <c r="K623" s="13">
        <f>+[13]Result!P48-[12]Result!P48</f>
        <v>0</v>
      </c>
      <c r="L623" s="13">
        <f>+[14]Result!Q48-[13]Result!Q48</f>
        <v>0</v>
      </c>
      <c r="M623" s="13">
        <f>+[15]Result!R48-[14]Result!R48</f>
        <v>0</v>
      </c>
      <c r="N623" s="32">
        <f>+[16]Result!S48-[15]Result!S48</f>
        <v>0</v>
      </c>
      <c r="O623" s="13">
        <f>+[17]Result!T48-[16]Result!T48</f>
        <v>0</v>
      </c>
      <c r="P623" s="13">
        <f>+[18]Result!U48-[17]Result!U48</f>
        <v>0</v>
      </c>
      <c r="Q623" s="32">
        <f>+[19]Result!V48-[18]Result!V48</f>
        <v>0</v>
      </c>
      <c r="R623" s="32">
        <f>+[20]Result!W48-[19]Result!W48</f>
        <v>0</v>
      </c>
      <c r="S623" s="70">
        <f>+[22]Result!X48-[20]Result!X48</f>
        <v>0</v>
      </c>
      <c r="AI623" s="73"/>
      <c r="AJ623" s="73"/>
      <c r="AK623" s="73"/>
    </row>
    <row r="624" spans="1:37" hidden="1" outlineLevel="2" x14ac:dyDescent="0.25">
      <c r="A624" s="16" t="s">
        <v>51</v>
      </c>
      <c r="B624" s="13">
        <f>+[1]Result!$G$49-[21]Result!$G$49</f>
        <v>4.3759923750108385</v>
      </c>
      <c r="C624" s="13">
        <f>+[5]Result!$G$49-[1]Result!$G$49</f>
        <v>-5.9320975401701048</v>
      </c>
      <c r="D624" s="32">
        <f>+[6]Result!$G$49-[5]Result!$G$49</f>
        <v>9.4122825205081142</v>
      </c>
      <c r="E624" s="13">
        <f>+[7]Result!$G$49-[6]Result!$G$49</f>
        <v>-4.9465454943757265</v>
      </c>
      <c r="F624" s="13">
        <f>+[8]Result!$G$49-[7]Result!$G$49</f>
        <v>6.3445186905748869</v>
      </c>
      <c r="G624" s="32">
        <f>+[9]Result!$G$49-[8]Result!$G$49</f>
        <v>-4.728161308427957</v>
      </c>
      <c r="H624" s="13">
        <f>+[10]Result!$G$49-[9]Result!$G$49</f>
        <v>3.0683057760748511</v>
      </c>
      <c r="I624" s="13">
        <f>+[11]Result!$G$49-[10]Result!$G$49</f>
        <v>3.7409220662314908</v>
      </c>
      <c r="J624" s="32">
        <f>+[12]Result!$G$49-[11]Result!$G$49</f>
        <v>5.4448696397993217</v>
      </c>
      <c r="K624" s="13">
        <f>+[13]Result!$G$49-[12]Result!$G$49</f>
        <v>0.12266190538656474</v>
      </c>
      <c r="L624" s="13">
        <f>+[14]Result!$G$49-[13]Result!$G$49</f>
        <v>6.9639970666042359</v>
      </c>
      <c r="M624" s="13">
        <f>+[15]Result!$G$49-[14]Result!$G$49</f>
        <v>-217.7919268942083</v>
      </c>
      <c r="N624" s="32">
        <f>+[16]Result!$G$49-[15]Result!$G$49</f>
        <v>-8.8737677682211711</v>
      </c>
      <c r="O624" s="13">
        <f>+[17]Result!$G$49-[16]Result!$G$49</f>
        <v>-21.959052596940978</v>
      </c>
      <c r="P624" s="13">
        <f>+[18]Result!$G$49-[17]Result!$G$49</f>
        <v>-117.51295801593727</v>
      </c>
      <c r="Q624" s="32">
        <f>+[19]Result!$G$49-[18]Result!$G$49</f>
        <v>4.1677612207198536</v>
      </c>
      <c r="R624" s="32">
        <f>+[20]Result!$G$49-[19]Result!$G$49</f>
        <v>0.10534175507791588</v>
      </c>
      <c r="S624" s="70">
        <f>+[22]Result!$G$49-[20]Result!$G$49</f>
        <v>-10.535768484154289</v>
      </c>
      <c r="AI624" s="73"/>
      <c r="AJ624" s="73"/>
      <c r="AK624" s="73"/>
    </row>
    <row r="625" spans="1:37" hidden="1" outlineLevel="2" x14ac:dyDescent="0.25">
      <c r="A625" s="16" t="s">
        <v>52</v>
      </c>
      <c r="B625" s="13">
        <f>+[1]Result!$G$50-[21]Result!$G$50</f>
        <v>2.3717467660847404</v>
      </c>
      <c r="C625" s="13">
        <f>+[5]Result!$G$50-[1]Result!$G$50</f>
        <v>-3.2092730503471643</v>
      </c>
      <c r="D625" s="32">
        <f>+[6]Result!$G$50-[5]Result!$G$50</f>
        <v>5.3371419286300323</v>
      </c>
      <c r="E625" s="13">
        <f>+[7]Result!$G$50-[6]Result!$G$50</f>
        <v>-2.6601897007509194</v>
      </c>
      <c r="F625" s="13">
        <f>+[8]Result!$G$50-[7]Result!$G$50</f>
        <v>3.4093770921043074</v>
      </c>
      <c r="G625" s="32">
        <f>+[9]Result!$G$50-[8]Result!$G$50</f>
        <v>-2.6350893897823369</v>
      </c>
      <c r="H625" s="13">
        <f>+[10]Result!$G$50-[9]Result!$G$50</f>
        <v>1.6318546472933804</v>
      </c>
      <c r="I625" s="13">
        <f>+[11]Result!$G$50-[10]Result!$G$50</f>
        <v>2.0200022453738171</v>
      </c>
      <c r="J625" s="32">
        <f>+[12]Result!$G$50-[11]Result!$G$50</f>
        <v>3.7201827118076096</v>
      </c>
      <c r="K625" s="13">
        <f>+[13]Result!$G$50-[12]Result!$G$50</f>
        <v>6.6709110702376506E-2</v>
      </c>
      <c r="L625" s="13">
        <f>+[14]Result!$G$50-[13]Result!$G$50</f>
        <v>3.7058937413045356</v>
      </c>
      <c r="M625" s="13">
        <f>+[15]Result!$G$50-[14]Result!$G$50</f>
        <v>-105.07725089686924</v>
      </c>
      <c r="N625" s="32">
        <f>+[16]Result!$G$50-[15]Result!$G$50</f>
        <v>-4.4728290472170329</v>
      </c>
      <c r="O625" s="13">
        <f>+[17]Result!$G$50-[16]Result!$G$50</f>
        <v>-11.057297426803245</v>
      </c>
      <c r="P625" s="13">
        <f>+[18]Result!$G$50-[17]Result!$G$50</f>
        <v>-58.411857611262974</v>
      </c>
      <c r="Q625" s="32">
        <f>+[19]Result!$G$50-[18]Result!$G$50</f>
        <v>2.0241407465093459</v>
      </c>
      <c r="R625" s="32">
        <f>+[20]Result!$G$50-[19]Result!$G$50</f>
        <v>0.10890857830813161</v>
      </c>
      <c r="S625" s="70">
        <f>+[22]Result!$G$50-[20]Result!$G$50</f>
        <v>-5.2839161304438562</v>
      </c>
      <c r="AI625" s="73"/>
      <c r="AJ625" s="73"/>
      <c r="AK625" s="73"/>
    </row>
    <row r="626" spans="1:37" hidden="1" outlineLevel="2" x14ac:dyDescent="0.25">
      <c r="A626" s="16" t="s">
        <v>53</v>
      </c>
      <c r="B626" s="13">
        <f>+[1]Result!$G$51-[21]Result!$G$51</f>
        <v>1.2098275793812832</v>
      </c>
      <c r="C626" s="13">
        <f>+[5]Result!$G$51-[1]Result!$G$51</f>
        <v>-1.6374859310824377</v>
      </c>
      <c r="D626" s="32">
        <f>+[6]Result!$G$51-[5]Result!$G$51</f>
        <v>2.6302465566590811</v>
      </c>
      <c r="E626" s="13">
        <f>+[7]Result!$G$51-[6]Result!$G$51</f>
        <v>-1.3642183067522708</v>
      </c>
      <c r="F626" s="13">
        <f>+[8]Result!$G$51-[7]Result!$G$51</f>
        <v>1.7564654648932461</v>
      </c>
      <c r="G626" s="32">
        <f>+[9]Result!$G$51-[8]Result!$G$51</f>
        <v>-1.8243680100165136</v>
      </c>
      <c r="H626" s="13">
        <f>+[10]Result!$G$51-[9]Result!$G$51</f>
        <v>0.84439912854796262</v>
      </c>
      <c r="I626" s="13">
        <f>+[11]Result!$G$51-[10]Result!$G$51</f>
        <v>1.0506344590868224</v>
      </c>
      <c r="J626" s="32">
        <f>+[12]Result!$G$51-[11]Result!$G$51</f>
        <v>2.5303131212237417</v>
      </c>
      <c r="K626" s="13">
        <f>+[13]Result!$G$51-[12]Result!$G$51</f>
        <v>3.4768308510415125E-2</v>
      </c>
      <c r="L626" s="13">
        <f>+[14]Result!$G$51-[13]Result!$G$51</f>
        <v>1.8974190086734666</v>
      </c>
      <c r="M626" s="13">
        <f>+[15]Result!$G$51-[14]Result!$G$51</f>
        <v>-38.326246596664923</v>
      </c>
      <c r="N626" s="32">
        <f>+[16]Result!$G$51-[15]Result!$G$51</f>
        <v>-1.9040407660539955</v>
      </c>
      <c r="O626" s="13">
        <f>+[17]Result!$G$51-[16]Result!$G$51</f>
        <v>-4.7220385195695656</v>
      </c>
      <c r="P626" s="13">
        <f>+[18]Result!$G$51-[17]Result!$G$51</f>
        <v>-34.203320140799946</v>
      </c>
      <c r="Q626" s="32">
        <f>+[19]Result!$G$51-[18]Result!$G$51</f>
        <v>0.92902820423370258</v>
      </c>
      <c r="R626" s="32">
        <f>+[20]Result!$G$51-[19]Result!$G$51</f>
        <v>2.5960033052044196E-2</v>
      </c>
      <c r="S626" s="70">
        <f>+[22]Result!$G$51-[20]Result!$G$51</f>
        <v>-2.4153807061735506</v>
      </c>
      <c r="AI626" s="73"/>
      <c r="AJ626" s="73"/>
      <c r="AK626" s="73"/>
    </row>
    <row r="627" spans="1:37" hidden="1" outlineLevel="2" x14ac:dyDescent="0.25">
      <c r="A627" s="16" t="s">
        <v>54</v>
      </c>
      <c r="B627" s="13">
        <f>+[1]Result!$G$52-[21]Result!$G$52</f>
        <v>0.53684373204268354</v>
      </c>
      <c r="C627" s="13">
        <f>+[5]Result!$G$52-[1]Result!$G$52</f>
        <v>-0.72675017334671566</v>
      </c>
      <c r="D627" s="32">
        <f>+[6]Result!$G$52-[5]Result!$G$52</f>
        <v>1.763684512222504</v>
      </c>
      <c r="E627" s="13">
        <f>+[7]Result!$G$52-[6]Result!$G$52</f>
        <v>-0.59234565702223207</v>
      </c>
      <c r="F627" s="13">
        <f>+[8]Result!$G$52-[7]Result!$G$52</f>
        <v>0.76098939027805912</v>
      </c>
      <c r="G627" s="32">
        <f>+[9]Result!$G$52-[8]Result!$G$52</f>
        <v>-1.3716059789891339</v>
      </c>
      <c r="H627" s="13">
        <f>+[10]Result!$G$52-[9]Result!$G$52</f>
        <v>0.37911192482013689</v>
      </c>
      <c r="I627" s="13">
        <f>+[11]Result!$G$52-[10]Result!$G$52</f>
        <v>0.46424541274230435</v>
      </c>
      <c r="J627" s="32">
        <f>+[12]Result!$G$52-[11]Result!$G$52</f>
        <v>1.3016428386125867</v>
      </c>
      <c r="K627" s="13">
        <f>+[13]Result!$G$52-[12]Result!$G$52</f>
        <v>1.5627052425852384E-2</v>
      </c>
      <c r="L627" s="13">
        <f>+[14]Result!$G$52-[13]Result!$G$52</f>
        <v>0.83385472099089242</v>
      </c>
      <c r="M627" s="13">
        <f>+[15]Result!$G$52-[14]Result!$G$52</f>
        <v>-4.2027676984180218</v>
      </c>
      <c r="N627" s="32">
        <f>+[16]Result!$G$52-[15]Result!$G$52</f>
        <v>-0.52430468694505095</v>
      </c>
      <c r="O627" s="13">
        <f>+[17]Result!$G$52-[16]Result!$G$52</f>
        <v>-1.2925672501353951</v>
      </c>
      <c r="P627" s="13">
        <f>+[18]Result!$G$52-[17]Result!$G$52</f>
        <v>-20.092520246164629</v>
      </c>
      <c r="Q627" s="32">
        <f>+[19]Result!$G$52-[18]Result!$G$52</f>
        <v>0.34632634893817738</v>
      </c>
      <c r="R627" s="32">
        <f>+[20]Result!$G$52-[19]Result!$G$52</f>
        <v>9.4787331187191626E-3</v>
      </c>
      <c r="S627" s="70">
        <f>+[22]Result!$G$52-[20]Result!$G$52</f>
        <v>-0.89064941480631177</v>
      </c>
      <c r="AI627" s="73"/>
      <c r="AJ627" s="73"/>
      <c r="AK627" s="73"/>
    </row>
    <row r="628" spans="1:37" hidden="1" outlineLevel="2" x14ac:dyDescent="0.25">
      <c r="A628" s="16" t="s">
        <v>55</v>
      </c>
      <c r="B628" s="13">
        <f>+[1]Result!$G$53-[21]Result!$G$53</f>
        <v>0.19586838049111854</v>
      </c>
      <c r="C628" s="13">
        <f>+[5]Result!$G$53-[1]Result!$G$53</f>
        <v>-0.26466304086052617</v>
      </c>
      <c r="D628" s="32">
        <f>+[6]Result!$G$53-[5]Result!$G$53</f>
        <v>0.81167657674672888</v>
      </c>
      <c r="E628" s="13">
        <f>+[7]Result!$G$53-[6]Result!$G$53</f>
        <v>-0.20950498392224137</v>
      </c>
      <c r="F628" s="13">
        <f>+[8]Result!$G$53-[7]Result!$G$53</f>
        <v>0.2689449706405771</v>
      </c>
      <c r="G628" s="32">
        <f>+[9]Result!$G$53-[8]Result!$G$53</f>
        <v>-0.16978341445868406</v>
      </c>
      <c r="H628" s="13">
        <f>+[10]Result!$G$53-[9]Result!$G$53</f>
        <v>0.12766273542281947</v>
      </c>
      <c r="I628" s="13">
        <f>+[11]Result!$G$53-[10]Result!$G$53</f>
        <v>0.15850730585566897</v>
      </c>
      <c r="J628" s="32">
        <f>+[12]Result!$G$53-[11]Result!$G$53</f>
        <v>0.55966195809796471</v>
      </c>
      <c r="K628" s="13">
        <f>+[13]Result!$G$53-[12]Result!$G$53</f>
        <v>5.2725280961842813E-3</v>
      </c>
      <c r="L628" s="13">
        <f>+[14]Result!$G$53-[13]Result!$G$53</f>
        <v>0.27615988762484811</v>
      </c>
      <c r="M628" s="13">
        <f>+[15]Result!$G$53-[14]Result!$G$53</f>
        <v>4.7784544646789548</v>
      </c>
      <c r="N628" s="32">
        <f>+[16]Result!$G$53-[15]Result!$G$53</f>
        <v>-1.5265386793521074E-2</v>
      </c>
      <c r="O628" s="13">
        <f>+[17]Result!$G$53-[16]Result!$G$53</f>
        <v>-3.8087187955710644E-2</v>
      </c>
      <c r="P628" s="13">
        <f>+[18]Result!$G$53-[17]Result!$G$53</f>
        <v>-7.8365995443056677</v>
      </c>
      <c r="Q628" s="32">
        <f>+[19]Result!$G$53-[18]Result!$G$53</f>
        <v>6.8878675856458571E-2</v>
      </c>
      <c r="R628" s="32">
        <f>+[20]Result!$G$53-[19]Result!$G$53</f>
        <v>3.9174681962421687E-3</v>
      </c>
      <c r="S628" s="70">
        <f>+[22]Result!$G$53-[20]Result!$G$53</f>
        <v>-0.178183683108319</v>
      </c>
      <c r="AI628" s="73"/>
      <c r="AJ628" s="73"/>
      <c r="AK628" s="73"/>
    </row>
    <row r="629" spans="1:37" hidden="1" outlineLevel="2" x14ac:dyDescent="0.25">
      <c r="A629" s="16" t="s">
        <v>56</v>
      </c>
      <c r="B629" s="13">
        <f>+[1]Result!$G$54-[21]Result!$G$54</f>
        <v>5.0411758325992873E-2</v>
      </c>
      <c r="C629" s="13">
        <f>+[5]Result!$G$54-[1]Result!$G$54</f>
        <v>-6.7976922061031564E-2</v>
      </c>
      <c r="D629" s="32">
        <f>+[6]Result!$G$54-[5]Result!$G$54</f>
        <v>0.31755312978660122</v>
      </c>
      <c r="E629" s="13">
        <f>+[7]Result!$G$54-[6]Result!$G$54</f>
        <v>-4.9698380916372464E-2</v>
      </c>
      <c r="F629" s="13">
        <f>+[8]Result!$G$54-[7]Result!$G$54</f>
        <v>6.4220273686079077E-2</v>
      </c>
      <c r="G629" s="32">
        <f>+[9]Result!$G$54-[8]Result!$G$54</f>
        <v>-0.12513058858075099</v>
      </c>
      <c r="H629" s="13">
        <f>+[10]Result!$G$54-[9]Result!$G$54</f>
        <v>3.2106927689601328E-2</v>
      </c>
      <c r="I629" s="13">
        <f>+[11]Result!$G$54-[10]Result!$G$54</f>
        <v>4.007762920363378E-2</v>
      </c>
      <c r="J629" s="32">
        <f>+[12]Result!$G$54-[11]Result!$G$54</f>
        <v>0.15426771367647052</v>
      </c>
      <c r="K629" s="13">
        <f>+[13]Result!$G$54-[12]Result!$G$54</f>
        <v>1.3455760263298977E-3</v>
      </c>
      <c r="L629" s="13">
        <f>+[14]Result!$G$54-[13]Result!$G$54</f>
        <v>6.94865090173582E-2</v>
      </c>
      <c r="M629" s="13">
        <f>+[15]Result!$G$54-[14]Result!$G$54</f>
        <v>1.3457398204102655</v>
      </c>
      <c r="N629" s="32">
        <f>+[16]Result!$G$54-[15]Result!$G$54</f>
        <v>3.0196858984612735E-5</v>
      </c>
      <c r="O629" s="13">
        <f>+[17]Result!$G$54-[16]Result!$G$54</f>
        <v>7.6302293343166261E-5</v>
      </c>
      <c r="P629" s="13">
        <f>+[18]Result!$G$54-[17]Result!$G$54</f>
        <v>-3.4926297388096581E-5</v>
      </c>
      <c r="Q629" s="32">
        <f>+[19]Result!$G$54-[18]Result!$G$54</f>
        <v>-1.0199583985581262E-5</v>
      </c>
      <c r="R629" s="32">
        <f>+[20]Result!$G$54-[19]Result!$G$54</f>
        <v>-5.9736306898434954E-7</v>
      </c>
      <c r="S629" s="70">
        <f>+[22]Result!$G$54-[20]Result!$G$54</f>
        <v>2.655975527825964E-5</v>
      </c>
      <c r="AI629" s="73"/>
      <c r="AJ629" s="73"/>
      <c r="AK629" s="73"/>
    </row>
    <row r="630" spans="1:37" collapsed="1" x14ac:dyDescent="0.25">
      <c r="A630" s="12" t="s">
        <v>93</v>
      </c>
      <c r="B630" s="13">
        <f>+SUM([1]Result!$H$5:$H$54)-SUM([21]Result!$H$5:$H$54)</f>
        <v>457355.33762097359</v>
      </c>
      <c r="C630" s="13">
        <f>+SUM([5]Result!$H$5:$H$54)-SUM([1]Result!$H$5:$H$54)</f>
        <v>-1049180.4711360373</v>
      </c>
      <c r="D630" s="32">
        <f>+SUM([6]Result!$H$5:$H$54)-SUM([5]Result!$H$5:$H$54)</f>
        <v>1102991.7531247549</v>
      </c>
      <c r="E630" s="13">
        <f>+SUM([7]Result!$H$5:$H$54)-SUM([6]Result!$H$5:$H$54)</f>
        <v>-2587862.968867328</v>
      </c>
      <c r="F630" s="13">
        <f>+SUM([8]Result!$H$5:$H$54)-SUM([7]Result!$H$5:$H$54)</f>
        <v>395155.39924487844</v>
      </c>
      <c r="G630" s="32">
        <f>+SUM([9]Result!$H$5:$H$54)-SUM([8]Result!$H$5:$H$54)</f>
        <v>439888.40806181356</v>
      </c>
      <c r="H630" s="13">
        <f>+SUM([10]Result!$H$5:$H$54)-SUM([9]Result!$H$5:$H$54)</f>
        <v>801513.54013542458</v>
      </c>
      <c r="I630" s="13">
        <f>+SUM([11]Result!$H$5:$H$54)-SUM([10]Result!$H$5:$H$54)</f>
        <v>-384137.54657228291</v>
      </c>
      <c r="J630" s="32">
        <f>+SUM([12]Result!$H$5:$H$54)-SUM([11]Result!$H$5:$H$54)</f>
        <v>1383917.2786753625</v>
      </c>
      <c r="K630" s="13">
        <f>+SUM([13]Result!$H$5:$H$54)-SUM([12]Result!$H$5:$H$54)</f>
        <v>-297624.98977939039</v>
      </c>
      <c r="L630" s="13">
        <f>+SUM([14]Result!$H$5:$H$54)-SUM([13]Result!$H$5:$H$54)</f>
        <v>439263.1850355491</v>
      </c>
      <c r="M630" s="32">
        <f>+SUM([15]Result!$H$5:$H$54)-SUM([14]Result!$H$5:$H$54)</f>
        <v>-3858946.6219336875</v>
      </c>
      <c r="N630" s="13">
        <f>+SUM([16]Result!$H$5:$H$54)-SUM([15]Result!$H$5:$H$54)</f>
        <v>-334294.97311708331</v>
      </c>
      <c r="O630" s="13">
        <f>+SUM([17]Result!$H$5:$H$54)-SUM([16]Result!$H$5:$H$54)</f>
        <v>-860473.85995165259</v>
      </c>
      <c r="P630" s="32">
        <f>+SUM([18]Result!$H$5:$H$54)-SUM([17]Result!$H$5:$H$54)</f>
        <v>7410034.0169754364</v>
      </c>
      <c r="Q630" s="13">
        <f>+SUM([19]Result!$H$5:$H$54)-SUM([18]Result!$H$5:$H$54)</f>
        <v>260389.91037288308</v>
      </c>
      <c r="R630" s="13">
        <f>+SUM([20]Result!$H$5:$H$54)-SUM([19]Result!$H$5:$H$54)</f>
        <v>-991199.35551560298</v>
      </c>
      <c r="S630" s="70">
        <f>+SUM([22]Result!$H$5:$H$54)-SUM([20]Result!$H$5:$H$54)</f>
        <v>-202489.83664091304</v>
      </c>
      <c r="T630" s="13">
        <f>+B630-(B631+B637+B643+B654+B665)</f>
        <v>-7.6834112405776978E-9</v>
      </c>
      <c r="U630" s="13">
        <f t="shared" ref="U630:W630" si="469">+C630-(C631+C637+C643+C654+C665)</f>
        <v>1.8393620848655701E-8</v>
      </c>
      <c r="V630" s="13">
        <f t="shared" si="469"/>
        <v>-6.5192580223083496E-9</v>
      </c>
      <c r="W630" s="13">
        <f t="shared" si="469"/>
        <v>4.1909515857696533E-9</v>
      </c>
      <c r="X630" s="13">
        <f t="shared" ref="X630" si="470">+F630-(F631+F637+F643+F654+F665)</f>
        <v>-1.9150320440530777E-8</v>
      </c>
      <c r="Y630" s="13">
        <f t="shared" ref="Y630:AE630" si="471">+G630-(G631+G637+G643+G654+G665)</f>
        <v>8.5565261542797089E-9</v>
      </c>
      <c r="Z630" s="13">
        <f t="shared" si="471"/>
        <v>1.1874362826347351E-8</v>
      </c>
      <c r="AA630" s="13">
        <f t="shared" si="471"/>
        <v>-9.2550180852413177E-9</v>
      </c>
      <c r="AB630" s="13">
        <f t="shared" si="471"/>
        <v>5.3551048040390015E-9</v>
      </c>
      <c r="AC630" s="13">
        <f t="shared" si="471"/>
        <v>0</v>
      </c>
      <c r="AD630" s="13">
        <f t="shared" si="471"/>
        <v>-4.2491592466831207E-9</v>
      </c>
      <c r="AE630" s="13">
        <f t="shared" si="471"/>
        <v>0</v>
      </c>
      <c r="AF630" s="13">
        <f t="shared" ref="AF630" si="472">+N630-(N631+N637+N643+N654+N665)</f>
        <v>1.3795215636491776E-8</v>
      </c>
      <c r="AG630" s="13">
        <f t="shared" ref="AG630:AH630" si="473">+O630-(O631+O637+O643+O654+O665)</f>
        <v>-2.5611370801925659E-8</v>
      </c>
      <c r="AH630" s="13">
        <f t="shared" si="473"/>
        <v>1.5832483768463135E-8</v>
      </c>
      <c r="AI630" s="73">
        <f t="shared" ref="AI630" si="474">+Q630-(Q631+Q637+Q643+Q654+Q665)</f>
        <v>-5.6170392781496048E-9</v>
      </c>
      <c r="AJ630" s="73">
        <f t="shared" ref="AJ630:AK630" si="475">+R630-(R631+R637+R643+R654+R665)</f>
        <v>-7.9162418842315674E-9</v>
      </c>
      <c r="AK630" s="73">
        <f t="shared" si="475"/>
        <v>1.8742866814136505E-8</v>
      </c>
    </row>
    <row r="631" spans="1:37" hidden="1" outlineLevel="1" x14ac:dyDescent="0.25">
      <c r="A631" s="15" t="s">
        <v>2</v>
      </c>
      <c r="B631" s="13">
        <f>+'[1]Stat by Mat 2'!$D$3-'[21]Stat by Mat 2'!$D$3</f>
        <v>439077.81703592837</v>
      </c>
      <c r="C631" s="13">
        <f>+'[5]Stat by Mat 2'!$D$3-'[1]Stat by Mat 2'!$D$3</f>
        <v>-924521.03035765886</v>
      </c>
      <c r="D631" s="32">
        <f>+'[6]Stat by Mat 2'!$D$3-'[5]Stat by Mat 2'!$D$3</f>
        <v>1495860.0472704992</v>
      </c>
      <c r="E631" s="13">
        <f>+'[7]Stat by Mat 2'!$D$3-'[6]Stat by Mat 2'!$D$3</f>
        <v>-2115493.504677549</v>
      </c>
      <c r="F631" s="13">
        <f>+'[8]Stat by Mat 2'!$D$3-'[7]Stat by Mat 2'!$D$3</f>
        <v>344021.39293596894</v>
      </c>
      <c r="G631" s="32">
        <f>+'[9]Stat by Mat 2'!$D$3-'[8]Stat by Mat 2'!$D$3</f>
        <v>292759.075071536</v>
      </c>
      <c r="H631" s="13">
        <f>+'[10]Stat by Mat 2'!$D$3-'[9]Stat by Mat 2'!$D$3</f>
        <v>643321.82562487572</v>
      </c>
      <c r="I631" s="13">
        <f>+'[11]Stat by Mat 2'!$D$3-'[10]Stat by Mat 2'!$D$3</f>
        <v>-258152.15861017257</v>
      </c>
      <c r="J631" s="32">
        <f>+'[12]Stat by Mat 2'!$D$3-'[11]Stat by Mat 2'!$D$3</f>
        <v>1100255.1451787204</v>
      </c>
      <c r="K631" s="13">
        <f>+'[13]Stat by Mat 2'!$D$3-'[12]Stat by Mat 2'!$D$3</f>
        <v>-190048.78637879342</v>
      </c>
      <c r="L631" s="13">
        <f>+'[14]Stat by Mat 2'!$D$3-'[13]Stat by Mat 2'!$D$3</f>
        <v>297402.96019168943</v>
      </c>
      <c r="M631" s="13">
        <f>+'[15]Stat by Mat 2'!$D$3-'[14]Stat by Mat 2'!$D$3</f>
        <v>-935993.67677506804</v>
      </c>
      <c r="N631" s="32">
        <f>+'[16]Stat by Mat 2'!$D$3-'[15]Stat by Mat 2'!$D$3</f>
        <v>-221154.80056973919</v>
      </c>
      <c r="O631" s="13">
        <f>+'[17]Stat by Mat 2'!$D$3-'[16]Stat by Mat 2'!$D$3</f>
        <v>-560715.01415193453</v>
      </c>
      <c r="P631" s="13">
        <f>+'[18]Stat by Mat 2'!$D$3-'[17]Stat by Mat 2'!$D$3</f>
        <v>5824171.8045403287</v>
      </c>
      <c r="Q631" s="32">
        <f>+'[19]Stat by Mat 2'!$D$3-'[18]Stat by Mat 2'!$D$3</f>
        <v>268103.27765556425</v>
      </c>
      <c r="R631" s="32">
        <f>+'[20]Stat by Mat 2'!$D$3-'[19]Stat by Mat 2'!$D$3</f>
        <v>-766567.27346644551</v>
      </c>
      <c r="S631" s="70">
        <f>+'[22]Stat by Mat 2'!$D$3-'[20]Stat by Mat 2'!$D$3</f>
        <v>-103441.25885443389</v>
      </c>
      <c r="T631" s="13">
        <f>+B631-SUM(B632:B636)</f>
        <v>0</v>
      </c>
      <c r="U631" s="13">
        <f t="shared" ref="U631:W631" si="476">+C631-SUM(C632:C636)</f>
        <v>0</v>
      </c>
      <c r="V631" s="13">
        <f t="shared" si="476"/>
        <v>0</v>
      </c>
      <c r="W631" s="13">
        <f t="shared" si="476"/>
        <v>0</v>
      </c>
      <c r="X631" s="13">
        <f t="shared" ref="X631" si="477">+F631-SUM(F632:F636)</f>
        <v>0</v>
      </c>
      <c r="Y631" s="13">
        <f t="shared" ref="Y631:AE631" si="478">+G631-SUM(G632:G636)</f>
        <v>0</v>
      </c>
      <c r="Z631" s="13">
        <f t="shared" si="478"/>
        <v>0</v>
      </c>
      <c r="AA631" s="13">
        <f t="shared" si="478"/>
        <v>0</v>
      </c>
      <c r="AB631" s="13">
        <f t="shared" si="478"/>
        <v>0</v>
      </c>
      <c r="AC631" s="13">
        <f t="shared" si="478"/>
        <v>0</v>
      </c>
      <c r="AD631" s="13">
        <f t="shared" si="478"/>
        <v>0</v>
      </c>
      <c r="AE631" s="13">
        <f t="shared" si="478"/>
        <v>0</v>
      </c>
      <c r="AF631" s="13">
        <f t="shared" ref="AF631" si="479">+N631-SUM(N632:N636)</f>
        <v>0</v>
      </c>
      <c r="AG631" s="13">
        <f t="shared" ref="AG631:AH631" si="480">+O631-SUM(O632:O636)</f>
        <v>0</v>
      </c>
      <c r="AH631" s="13">
        <f t="shared" si="480"/>
        <v>0</v>
      </c>
      <c r="AI631" s="73">
        <f t="shared" ref="AI631" si="481">+Q631-SUM(Q632:Q636)</f>
        <v>0</v>
      </c>
      <c r="AJ631" s="73">
        <f t="shared" ref="AJ631:AK631" si="482">+R631-SUM(R632:R636)</f>
        <v>0</v>
      </c>
      <c r="AK631" s="73">
        <f t="shared" si="482"/>
        <v>0</v>
      </c>
    </row>
    <row r="632" spans="1:37" hidden="1" outlineLevel="2" x14ac:dyDescent="0.25">
      <c r="A632" s="16" t="s">
        <v>3</v>
      </c>
      <c r="B632" s="13">
        <f>+[1]Result!$H$5-[21]Result!$H$5</f>
        <v>72783.865974128246</v>
      </c>
      <c r="C632" s="13">
        <f>+[5]Result!$H$5-[1]Result!$H$5</f>
        <v>-197017.64678299427</v>
      </c>
      <c r="D632" s="32">
        <f>+[6]Result!$H$5-[5]Result!$H$5</f>
        <v>14571.36968421936</v>
      </c>
      <c r="E632" s="13">
        <f>+[7]Result!$H$5-[6]Result!$H$5</f>
        <v>-369949.14496272802</v>
      </c>
      <c r="F632" s="13">
        <f>+[8]Result!$H$5-[7]Result!$H$5</f>
        <v>22410.715356111526</v>
      </c>
      <c r="G632" s="32">
        <f>+[9]Result!$H$5-[8]Result!$H$5</f>
        <v>-204218.4286737442</v>
      </c>
      <c r="H632" s="13">
        <f>+[10]Result!$H$5-[9]Result!$H$5</f>
        <v>80987.828732848167</v>
      </c>
      <c r="I632" s="13">
        <f>+[11]Result!$H$5-[10]Result!$H$5</f>
        <v>-10083.677844762802</v>
      </c>
      <c r="J632" s="32">
        <f>+[12]Result!$H$5-[11]Result!$H$5</f>
        <v>-61635.591302394867</v>
      </c>
      <c r="K632" s="13">
        <f>+[13]Result!$H$5-[12]Result!$H$5</f>
        <v>6389.5192428231239</v>
      </c>
      <c r="L632" s="13">
        <f>+[14]Result!$H$5-[13]Result!$H$5</f>
        <v>12680.497629821301</v>
      </c>
      <c r="M632" s="13">
        <f>+[15]Result!$H$5-[14]Result!$H$5</f>
        <v>-111070.116538167</v>
      </c>
      <c r="N632" s="32">
        <f>+[16]Result!$H$5-[15]Result!$H$5</f>
        <v>-2967.4657192230225</v>
      </c>
      <c r="O632" s="13">
        <f>+[17]Result!$H$5-[16]Result!$H$5</f>
        <v>-29744.220305621624</v>
      </c>
      <c r="P632" s="13">
        <f>+[18]Result!$H$5-[17]Result!$H$5</f>
        <v>1062178.7365500927</v>
      </c>
      <c r="Q632" s="32">
        <f>+[19]Result!$H$5-[18]Result!$H$5</f>
        <v>86153.901553571224</v>
      </c>
      <c r="R632" s="32">
        <f>+[20]Result!$H$5-[19]Result!$H$5</f>
        <v>-99727.217885911465</v>
      </c>
      <c r="S632" s="70">
        <f>+[22]Result!$H$5-[20]Result!$H$5</f>
        <v>-5100.01175314188</v>
      </c>
      <c r="AI632" s="73"/>
      <c r="AJ632" s="73"/>
      <c r="AK632" s="73"/>
    </row>
    <row r="633" spans="1:37" hidden="1" outlineLevel="2" x14ac:dyDescent="0.25">
      <c r="A633" s="16" t="s">
        <v>4</v>
      </c>
      <c r="B633" s="13">
        <f>+[1]Result!$H$6-[21]Result!$H$6</f>
        <v>130599.22984546423</v>
      </c>
      <c r="C633" s="13">
        <f>+[5]Result!$H$6-[1]Result!$H$6</f>
        <v>-272554.27219516039</v>
      </c>
      <c r="D633" s="32">
        <f>+[6]Result!$H$6-[5]Result!$H$6</f>
        <v>908557.41651776433</v>
      </c>
      <c r="E633" s="13">
        <f>+[7]Result!$H$6-[6]Result!$H$6</f>
        <v>-714427.02677318454</v>
      </c>
      <c r="F633" s="13">
        <f>+[8]Result!$H$6-[7]Result!$H$6</f>
        <v>100138.82387140393</v>
      </c>
      <c r="G633" s="32">
        <f>+[9]Result!$H$6-[8]Result!$H$6</f>
        <v>235010.16476038098</v>
      </c>
      <c r="H633" s="13">
        <f>+[10]Result!$H$6-[9]Result!$H$6</f>
        <v>216006.73222276568</v>
      </c>
      <c r="I633" s="13">
        <f>+[11]Result!$H$6-[10]Result!$H$6</f>
        <v>-71262.045681148767</v>
      </c>
      <c r="J633" s="32">
        <f>+[12]Result!$H$6-[11]Result!$H$6</f>
        <v>404186.31464254856</v>
      </c>
      <c r="K633" s="13">
        <f>+[13]Result!$H$6-[12]Result!$H$6</f>
        <v>-46838.046752631664</v>
      </c>
      <c r="L633" s="13">
        <f>+[14]Result!$H$6-[13]Result!$H$6</f>
        <v>80536.441009938717</v>
      </c>
      <c r="M633" s="13">
        <f>+[15]Result!$H$6-[14]Result!$H$6</f>
        <v>-306419.34368148446</v>
      </c>
      <c r="N633" s="32">
        <f>+[16]Result!$H$6-[15]Result!$H$6</f>
        <v>-53513.964836925268</v>
      </c>
      <c r="O633" s="13">
        <f>+[17]Result!$H$6-[16]Result!$H$6</f>
        <v>-138859.81154319644</v>
      </c>
      <c r="P633" s="13">
        <f>+[18]Result!$H$6-[17]Result!$H$6</f>
        <v>2222371.7973882556</v>
      </c>
      <c r="Q633" s="32">
        <f>+[19]Result!$H$6-[18]Result!$H$6</f>
        <v>148488.97976344824</v>
      </c>
      <c r="R633" s="32">
        <f>+[20]Result!$H$6-[19]Result!$H$6</f>
        <v>-276575.35114437342</v>
      </c>
      <c r="S633" s="70">
        <f>+[22]Result!$H$6-[20]Result!$H$6</f>
        <v>-33880.304409325123</v>
      </c>
      <c r="AI633" s="73"/>
      <c r="AJ633" s="73"/>
      <c r="AK633" s="73"/>
    </row>
    <row r="634" spans="1:37" hidden="1" outlineLevel="2" x14ac:dyDescent="0.25">
      <c r="A634" s="16" t="s">
        <v>5</v>
      </c>
      <c r="B634" s="13">
        <f>+[1]Result!$H$7-[21]Result!$H$7</f>
        <v>112729.17145778239</v>
      </c>
      <c r="C634" s="13">
        <f>+[5]Result!$H$7-[1]Result!$H$7</f>
        <v>-207310.55393429101</v>
      </c>
      <c r="D634" s="32">
        <f>+[6]Result!$H$7-[5]Result!$H$7</f>
        <v>180714.53786072135</v>
      </c>
      <c r="E634" s="13">
        <f>+[7]Result!$H$7-[6]Result!$H$7</f>
        <v>-463875.90589369833</v>
      </c>
      <c r="F634" s="13">
        <f>+[8]Result!$H$7-[7]Result!$H$7</f>
        <v>91086.028613939881</v>
      </c>
      <c r="G634" s="32">
        <f>+[9]Result!$H$7-[8]Result!$H$7</f>
        <v>92097.259380012751</v>
      </c>
      <c r="H634" s="13">
        <f>+[10]Result!$H$7-[9]Result!$H$7</f>
        <v>156118.00692303479</v>
      </c>
      <c r="I634" s="13">
        <f>+[11]Result!$H$7-[10]Result!$H$7</f>
        <v>-75697.229513049126</v>
      </c>
      <c r="J634" s="32">
        <f>+[12]Result!$H$7-[11]Result!$H$7</f>
        <v>429354.40292088687</v>
      </c>
      <c r="K634" s="13">
        <f>+[13]Result!$H$7-[12]Result!$H$7</f>
        <v>-59559.610115543008</v>
      </c>
      <c r="L634" s="13">
        <f>+[14]Result!$H$7-[13]Result!$H$7</f>
        <v>77631.000115767121</v>
      </c>
      <c r="M634" s="13">
        <f>+[15]Result!$H$7-[14]Result!$H$7</f>
        <v>-114089.41687165201</v>
      </c>
      <c r="N634" s="32">
        <f>+[16]Result!$H$7-[15]Result!$H$7</f>
        <v>-69306.259609252214</v>
      </c>
      <c r="O634" s="13">
        <f>+[17]Result!$H$7-[16]Result!$H$7</f>
        <v>-149514.92334252596</v>
      </c>
      <c r="P634" s="13">
        <f>+[18]Result!$H$7-[17]Result!$H$7</f>
        <v>1246818.5515529215</v>
      </c>
      <c r="Q634" s="32">
        <f>+[19]Result!$H$7-[18]Result!$H$7</f>
        <v>37887.892331674695</v>
      </c>
      <c r="R634" s="32">
        <f>+[20]Result!$H$7-[19]Result!$H$7</f>
        <v>-190881.42573426664</v>
      </c>
      <c r="S634" s="70">
        <f>+[22]Result!$H$7-[20]Result!$H$7</f>
        <v>-21759.044966101646</v>
      </c>
      <c r="AI634" s="73"/>
      <c r="AJ634" s="73"/>
      <c r="AK634" s="73"/>
    </row>
    <row r="635" spans="1:37" hidden="1" outlineLevel="2" x14ac:dyDescent="0.25">
      <c r="A635" s="16" t="s">
        <v>6</v>
      </c>
      <c r="B635" s="13">
        <f>+[1]Result!$H$8-[21]Result!$H$8</f>
        <v>71866.706095121801</v>
      </c>
      <c r="C635" s="13">
        <f>+[5]Result!$H$8-[1]Result!$H$8</f>
        <v>-139430.59747455269</v>
      </c>
      <c r="D635" s="32">
        <f>+[6]Result!$H$8-[5]Result!$H$8</f>
        <v>222736.39098206908</v>
      </c>
      <c r="E635" s="13">
        <f>+[7]Result!$H$8-[6]Result!$H$8</f>
        <v>-316974.6543091163</v>
      </c>
      <c r="F635" s="13">
        <f>+[8]Result!$H$8-[7]Result!$H$8</f>
        <v>70767.20651268214</v>
      </c>
      <c r="G635" s="32">
        <f>+[9]Result!$H$8-[8]Result!$H$8</f>
        <v>89329.337548866868</v>
      </c>
      <c r="H635" s="13">
        <f>+[10]Result!$H$8-[9]Result!$H$8</f>
        <v>107957.94913676381</v>
      </c>
      <c r="I635" s="13">
        <f>+[11]Result!$H$8-[10]Result!$H$8</f>
        <v>-58427.99380685389</v>
      </c>
      <c r="J635" s="32">
        <f>+[12]Result!$H$8-[11]Result!$H$8</f>
        <v>210600.32122979313</v>
      </c>
      <c r="K635" s="13">
        <f>+[13]Result!$H$8-[12]Result!$H$8</f>
        <v>-48278.013031542301</v>
      </c>
      <c r="L635" s="13">
        <f>+[14]Result!$H$8-[13]Result!$H$8</f>
        <v>64605.326373815536</v>
      </c>
      <c r="M635" s="13">
        <f>+[15]Result!$H$8-[14]Result!$H$8</f>
        <v>-163843.40510059148</v>
      </c>
      <c r="N635" s="32">
        <f>+[16]Result!$H$8-[15]Result!$H$8</f>
        <v>-54313.065361216664</v>
      </c>
      <c r="O635" s="13">
        <f>+[17]Result!$H$8-[16]Result!$H$8</f>
        <v>-129432.17820350826</v>
      </c>
      <c r="P635" s="13">
        <f>+[18]Result!$H$8-[17]Result!$H$8</f>
        <v>743175.17878565937</v>
      </c>
      <c r="Q635" s="32">
        <f>+[19]Result!$H$8-[18]Result!$H$8</f>
        <v>-2071.8357878476381</v>
      </c>
      <c r="R635" s="32">
        <f>+[20]Result!$H$8-[19]Result!$H$8</f>
        <v>-116462.12761295587</v>
      </c>
      <c r="S635" s="70">
        <f>+[22]Result!$H$8-[20]Result!$H$8</f>
        <v>-18073.659503772855</v>
      </c>
      <c r="AI635" s="73"/>
      <c r="AJ635" s="73"/>
      <c r="AK635" s="73"/>
    </row>
    <row r="636" spans="1:37" hidden="1" outlineLevel="2" x14ac:dyDescent="0.25">
      <c r="A636" s="16" t="s">
        <v>7</v>
      </c>
      <c r="B636" s="13">
        <f>+[1]Result!$H$9-[21]Result!$H$9</f>
        <v>51098.843663431704</v>
      </c>
      <c r="C636" s="13">
        <f>+[5]Result!$H$9-[1]Result!$H$9</f>
        <v>-108207.95997066051</v>
      </c>
      <c r="D636" s="32">
        <f>+[6]Result!$H$9-[5]Result!$H$9</f>
        <v>169280.33222572505</v>
      </c>
      <c r="E636" s="13">
        <f>+[7]Result!$H$9-[6]Result!$H$9</f>
        <v>-250266.7727388218</v>
      </c>
      <c r="F636" s="13">
        <f>+[8]Result!$H$9-[7]Result!$H$9</f>
        <v>59618.618581831455</v>
      </c>
      <c r="G636" s="32">
        <f>+[9]Result!$H$9-[8]Result!$H$9</f>
        <v>80540.742056019604</v>
      </c>
      <c r="H636" s="13">
        <f>+[10]Result!$H$9-[9]Result!$H$9</f>
        <v>82251.308609463274</v>
      </c>
      <c r="I636" s="13">
        <f>+[11]Result!$H$9-[10]Result!$H$9</f>
        <v>-42681.211764357984</v>
      </c>
      <c r="J636" s="32">
        <f>+[12]Result!$H$9-[11]Result!$H$9</f>
        <v>117749.69768788666</v>
      </c>
      <c r="K636" s="13">
        <f>+[13]Result!$H$9-[12]Result!$H$9</f>
        <v>-41762.635721899569</v>
      </c>
      <c r="L636" s="13">
        <f>+[14]Result!$H$9-[13]Result!$H$9</f>
        <v>61949.695062346756</v>
      </c>
      <c r="M636" s="13">
        <f>+[15]Result!$H$9-[14]Result!$H$9</f>
        <v>-240571.3945831731</v>
      </c>
      <c r="N636" s="32">
        <f>+[16]Result!$H$9-[15]Result!$H$9</f>
        <v>-41054.045043122023</v>
      </c>
      <c r="O636" s="13">
        <f>+[17]Result!$H$9-[16]Result!$H$9</f>
        <v>-113163.88075708225</v>
      </c>
      <c r="P636" s="13">
        <f>+[18]Result!$H$9-[17]Result!$H$9</f>
        <v>549627.54026339948</v>
      </c>
      <c r="Q636" s="32">
        <f>+[19]Result!$H$9-[18]Result!$H$9</f>
        <v>-2355.6602052822709</v>
      </c>
      <c r="R636" s="32">
        <f>+[20]Result!$H$9-[19]Result!$H$9</f>
        <v>-82921.151088938117</v>
      </c>
      <c r="S636" s="70">
        <f>+[22]Result!$H$9-[20]Result!$H$9</f>
        <v>-24628.23822209239</v>
      </c>
      <c r="AI636" s="73"/>
      <c r="AJ636" s="73"/>
      <c r="AK636" s="73"/>
    </row>
    <row r="637" spans="1:37" hidden="1" outlineLevel="1" x14ac:dyDescent="0.25">
      <c r="A637" s="15" t="s">
        <v>8</v>
      </c>
      <c r="B637" s="13">
        <f>+'[1]Stat by Mat 2'!$D$4-'[21]Stat by Mat 2'!$D$4</f>
        <v>107008.72794611193</v>
      </c>
      <c r="C637" s="13">
        <f>+'[5]Stat by Mat 2'!$D$4-'[1]Stat by Mat 2'!$D$4</f>
        <v>-228058.93477089889</v>
      </c>
      <c r="D637" s="32">
        <f>+'[6]Stat by Mat 2'!$D$4-'[5]Stat by Mat 2'!$D$4</f>
        <v>490047.16502253339</v>
      </c>
      <c r="E637" s="13">
        <f>+'[7]Stat by Mat 2'!$D$4-'[6]Stat by Mat 2'!$D$4</f>
        <v>-643904.63264886662</v>
      </c>
      <c r="F637" s="13">
        <f>+'[8]Stat by Mat 2'!$D$4-'[7]Stat by Mat 2'!$D$4</f>
        <v>174531.63803959824</v>
      </c>
      <c r="G637" s="32">
        <f>+'[9]Stat by Mat 2'!$D$4-'[8]Stat by Mat 2'!$D$4</f>
        <v>270873.68265348673</v>
      </c>
      <c r="H637" s="13">
        <f>+'[10]Stat by Mat 2'!$D$4-'[9]Stat by Mat 2'!$D$4</f>
        <v>206234.68318736367</v>
      </c>
      <c r="I637" s="13">
        <f>+'[11]Stat by Mat 2'!$D$4-'[10]Stat by Mat 2'!$D$4</f>
        <v>-80457.944166947156</v>
      </c>
      <c r="J637" s="32">
        <f>+'[12]Stat by Mat 2'!$D$4-'[11]Stat by Mat 2'!$D$4</f>
        <v>137788.94954064675</v>
      </c>
      <c r="K637" s="13">
        <f>+'[13]Stat by Mat 2'!$D$4-'[12]Stat by Mat 2'!$D$4</f>
        <v>-110391.19640587643</v>
      </c>
      <c r="L637" s="13">
        <f>+'[14]Stat by Mat 2'!$D$4-'[13]Stat by Mat 2'!$D$4</f>
        <v>232643.32023427077</v>
      </c>
      <c r="M637" s="13">
        <f>+'[15]Stat by Mat 2'!$D$4-'[14]Stat by Mat 2'!$D$4</f>
        <v>-1310430.4338803925</v>
      </c>
      <c r="N637" s="32">
        <f>+'[16]Stat by Mat 2'!$D$4-'[15]Stat by Mat 2'!$D$4</f>
        <v>-112210.68027431052</v>
      </c>
      <c r="O637" s="13">
        <f>+'[17]Stat by Mat 2'!$D$4-'[16]Stat by Mat 2'!$D$4</f>
        <v>-347015.84364342131</v>
      </c>
      <c r="P637" s="13">
        <f>+'[18]Stat by Mat 2'!$D$4-'[17]Stat by Mat 2'!$D$4</f>
        <v>1315381.5516202142</v>
      </c>
      <c r="Q637" s="32">
        <f>+'[19]Stat by Mat 2'!$D$4-'[18]Stat by Mat 2'!$D$4</f>
        <v>4630.3188718799502</v>
      </c>
      <c r="R637" s="32">
        <f>+'[20]Stat by Mat 2'!$D$4-'[19]Stat by Mat 2'!$D$4</f>
        <v>-197845.3268846916</v>
      </c>
      <c r="S637" s="70">
        <f>+'[22]Stat by Mat 2'!$D$4-'[20]Stat by Mat 2'!$D$4</f>
        <v>-96366.833461076021</v>
      </c>
      <c r="T637" s="13">
        <f>+B637-SUM(B638:B642)</f>
        <v>0</v>
      </c>
      <c r="U637" s="13">
        <f t="shared" ref="U637:W637" si="483">+C637-SUM(C638:C642)</f>
        <v>0</v>
      </c>
      <c r="V637" s="13">
        <f t="shared" si="483"/>
        <v>0</v>
      </c>
      <c r="W637" s="13">
        <f t="shared" si="483"/>
        <v>0</v>
      </c>
      <c r="X637" s="13">
        <f t="shared" ref="X637" si="484">+F637-SUM(F638:F642)</f>
        <v>0</v>
      </c>
      <c r="Y637" s="13">
        <f t="shared" ref="Y637:AE637" si="485">+G637-SUM(G638:G642)</f>
        <v>0</v>
      </c>
      <c r="Z637" s="13">
        <f t="shared" si="485"/>
        <v>0</v>
      </c>
      <c r="AA637" s="13">
        <f t="shared" si="485"/>
        <v>0</v>
      </c>
      <c r="AB637" s="13">
        <f t="shared" si="485"/>
        <v>0</v>
      </c>
      <c r="AC637" s="13">
        <f t="shared" si="485"/>
        <v>0</v>
      </c>
      <c r="AD637" s="13">
        <f t="shared" si="485"/>
        <v>0</v>
      </c>
      <c r="AE637" s="13">
        <f t="shared" si="485"/>
        <v>0</v>
      </c>
      <c r="AF637" s="13">
        <f t="shared" ref="AF637" si="486">+N637-SUM(N638:N642)</f>
        <v>0</v>
      </c>
      <c r="AG637" s="13">
        <f t="shared" ref="AG637:AH637" si="487">+O637-SUM(O638:O642)</f>
        <v>0</v>
      </c>
      <c r="AH637" s="13">
        <f t="shared" si="487"/>
        <v>0</v>
      </c>
      <c r="AI637" s="73">
        <f t="shared" ref="AI637" si="488">+Q637-SUM(Q638:Q642)</f>
        <v>0</v>
      </c>
      <c r="AJ637" s="73">
        <f t="shared" ref="AJ637:AK637" si="489">+R637-SUM(R638:R642)</f>
        <v>0</v>
      </c>
      <c r="AK637" s="73">
        <f t="shared" si="489"/>
        <v>0</v>
      </c>
    </row>
    <row r="638" spans="1:37" hidden="1" outlineLevel="2" x14ac:dyDescent="0.25">
      <c r="A638" s="16" t="s">
        <v>9</v>
      </c>
      <c r="B638" s="13">
        <f>+[1]Result!$H$10-[21]Result!$H$10</f>
        <v>42924.586036413908</v>
      </c>
      <c r="C638" s="13">
        <f>+[5]Result!$H$10-[1]Result!$H$10</f>
        <v>-92864.654407065362</v>
      </c>
      <c r="D638" s="32">
        <f>+[6]Result!$H$10-[5]Result!$H$10</f>
        <v>159740.07520301268</v>
      </c>
      <c r="E638" s="13">
        <f>+[7]Result!$H$10-[6]Result!$H$10</f>
        <v>-206556.09183724597</v>
      </c>
      <c r="F638" s="13">
        <f>+[8]Result!$H$10-[7]Result!$H$10</f>
        <v>51849.987138163298</v>
      </c>
      <c r="G638" s="32">
        <f>+[9]Result!$H$10-[8]Result!$H$10</f>
        <v>63596.158826071769</v>
      </c>
      <c r="H638" s="13">
        <f>+[10]Result!$H$10-[9]Result!$H$10</f>
        <v>65580.053374387324</v>
      </c>
      <c r="I638" s="13">
        <f>+[11]Result!$H$10-[10]Result!$H$10</f>
        <v>-31654.418488562107</v>
      </c>
      <c r="J638" s="32">
        <f>+[12]Result!$H$10-[11]Result!$H$10</f>
        <v>64895.309233434498</v>
      </c>
      <c r="K638" s="13">
        <f>+[13]Result!$H$10-[12]Result!$H$10</f>
        <v>-35372.911888927221</v>
      </c>
      <c r="L638" s="13">
        <f>+[14]Result!$H$10-[13]Result!$H$10</f>
        <v>60205.554308496416</v>
      </c>
      <c r="M638" s="13">
        <f>+[15]Result!$H$10-[14]Result!$H$10</f>
        <v>-246203.35259808972</v>
      </c>
      <c r="N638" s="32">
        <f>+[16]Result!$H$10-[15]Result!$H$10</f>
        <v>-34256.262851379812</v>
      </c>
      <c r="O638" s="13">
        <f>+[17]Result!$H$10-[16]Result!$H$10</f>
        <v>-100829.55904836953</v>
      </c>
      <c r="P638" s="13">
        <f>+[18]Result!$H$10-[17]Result!$H$10</f>
        <v>413475.84944948182</v>
      </c>
      <c r="Q638" s="32">
        <f>+[19]Result!$H$10-[18]Result!$H$10</f>
        <v>-72.909858670085669</v>
      </c>
      <c r="R638" s="32">
        <f>+[20]Result!$H$10-[19]Result!$H$10</f>
        <v>-64949.524001967162</v>
      </c>
      <c r="S638" s="70">
        <f>+[22]Result!$H$10-[20]Result!$H$10</f>
        <v>-25653.476501587778</v>
      </c>
      <c r="AI638" s="73"/>
      <c r="AJ638" s="73"/>
      <c r="AK638" s="73"/>
    </row>
    <row r="639" spans="1:37" hidden="1" outlineLevel="2" x14ac:dyDescent="0.25">
      <c r="A639" s="16" t="s">
        <v>10</v>
      </c>
      <c r="B639" s="13">
        <f>+[1]Result!$H$11-[21]Result!$H$11</f>
        <v>32296.388223975897</v>
      </c>
      <c r="C639" s="13">
        <f>+[5]Result!$H$11-[1]Result!$H$11</f>
        <v>-71373.490227654576</v>
      </c>
      <c r="D639" s="32">
        <f>+[6]Result!$H$11-[5]Result!$H$11</f>
        <v>146277.17378966138</v>
      </c>
      <c r="E639" s="13">
        <f>+[7]Result!$H$11-[6]Result!$H$11</f>
        <v>-160665.0726153627</v>
      </c>
      <c r="F639" s="13">
        <f>+[8]Result!$H$11-[7]Result!$H$11</f>
        <v>42712.387984182686</v>
      </c>
      <c r="G639" s="32">
        <f>+[9]Result!$H$11-[8]Result!$H$11</f>
        <v>63143.778540924191</v>
      </c>
      <c r="H639" s="13">
        <f>+[10]Result!$H$11-[9]Result!$H$11</f>
        <v>49878.741241913289</v>
      </c>
      <c r="I639" s="13">
        <f>+[11]Result!$H$11-[10]Result!$H$11</f>
        <v>-21902.960712723434</v>
      </c>
      <c r="J639" s="32">
        <f>+[12]Result!$H$11-[11]Result!$H$11</f>
        <v>41736.457839947194</v>
      </c>
      <c r="K639" s="13">
        <f>+[13]Result!$H$11-[12]Result!$H$11</f>
        <v>-27153.082539148629</v>
      </c>
      <c r="L639" s="13">
        <f>+[14]Result!$H$11-[13]Result!$H$11</f>
        <v>54334.946645576507</v>
      </c>
      <c r="M639" s="13">
        <f>+[15]Result!$H$11-[14]Result!$H$11</f>
        <v>-247468.95846167952</v>
      </c>
      <c r="N639" s="32">
        <f>+[16]Result!$H$11-[15]Result!$H$11</f>
        <v>-28578.968207459897</v>
      </c>
      <c r="O639" s="13">
        <f>+[17]Result!$H$11-[16]Result!$H$11</f>
        <v>-84995.910286448896</v>
      </c>
      <c r="P639" s="13">
        <f>+[18]Result!$H$11-[17]Result!$H$11</f>
        <v>327838.27272780612</v>
      </c>
      <c r="Q639" s="32">
        <f>+[19]Result!$H$11-[18]Result!$H$11</f>
        <v>414.92704873904586</v>
      </c>
      <c r="R639" s="32">
        <f>+[20]Result!$H$11-[19]Result!$H$11</f>
        <v>-50079.066020231694</v>
      </c>
      <c r="S639" s="70">
        <f>+[22]Result!$H$11-[20]Result!$H$11</f>
        <v>-22898.136235762388</v>
      </c>
      <c r="AI639" s="73"/>
      <c r="AJ639" s="73"/>
      <c r="AK639" s="73"/>
    </row>
    <row r="640" spans="1:37" hidden="1" outlineLevel="2" x14ac:dyDescent="0.25">
      <c r="A640" s="16" t="s">
        <v>11</v>
      </c>
      <c r="B640" s="13">
        <f>+[1]Result!$H$12-[21]Result!$H$12</f>
        <v>23364.316588938236</v>
      </c>
      <c r="C640" s="13">
        <f>+[5]Result!$H$12-[1]Result!$H$12</f>
        <v>-52436.057021297514</v>
      </c>
      <c r="D640" s="32">
        <f>+[6]Result!$H$12-[5]Result!$H$12</f>
        <v>126299.34931460954</v>
      </c>
      <c r="E640" s="13">
        <f>+[7]Result!$H$12-[6]Result!$H$12</f>
        <v>-122919.35810243525</v>
      </c>
      <c r="F640" s="13">
        <f>+[8]Result!$H$12-[7]Result!$H$12</f>
        <v>34984.489877603948</v>
      </c>
      <c r="G640" s="32">
        <f>+[9]Result!$H$12-[8]Result!$H$12</f>
        <v>58930.549380362034</v>
      </c>
      <c r="H640" s="13">
        <f>+[10]Result!$H$12-[9]Result!$H$12</f>
        <v>38443.514886051416</v>
      </c>
      <c r="I640" s="13">
        <f>+[11]Result!$H$12-[10]Result!$H$12</f>
        <v>-14442.591536935419</v>
      </c>
      <c r="J640" s="32">
        <f>+[12]Result!$H$12-[11]Result!$H$12</f>
        <v>25402.444109082222</v>
      </c>
      <c r="K640" s="13">
        <f>+[13]Result!$H$12-[12]Result!$H$12</f>
        <v>-20165.368899270892</v>
      </c>
      <c r="L640" s="13">
        <f>+[14]Result!$H$12-[13]Result!$H$12</f>
        <v>46720.194349873811</v>
      </c>
      <c r="M640" s="13">
        <f>+[15]Result!$H$12-[14]Result!$H$12</f>
        <v>-244813.49225042388</v>
      </c>
      <c r="N640" s="32">
        <f>+[16]Result!$H$12-[15]Result!$H$12</f>
        <v>-22390.295691048726</v>
      </c>
      <c r="O640" s="13">
        <f>+[17]Result!$H$12-[16]Result!$H$12</f>
        <v>-69455.683952726424</v>
      </c>
      <c r="P640" s="13">
        <f>+[18]Result!$H$12-[17]Result!$H$12</f>
        <v>252516.25689802505</v>
      </c>
      <c r="Q640" s="32">
        <f>+[19]Result!$H$12-[18]Result!$H$12</f>
        <v>1540.3527511972934</v>
      </c>
      <c r="R640" s="32">
        <f>+[20]Result!$H$12-[19]Result!$H$12</f>
        <v>-38528.125040104613</v>
      </c>
      <c r="S640" s="70">
        <f>+[22]Result!$H$12-[20]Result!$H$12</f>
        <v>-19411.229735124856</v>
      </c>
      <c r="AI640" s="73"/>
      <c r="AJ640" s="73"/>
      <c r="AK640" s="73"/>
    </row>
    <row r="641" spans="1:37" hidden="1" outlineLevel="2" x14ac:dyDescent="0.25">
      <c r="A641" s="16" t="s">
        <v>12</v>
      </c>
      <c r="B641" s="13">
        <f>+[1]Result!$H$13-[21]Result!$H$13</f>
        <v>10931.660069521517</v>
      </c>
      <c r="C641" s="13">
        <f>+[5]Result!$H$13-[1]Result!$H$13</f>
        <v>-19104.458698958158</v>
      </c>
      <c r="D641" s="32">
        <f>+[6]Result!$H$13-[5]Result!$H$13</f>
        <v>41516.266650596634</v>
      </c>
      <c r="E641" s="13">
        <f>+[7]Result!$H$13-[6]Result!$H$13</f>
        <v>-89058.452754616737</v>
      </c>
      <c r="F641" s="13">
        <f>+[8]Result!$H$13-[7]Result!$H$13</f>
        <v>27407.287187665701</v>
      </c>
      <c r="G641" s="32">
        <f>+[9]Result!$H$13-[8]Result!$H$13</f>
        <v>38208.314172502607</v>
      </c>
      <c r="H641" s="13">
        <f>+[10]Result!$H$13-[9]Result!$H$13</f>
        <v>27644.135157072917</v>
      </c>
      <c r="I641" s="13">
        <f>+[11]Result!$H$13-[10]Result!$H$13</f>
        <v>-8152.4474278818816</v>
      </c>
      <c r="J641" s="32">
        <f>+[12]Result!$H$13-[11]Result!$H$13</f>
        <v>9182.3744467534125</v>
      </c>
      <c r="K641" s="13">
        <f>+[13]Result!$H$13-[12]Result!$H$13</f>
        <v>-15006.343368653208</v>
      </c>
      <c r="L641" s="13">
        <f>+[14]Result!$H$13-[13]Result!$H$13</f>
        <v>37049.089671934023</v>
      </c>
      <c r="M641" s="13">
        <f>+[15]Result!$H$13-[14]Result!$H$13</f>
        <v>-209461.66940490343</v>
      </c>
      <c r="N641" s="32">
        <f>+[16]Result!$H$13-[15]Result!$H$13</f>
        <v>-15706.374480335042</v>
      </c>
      <c r="O641" s="13">
        <f>+[17]Result!$H$13-[16]Result!$H$13</f>
        <v>-53412.913660125807</v>
      </c>
      <c r="P641" s="13">
        <f>+[18]Result!$H$13-[17]Result!$H$13</f>
        <v>187335.30040039681</v>
      </c>
      <c r="Q641" s="32">
        <f>+[19]Result!$H$13-[18]Result!$H$13</f>
        <v>1082.6615526974201</v>
      </c>
      <c r="R641" s="32">
        <f>+[20]Result!$H$13-[19]Result!$H$13</f>
        <v>-27169.451190231368</v>
      </c>
      <c r="S641" s="70">
        <f>+[22]Result!$H$13-[20]Result!$H$13</f>
        <v>-16114.383924447</v>
      </c>
      <c r="AI641" s="73"/>
      <c r="AJ641" s="73"/>
      <c r="AK641" s="73"/>
    </row>
    <row r="642" spans="1:37" hidden="1" outlineLevel="2" x14ac:dyDescent="0.25">
      <c r="A642" s="16" t="s">
        <v>13</v>
      </c>
      <c r="B642" s="13">
        <f>+[1]Result!$H$14-[21]Result!$H$14</f>
        <v>-2508.2229727376252</v>
      </c>
      <c r="C642" s="13">
        <f>+[5]Result!$H$14-[1]Result!$H$14</f>
        <v>7719.7255840767175</v>
      </c>
      <c r="D642" s="32">
        <f>+[6]Result!$H$14-[5]Result!$H$14</f>
        <v>16214.300064653158</v>
      </c>
      <c r="E642" s="13">
        <f>+[7]Result!$H$14-[6]Result!$H$14</f>
        <v>-64705.657339205965</v>
      </c>
      <c r="F642" s="13">
        <f>+[8]Result!$H$14-[7]Result!$H$14</f>
        <v>17577.485851982608</v>
      </c>
      <c r="G642" s="32">
        <f>+[9]Result!$H$14-[8]Result!$H$14</f>
        <v>46994.881733626127</v>
      </c>
      <c r="H642" s="13">
        <f>+[10]Result!$H$14-[9]Result!$H$14</f>
        <v>24688.238527938724</v>
      </c>
      <c r="I642" s="13">
        <f>+[11]Result!$H$14-[10]Result!$H$14</f>
        <v>-4305.5260008443147</v>
      </c>
      <c r="J642" s="32">
        <f>+[12]Result!$H$14-[11]Result!$H$14</f>
        <v>-3427.6360885705799</v>
      </c>
      <c r="K642" s="13">
        <f>+[13]Result!$H$14-[12]Result!$H$14</f>
        <v>-12693.489709876478</v>
      </c>
      <c r="L642" s="13">
        <f>+[14]Result!$H$14-[13]Result!$H$14</f>
        <v>34333.535258390009</v>
      </c>
      <c r="M642" s="13">
        <f>+[15]Result!$H$14-[14]Result!$H$14</f>
        <v>-362482.96116529591</v>
      </c>
      <c r="N642" s="32">
        <f>+[16]Result!$H$14-[15]Result!$H$14</f>
        <v>-11278.779044087045</v>
      </c>
      <c r="O642" s="13">
        <f>+[17]Result!$H$14-[16]Result!$H$14</f>
        <v>-38321.776695750654</v>
      </c>
      <c r="P642" s="13">
        <f>+[18]Result!$H$14-[17]Result!$H$14</f>
        <v>134215.87214450445</v>
      </c>
      <c r="Q642" s="32">
        <f>+[19]Result!$H$14-[18]Result!$H$14</f>
        <v>1665.2873779162765</v>
      </c>
      <c r="R642" s="32">
        <f>+[20]Result!$H$14-[19]Result!$H$14</f>
        <v>-17119.160632156767</v>
      </c>
      <c r="S642" s="70">
        <f>+[22]Result!$H$14-[20]Result!$H$14</f>
        <v>-12289.607064153999</v>
      </c>
      <c r="AI642" s="73"/>
      <c r="AJ642" s="73"/>
      <c r="AK642" s="73"/>
    </row>
    <row r="643" spans="1:37" hidden="1" outlineLevel="1" x14ac:dyDescent="0.25">
      <c r="A643" s="15" t="s">
        <v>14</v>
      </c>
      <c r="B643" s="13">
        <f>+'[1]Stat by Mat 2'!$D$5-'[21]Stat by Mat 2'!$D$5</f>
        <v>-52360.100423552096</v>
      </c>
      <c r="C643" s="13">
        <f>+'[5]Stat by Mat 2'!$D$5-'[1]Stat by Mat 2'!$D$5</f>
        <v>63031.675078107044</v>
      </c>
      <c r="D643" s="32">
        <f>+'[6]Stat by Mat 2'!$D$5-'[5]Stat by Mat 2'!$D$5</f>
        <v>-687370.86035572458</v>
      </c>
      <c r="E643" s="13">
        <f>+'[7]Stat by Mat 2'!$D$5-'[6]Stat by Mat 2'!$D$5</f>
        <v>113817.56399997231</v>
      </c>
      <c r="F643" s="13">
        <f>+'[8]Stat by Mat 2'!$D$5-'[7]Stat by Mat 2'!$D$5</f>
        <v>-70376.915487609804</v>
      </c>
      <c r="G643" s="32">
        <f>+'[9]Stat by Mat 2'!$D$5-'[8]Stat by Mat 2'!$D$5</f>
        <v>-73130.115160597488</v>
      </c>
      <c r="H643" s="13">
        <f>+'[10]Stat by Mat 2'!$D$5-'[9]Stat by Mat 2'!$D$5</f>
        <v>-21039.353110258467</v>
      </c>
      <c r="I643" s="13">
        <f>+'[11]Stat by Mat 2'!$D$5-'[10]Stat by Mat 2'!$D$5</f>
        <v>-19908.277347358875</v>
      </c>
      <c r="J643" s="32">
        <f>+'[12]Stat by Mat 2'!$D$5-'[11]Stat by Mat 2'!$D$5</f>
        <v>52100.701376876794</v>
      </c>
      <c r="K643" s="13">
        <f>+'[13]Stat by Mat 2'!$D$5-'[12]Stat by Mat 2'!$D$5</f>
        <v>1451.4617384085432</v>
      </c>
      <c r="L643" s="13">
        <f>+'[14]Stat by Mat 2'!$D$5-'[13]Stat by Mat 2'!$D$5</f>
        <v>-30744.869318988174</v>
      </c>
      <c r="M643" s="13">
        <f>+'[15]Stat by Mat 2'!$D$5-'[14]Stat by Mat 2'!$D$5</f>
        <v>-1170008.2299270257</v>
      </c>
      <c r="N643" s="32">
        <f>+'[16]Stat by Mat 2'!$D$5-'[15]Stat by Mat 2'!$D$5</f>
        <v>-17864.643727356102</v>
      </c>
      <c r="O643" s="13">
        <f>+'[17]Stat by Mat 2'!$D$5-'[16]Stat by Mat 2'!$D$5</f>
        <v>-889.47627740772441</v>
      </c>
      <c r="P643" s="13">
        <f>+'[18]Stat by Mat 2'!$D$5-'[17]Stat by Mat 2'!$D$5</f>
        <v>241633.99121494964</v>
      </c>
      <c r="Q643" s="32">
        <f>+'[19]Stat by Mat 2'!$D$5-'[18]Stat by Mat 2'!$D$5</f>
        <v>-3279.5991343883798</v>
      </c>
      <c r="R643" s="32">
        <f>+'[20]Stat by Mat 2'!$D$5-'[19]Stat by Mat 2'!$D$5</f>
        <v>-30065.353129288182</v>
      </c>
      <c r="S643" s="70">
        <f>+'[22]Stat by Mat 2'!$D$5-'[20]Stat by Mat 2'!$D$5</f>
        <v>-21353.083684793208</v>
      </c>
      <c r="T643" s="13">
        <f>+B643-SUM(B644:B653)</f>
        <v>-6.9849193096160889E-10</v>
      </c>
      <c r="U643" s="13">
        <f t="shared" ref="U643:W643" si="490">+C643-SUM(C644:C653)</f>
        <v>-4.6566128730773926E-10</v>
      </c>
      <c r="V643" s="13">
        <f t="shared" si="490"/>
        <v>0</v>
      </c>
      <c r="W643" s="13">
        <f t="shared" si="490"/>
        <v>2.3283064365386963E-10</v>
      </c>
      <c r="X643" s="13">
        <f t="shared" ref="X643" si="491">+F643-SUM(F644:F653)</f>
        <v>4.6566128730773926E-10</v>
      </c>
      <c r="Y643" s="13">
        <f t="shared" ref="Y643:AE643" si="492">+G643-SUM(G644:G653)</f>
        <v>0</v>
      </c>
      <c r="Z643" s="13">
        <f t="shared" si="492"/>
        <v>-6.9849193096160889E-10</v>
      </c>
      <c r="AA643" s="13">
        <f t="shared" si="492"/>
        <v>0</v>
      </c>
      <c r="AB643" s="13">
        <f t="shared" si="492"/>
        <v>2.3283064365386963E-10</v>
      </c>
      <c r="AC643" s="13">
        <f t="shared" si="492"/>
        <v>9.3132257461547852E-10</v>
      </c>
      <c r="AD643" s="13">
        <f t="shared" si="492"/>
        <v>-9.3132257461547852E-10</v>
      </c>
      <c r="AE643" s="13">
        <f t="shared" si="492"/>
        <v>0</v>
      </c>
      <c r="AF643" s="13">
        <f t="shared" ref="AF643" si="493">+N643-SUM(N644:N653)</f>
        <v>-4.6566128730773926E-10</v>
      </c>
      <c r="AG643" s="13">
        <f t="shared" ref="AG643:AH643" si="494">+O643-SUM(O644:O653)</f>
        <v>4.6566128730773926E-10</v>
      </c>
      <c r="AH643" s="13">
        <f t="shared" si="494"/>
        <v>-2.3283064365386963E-10</v>
      </c>
      <c r="AI643" s="73">
        <f t="shared" ref="AI643" si="495">+Q643-SUM(Q644:Q653)</f>
        <v>9.3132257461547852E-10</v>
      </c>
      <c r="AJ643" s="73">
        <f t="shared" ref="AJ643:AK643" si="496">+R643-SUM(R644:R653)</f>
        <v>-6.9849193096160889E-10</v>
      </c>
      <c r="AK643" s="73">
        <f t="shared" si="496"/>
        <v>-2.3283064365386963E-10</v>
      </c>
    </row>
    <row r="644" spans="1:37" hidden="1" outlineLevel="2" x14ac:dyDescent="0.25">
      <c r="A644" s="16" t="s">
        <v>15</v>
      </c>
      <c r="B644" s="13">
        <f>+[1]Result!$H$15-[21]Result!$H$15</f>
        <v>-6027.8690710682422</v>
      </c>
      <c r="C644" s="13">
        <f>+[5]Result!$H$15-[1]Result!$H$15</f>
        <v>10360.462789168581</v>
      </c>
      <c r="D644" s="32">
        <f>+[6]Result!$H$15-[5]Result!$H$15</f>
        <v>-51765.491549727507</v>
      </c>
      <c r="E644" s="13">
        <f>+[7]Result!$H$15-[6]Result!$H$15</f>
        <v>-18512.945519572124</v>
      </c>
      <c r="F644" s="13">
        <f>+[8]Result!$H$15-[7]Result!$H$15</f>
        <v>147.33558849152178</v>
      </c>
      <c r="G644" s="32">
        <f>+[9]Result!$H$15-[8]Result!$H$15</f>
        <v>19828.382333703339</v>
      </c>
      <c r="H644" s="13">
        <f>+[10]Result!$H$15-[9]Result!$H$15</f>
        <v>18845.208901278675</v>
      </c>
      <c r="I644" s="13">
        <f>+[11]Result!$H$15-[10]Result!$H$15</f>
        <v>-518.81922639161348</v>
      </c>
      <c r="J644" s="32">
        <f>+[12]Result!$H$15-[11]Result!$H$15</f>
        <v>859.15972314961255</v>
      </c>
      <c r="K644" s="13">
        <f>+[13]Result!$H$15-[12]Result!$H$15</f>
        <v>-9141.386771553196</v>
      </c>
      <c r="L644" s="13">
        <f>+[14]Result!$H$15-[13]Result!$H$15</f>
        <v>27309.512457123958</v>
      </c>
      <c r="M644" s="13">
        <f>+[15]Result!$H$15-[14]Result!$H$15</f>
        <v>-328491.76483653579</v>
      </c>
      <c r="N644" s="32">
        <f>+[16]Result!$H$15-[15]Result!$H$15</f>
        <v>-8288.9988016467541</v>
      </c>
      <c r="O644" s="13">
        <f>+[17]Result!$H$15-[16]Result!$H$15</f>
        <v>-27638.958219602704</v>
      </c>
      <c r="P644" s="13">
        <f>+[18]Result!$H$15-[17]Result!$H$15</f>
        <v>96839.960247981362</v>
      </c>
      <c r="Q644" s="32">
        <f>+[19]Result!$H$15-[18]Result!$H$15</f>
        <v>1526.9156651357189</v>
      </c>
      <c r="R644" s="32">
        <f>+[20]Result!$H$15-[19]Result!$H$15</f>
        <v>-11596.564179809764</v>
      </c>
      <c r="S644" s="70">
        <f>+[22]Result!$H$15-[20]Result!$H$15</f>
        <v>-9398.3200064944103</v>
      </c>
      <c r="AI644" s="73"/>
      <c r="AJ644" s="73"/>
      <c r="AK644" s="73"/>
    </row>
    <row r="645" spans="1:37" hidden="1" outlineLevel="2" x14ac:dyDescent="0.25">
      <c r="A645" s="16" t="s">
        <v>16</v>
      </c>
      <c r="B645" s="13">
        <f>+[1]Result!$H$16-[21]Result!$H$16</f>
        <v>-4322.6152192698792</v>
      </c>
      <c r="C645" s="13">
        <f>+[5]Result!$H$16-[1]Result!$H$16</f>
        <v>7711.009440283291</v>
      </c>
      <c r="D645" s="32">
        <f>+[6]Result!$H$16-[5]Result!$H$16</f>
        <v>-97526.508330527693</v>
      </c>
      <c r="E645" s="13">
        <f>+[7]Result!$H$16-[6]Result!$H$16</f>
        <v>11745.070818910375</v>
      </c>
      <c r="F645" s="13">
        <f>+[8]Result!$H$16-[7]Result!$H$16</f>
        <v>-6937.2076083132997</v>
      </c>
      <c r="G645" s="32">
        <f>+[9]Result!$H$16-[8]Result!$H$16</f>
        <v>-6038.8557292474434</v>
      </c>
      <c r="H645" s="13">
        <f>+[10]Result!$H$16-[9]Result!$H$16</f>
        <v>3219.174487140961</v>
      </c>
      <c r="I645" s="13">
        <f>+[11]Result!$H$16-[10]Result!$H$16</f>
        <v>655.80744407419115</v>
      </c>
      <c r="J645" s="32">
        <f>+[12]Result!$H$16-[11]Result!$H$16</f>
        <v>4856.2614899976179</v>
      </c>
      <c r="K645" s="13">
        <f>+[13]Result!$H$16-[12]Result!$H$16</f>
        <v>-1714.5838023144752</v>
      </c>
      <c r="L645" s="13">
        <f>+[14]Result!$H$16-[13]Result!$H$16</f>
        <v>15235.463158978149</v>
      </c>
      <c r="M645" s="13">
        <f>+[15]Result!$H$16-[14]Result!$H$16</f>
        <v>-162268.99015043816</v>
      </c>
      <c r="N645" s="32">
        <f>+[16]Result!$H$16-[15]Result!$H$16</f>
        <v>-6327.9825559789315</v>
      </c>
      <c r="O645" s="13">
        <f>+[17]Result!$H$16-[16]Result!$H$16</f>
        <v>-22239.951252436265</v>
      </c>
      <c r="P645" s="13">
        <f>+[18]Result!$H$16-[17]Result!$H$16</f>
        <v>60341.158390811644</v>
      </c>
      <c r="Q645" s="32">
        <f>+[19]Result!$H$16-[18]Result!$H$16</f>
        <v>1036.823876646813</v>
      </c>
      <c r="R645" s="32">
        <f>+[20]Result!$H$16-[19]Result!$H$16</f>
        <v>-8741.8751859320328</v>
      </c>
      <c r="S645" s="70">
        <f>+[22]Result!$H$16-[20]Result!$H$16</f>
        <v>-8264.8394785220735</v>
      </c>
      <c r="AI645" s="73"/>
      <c r="AJ645" s="73"/>
      <c r="AK645" s="73"/>
    </row>
    <row r="646" spans="1:37" hidden="1" outlineLevel="2" x14ac:dyDescent="0.25">
      <c r="A646" s="16" t="s">
        <v>17</v>
      </c>
      <c r="B646" s="13">
        <f>+[1]Result!$H$17-[21]Result!$H$17</f>
        <v>-4034.0987594816834</v>
      </c>
      <c r="C646" s="13">
        <f>+[5]Result!$H$17-[1]Result!$H$17</f>
        <v>7167.1796369301155</v>
      </c>
      <c r="D646" s="32">
        <f>+[6]Result!$H$17-[5]Result!$H$17</f>
        <v>-95644.172198032029</v>
      </c>
      <c r="E646" s="13">
        <f>+[7]Result!$H$17-[6]Result!$H$17</f>
        <v>17422.412533510476</v>
      </c>
      <c r="F646" s="13">
        <f>+[8]Result!$H$17-[7]Result!$H$17</f>
        <v>-7218.1812826776877</v>
      </c>
      <c r="G646" s="32">
        <f>+[9]Result!$H$17-[8]Result!$H$17</f>
        <v>-9899.958802556619</v>
      </c>
      <c r="H646" s="13">
        <f>+[10]Result!$H$17-[9]Result!$H$17</f>
        <v>-5155.7329469034448</v>
      </c>
      <c r="I646" s="13">
        <f>+[11]Result!$H$17-[10]Result!$H$17</f>
        <v>-726.81999830529094</v>
      </c>
      <c r="J646" s="32">
        <f>+[12]Result!$H$17-[11]Result!$H$17</f>
        <v>3150.9568925295025</v>
      </c>
      <c r="K646" s="13">
        <f>+[13]Result!$H$17-[12]Result!$H$17</f>
        <v>2461.9620508188382</v>
      </c>
      <c r="L646" s="13">
        <f>+[14]Result!$H$17-[13]Result!$H$17</f>
        <v>-384.64776645135134</v>
      </c>
      <c r="M646" s="13">
        <f>+[15]Result!$H$17-[14]Result!$H$17</f>
        <v>-129052.11972125946</v>
      </c>
      <c r="N646" s="32">
        <f>+[16]Result!$H$17-[15]Result!$H$17</f>
        <v>-5496.3779617897235</v>
      </c>
      <c r="O646" s="13">
        <f>+[17]Result!$H$17-[16]Result!$H$17</f>
        <v>-11242.603804028593</v>
      </c>
      <c r="P646" s="13">
        <f>+[18]Result!$H$17-[17]Result!$H$17</f>
        <v>44590.119980641641</v>
      </c>
      <c r="Q646" s="32">
        <f>+[19]Result!$H$17-[18]Result!$H$17</f>
        <v>1063.4864750741981</v>
      </c>
      <c r="R646" s="32">
        <f>+[20]Result!$H$17-[19]Result!$H$17</f>
        <v>-6602.660374967847</v>
      </c>
      <c r="S646" s="70">
        <f>+[22]Result!$H$17-[20]Result!$H$17</f>
        <v>-7403.9326531663537</v>
      </c>
      <c r="AI646" s="73"/>
      <c r="AJ646" s="73"/>
      <c r="AK646" s="73"/>
    </row>
    <row r="647" spans="1:37" hidden="1" outlineLevel="2" x14ac:dyDescent="0.25">
      <c r="A647" s="16" t="s">
        <v>18</v>
      </c>
      <c r="B647" s="13">
        <f>+[1]Result!$H$18-[21]Result!$H$18</f>
        <v>-4516.3843048764393</v>
      </c>
      <c r="C647" s="13">
        <f>+[5]Result!$H$18-[1]Result!$H$18</f>
        <v>7166.3286932464689</v>
      </c>
      <c r="D647" s="32">
        <f>+[6]Result!$H$18-[5]Result!$H$18</f>
        <v>-86221.796765685081</v>
      </c>
      <c r="E647" s="13">
        <f>+[7]Result!$H$18-[6]Result!$H$18</f>
        <v>16783.746447981335</v>
      </c>
      <c r="F647" s="13">
        <f>+[8]Result!$H$18-[7]Result!$H$18</f>
        <v>-7649.9015566459857</v>
      </c>
      <c r="G647" s="32">
        <f>+[9]Result!$H$18-[8]Result!$H$18</f>
        <v>-6887.6308300956152</v>
      </c>
      <c r="H647" s="13">
        <f>+[10]Result!$H$18-[9]Result!$H$18</f>
        <v>-5191.8795771598816</v>
      </c>
      <c r="I647" s="13">
        <f>+[11]Result!$H$18-[10]Result!$H$18</f>
        <v>-1987.3748648939654</v>
      </c>
      <c r="J647" s="32">
        <f>+[12]Result!$H$18-[11]Result!$H$18</f>
        <v>4520.2740645618178</v>
      </c>
      <c r="K647" s="13">
        <f>+[13]Result!$H$18-[12]Result!$H$18</f>
        <v>2259.0156176290475</v>
      </c>
      <c r="L647" s="13">
        <f>+[14]Result!$H$18-[13]Result!$H$18</f>
        <v>-10350.686980930157</v>
      </c>
      <c r="M647" s="13">
        <f>+[15]Result!$H$18-[14]Result!$H$18</f>
        <v>-108083.37869343301</v>
      </c>
      <c r="N647" s="32">
        <f>+[16]Result!$H$18-[15]Result!$H$18</f>
        <v>-5137.2422800860368</v>
      </c>
      <c r="O647" s="13">
        <f>+[17]Result!$H$18-[16]Result!$H$18</f>
        <v>591.04546810919419</v>
      </c>
      <c r="P647" s="13">
        <f>+[18]Result!$H$18-[17]Result!$H$18</f>
        <v>28979.882276629098</v>
      </c>
      <c r="Q647" s="32">
        <f>+[19]Result!$H$18-[18]Result!$H$18</f>
        <v>720.7014649938792</v>
      </c>
      <c r="R647" s="32">
        <f>+[20]Result!$H$18-[19]Result!$H$18</f>
        <v>-5398.0305348560214</v>
      </c>
      <c r="S647" s="70">
        <f>+[22]Result!$H$18-[20]Result!$H$18</f>
        <v>-6127.1977320462465</v>
      </c>
      <c r="AI647" s="73"/>
      <c r="AJ647" s="73"/>
      <c r="AK647" s="73"/>
    </row>
    <row r="648" spans="1:37" hidden="1" outlineLevel="2" x14ac:dyDescent="0.25">
      <c r="A648" s="16" t="s">
        <v>19</v>
      </c>
      <c r="B648" s="13">
        <f>+[1]Result!$H$19-[21]Result!$H$19</f>
        <v>-5746.7504520947114</v>
      </c>
      <c r="C648" s="13">
        <f>+[5]Result!$H$19-[1]Result!$H$19</f>
        <v>7779.7617204743437</v>
      </c>
      <c r="D648" s="32">
        <f>+[6]Result!$H$19-[5]Result!$H$19</f>
        <v>-80059.365395358764</v>
      </c>
      <c r="E648" s="13">
        <f>+[7]Result!$H$19-[6]Result!$H$19</f>
        <v>16472.375067973044</v>
      </c>
      <c r="F648" s="13">
        <f>+[8]Result!$H$19-[7]Result!$H$19</f>
        <v>-8239.5231489166617</v>
      </c>
      <c r="G648" s="32">
        <f>+[9]Result!$H$19-[8]Result!$H$19</f>
        <v>-11145.861585592851</v>
      </c>
      <c r="H648" s="13">
        <f>+[10]Result!$H$19-[9]Result!$H$19</f>
        <v>-5763.9593715039082</v>
      </c>
      <c r="I648" s="13">
        <f>+[11]Result!$H$19-[10]Result!$H$19</f>
        <v>-2370.449298330117</v>
      </c>
      <c r="J648" s="32">
        <f>+[12]Result!$H$19-[11]Result!$H$19</f>
        <v>693.92374888714403</v>
      </c>
      <c r="K648" s="13">
        <f>+[13]Result!$H$19-[12]Result!$H$19</f>
        <v>2051.4623381048441</v>
      </c>
      <c r="L648" s="13">
        <f>+[14]Result!$H$19-[13]Result!$H$19</f>
        <v>-10979.365469226614</v>
      </c>
      <c r="M648" s="13">
        <f>+[15]Result!$H$19-[14]Result!$H$19</f>
        <v>-99091.364897787571</v>
      </c>
      <c r="N648" s="32">
        <f>+[16]Result!$H$19-[15]Result!$H$19</f>
        <v>-3961.0629245229065</v>
      </c>
      <c r="O648" s="13">
        <f>+[17]Result!$H$19-[16]Result!$H$19</f>
        <v>7318.1957308393903</v>
      </c>
      <c r="P648" s="13">
        <f>+[18]Result!$H$19-[17]Result!$H$19</f>
        <v>14124.800580910873</v>
      </c>
      <c r="Q648" s="32">
        <f>+[19]Result!$H$19-[18]Result!$H$19</f>
        <v>1063.3620799104683</v>
      </c>
      <c r="R648" s="32">
        <f>+[20]Result!$H$19-[19]Result!$H$19</f>
        <v>-4325.4883535075933</v>
      </c>
      <c r="S648" s="70">
        <f>+[22]Result!$H$19-[20]Result!$H$19</f>
        <v>-4743.690527852159</v>
      </c>
      <c r="AI648" s="73"/>
      <c r="AJ648" s="73"/>
      <c r="AK648" s="73"/>
    </row>
    <row r="649" spans="1:37" hidden="1" outlineLevel="2" x14ac:dyDescent="0.25">
      <c r="A649" s="16" t="s">
        <v>20</v>
      </c>
      <c r="B649" s="13">
        <f>+[1]Result!$H$20-[21]Result!$H$20</f>
        <v>-6239.1136268707924</v>
      </c>
      <c r="C649" s="13">
        <f>+[5]Result!$H$20-[1]Result!$H$20</f>
        <v>7024.8521330286749</v>
      </c>
      <c r="D649" s="32">
        <f>+[6]Result!$H$20-[5]Result!$H$20</f>
        <v>-72124.947720879689</v>
      </c>
      <c r="E649" s="13">
        <f>+[7]Result!$H$20-[6]Result!$H$20</f>
        <v>15514.121316418052</v>
      </c>
      <c r="F649" s="13">
        <f>+[8]Result!$H$20-[7]Result!$H$20</f>
        <v>-8251.0596134960651</v>
      </c>
      <c r="G649" s="32">
        <f>+[9]Result!$H$20-[8]Result!$H$20</f>
        <v>-13147.252046932932</v>
      </c>
      <c r="H649" s="13">
        <f>+[10]Result!$H$20-[9]Result!$H$20</f>
        <v>-5904.5245073591359</v>
      </c>
      <c r="I649" s="13">
        <f>+[11]Result!$H$20-[10]Result!$H$20</f>
        <v>-2548.16679735668</v>
      </c>
      <c r="J649" s="32">
        <f>+[12]Result!$H$20-[11]Result!$H$20</f>
        <v>3123.8549195765518</v>
      </c>
      <c r="K649" s="13">
        <f>+[13]Result!$H$20-[12]Result!$H$20</f>
        <v>1671.7209289083257</v>
      </c>
      <c r="L649" s="13">
        <f>+[14]Result!$H$20-[13]Result!$H$20</f>
        <v>-10982.661058491096</v>
      </c>
      <c r="M649" s="13">
        <f>+[15]Result!$H$20-[14]Result!$H$20</f>
        <v>-90157.370913806371</v>
      </c>
      <c r="N649" s="32">
        <f>+[16]Result!$H$20-[15]Result!$H$20</f>
        <v>166.86286481004208</v>
      </c>
      <c r="O649" s="13">
        <f>+[17]Result!$H$20-[16]Result!$H$20</f>
        <v>10966.483911843505</v>
      </c>
      <c r="P649" s="13">
        <f>+[18]Result!$H$20-[17]Result!$H$20</f>
        <v>1823.4299581637606</v>
      </c>
      <c r="Q649" s="32">
        <f>+[19]Result!$H$20-[18]Result!$H$20</f>
        <v>-397.82621851982549</v>
      </c>
      <c r="R649" s="32">
        <f>+[20]Result!$H$20-[19]Result!$H$20</f>
        <v>-196.29712085099891</v>
      </c>
      <c r="S649" s="70">
        <f>+[22]Result!$H$20-[20]Result!$H$20</f>
        <v>245.07900098431855</v>
      </c>
      <c r="AI649" s="73"/>
      <c r="AJ649" s="73"/>
      <c r="AK649" s="73"/>
    </row>
    <row r="650" spans="1:37" hidden="1" outlineLevel="2" x14ac:dyDescent="0.25">
      <c r="A650" s="16" t="s">
        <v>21</v>
      </c>
      <c r="B650" s="13">
        <f>+[1]Result!$H$21-[21]Result!$H$21</f>
        <v>-6015.7223909776658</v>
      </c>
      <c r="C650" s="13">
        <f>+[5]Result!$H$21-[1]Result!$H$21</f>
        <v>5374.5846254946664</v>
      </c>
      <c r="D650" s="32">
        <f>+[6]Result!$H$21-[5]Result!$H$21</f>
        <v>-64276.431185004767</v>
      </c>
      <c r="E650" s="13">
        <f>+[7]Result!$H$21-[6]Result!$H$21</f>
        <v>14950.439633254427</v>
      </c>
      <c r="F650" s="13">
        <f>+[8]Result!$H$21-[7]Result!$H$21</f>
        <v>-8245.6916964245029</v>
      </c>
      <c r="G650" s="32">
        <f>+[9]Result!$H$21-[8]Result!$H$21</f>
        <v>-12788.054532918613</v>
      </c>
      <c r="H650" s="13">
        <f>+[10]Result!$H$21-[9]Result!$H$21</f>
        <v>-5784.9179008998908</v>
      </c>
      <c r="I650" s="13">
        <f>+[11]Result!$H$21-[10]Result!$H$21</f>
        <v>-2816.7764932876453</v>
      </c>
      <c r="J650" s="32">
        <f>+[12]Result!$H$21-[11]Result!$H$21</f>
        <v>4956.9550713030621</v>
      </c>
      <c r="K650" s="13">
        <f>+[13]Result!$H$21-[12]Result!$H$21</f>
        <v>1328.7811221634038</v>
      </c>
      <c r="L650" s="13">
        <f>+[14]Result!$H$21-[13]Result!$H$21</f>
        <v>-10776.972693412565</v>
      </c>
      <c r="M650" s="13">
        <f>+[15]Result!$H$21-[14]Result!$H$21</f>
        <v>-80655.694947335403</v>
      </c>
      <c r="N650" s="32">
        <f>+[16]Result!$H$21-[15]Result!$H$21</f>
        <v>2865.7459977276158</v>
      </c>
      <c r="O650" s="13">
        <f>+[17]Result!$H$21-[16]Result!$H$21</f>
        <v>11271.992438898887</v>
      </c>
      <c r="P650" s="13">
        <f>+[18]Result!$H$21-[17]Result!$H$21</f>
        <v>-3281.3114822404459</v>
      </c>
      <c r="Q650" s="32">
        <f>+[19]Result!$H$21-[18]Result!$H$21</f>
        <v>-2076.0780958926771</v>
      </c>
      <c r="R650" s="32">
        <f>+[20]Result!$H$21-[19]Result!$H$21</f>
        <v>2334.0638636634685</v>
      </c>
      <c r="S650" s="70">
        <f>+[22]Result!$H$21-[20]Result!$H$21</f>
        <v>3850.1747695286758</v>
      </c>
      <c r="AI650" s="73"/>
      <c r="AJ650" s="73"/>
      <c r="AK650" s="73"/>
    </row>
    <row r="651" spans="1:37" hidden="1" outlineLevel="2" x14ac:dyDescent="0.25">
      <c r="A651" s="16" t="s">
        <v>22</v>
      </c>
      <c r="B651" s="13">
        <f>+[1]Result!$H$22-[21]Result!$H$22</f>
        <v>-5435.520104510244</v>
      </c>
      <c r="C651" s="13">
        <f>+[5]Result!$H$22-[1]Result!$H$22</f>
        <v>3808.2033660444431</v>
      </c>
      <c r="D651" s="32">
        <f>+[6]Result!$H$22-[5]Result!$H$22</f>
        <v>-54349.702854468022</v>
      </c>
      <c r="E651" s="13">
        <f>+[7]Result!$H$22-[6]Result!$H$22</f>
        <v>14160.811689415947</v>
      </c>
      <c r="F651" s="13">
        <f>+[8]Result!$H$22-[7]Result!$H$22</f>
        <v>-8064.5731950218324</v>
      </c>
      <c r="G651" s="32">
        <f>+[9]Result!$H$22-[8]Result!$H$22</f>
        <v>-12155.994594521588</v>
      </c>
      <c r="H651" s="13">
        <f>+[10]Result!$H$22-[9]Result!$H$22</f>
        <v>-5454.8711224512663</v>
      </c>
      <c r="I651" s="13">
        <f>+[11]Result!$H$22-[10]Result!$H$22</f>
        <v>-3027.3341997792013</v>
      </c>
      <c r="J651" s="32">
        <f>+[12]Result!$H$22-[11]Result!$H$22</f>
        <v>8707.6578947929665</v>
      </c>
      <c r="K651" s="13">
        <f>+[13]Result!$H$22-[12]Result!$H$22</f>
        <v>1046.313882621238</v>
      </c>
      <c r="L651" s="13">
        <f>+[14]Result!$H$22-[13]Result!$H$22</f>
        <v>-10358.286803777097</v>
      </c>
      <c r="M651" s="13">
        <f>+[15]Result!$H$22-[14]Result!$H$22</f>
        <v>-67392.928063710453</v>
      </c>
      <c r="N651" s="32">
        <f>+[16]Result!$H$22-[15]Result!$H$22</f>
        <v>2746.3833418295253</v>
      </c>
      <c r="O651" s="13">
        <f>+[17]Result!$H$22-[16]Result!$H$22</f>
        <v>10561.514208530542</v>
      </c>
      <c r="P651" s="13">
        <f>+[18]Result!$H$22-[17]Result!$H$22</f>
        <v>-851.90659642987885</v>
      </c>
      <c r="Q651" s="32">
        <f>+[19]Result!$H$22-[18]Result!$H$22</f>
        <v>-2172.1150943872053</v>
      </c>
      <c r="R651" s="32">
        <f>+[20]Result!$H$22-[19]Result!$H$22</f>
        <v>1826.4384839122649</v>
      </c>
      <c r="S651" s="70">
        <f>+[22]Result!$H$22-[20]Result!$H$22</f>
        <v>3625.4126515346579</v>
      </c>
      <c r="AI651" s="73"/>
      <c r="AJ651" s="73"/>
      <c r="AK651" s="73"/>
    </row>
    <row r="652" spans="1:37" hidden="1" outlineLevel="2" x14ac:dyDescent="0.25">
      <c r="A652" s="16" t="s">
        <v>23</v>
      </c>
      <c r="B652" s="13">
        <f>+[1]Result!$H$23-[21]Result!$H$23</f>
        <v>-4972.4279000544921</v>
      </c>
      <c r="C652" s="13">
        <f>+[5]Result!$H$23-[1]Result!$H$23</f>
        <v>3076.9922965355217</v>
      </c>
      <c r="D652" s="32">
        <f>+[6]Result!$H$23-[5]Result!$H$23</f>
        <v>-43815.161890283693</v>
      </c>
      <c r="E652" s="13">
        <f>+[7]Result!$H$23-[6]Result!$H$23</f>
        <v>13140.957233336521</v>
      </c>
      <c r="F652" s="13">
        <f>+[8]Result!$H$23-[7]Result!$H$23</f>
        <v>-7907.5424991310574</v>
      </c>
      <c r="G652" s="32">
        <f>+[9]Result!$H$23-[8]Result!$H$23</f>
        <v>-9636.430076978635</v>
      </c>
      <c r="H652" s="13">
        <f>+[10]Result!$H$23-[9]Result!$H$23</f>
        <v>-5082.3561178785749</v>
      </c>
      <c r="I652" s="13">
        <f>+[11]Result!$H$23-[10]Result!$H$23</f>
        <v>-3193.2549904007465</v>
      </c>
      <c r="J652" s="32">
        <f>+[12]Result!$H$23-[11]Result!$H$23</f>
        <v>11924.436021865811</v>
      </c>
      <c r="K652" s="13">
        <f>+[13]Result!$H$23-[12]Result!$H$23</f>
        <v>837.56854043086059</v>
      </c>
      <c r="L652" s="13">
        <f>+[14]Result!$H$23-[13]Result!$H$23</f>
        <v>-9955.9114215997979</v>
      </c>
      <c r="M652" s="13">
        <f>+[15]Result!$H$23-[14]Result!$H$23</f>
        <v>-55633.835841862252</v>
      </c>
      <c r="N652" s="32">
        <f>+[16]Result!$H$23-[15]Result!$H$23</f>
        <v>2775.2755635955837</v>
      </c>
      <c r="O652" s="13">
        <f>+[17]Result!$H$23-[16]Result!$H$23</f>
        <v>10055.578681902727</v>
      </c>
      <c r="P652" s="13">
        <f>+[18]Result!$H$23-[17]Result!$H$23</f>
        <v>106.14438014291227</v>
      </c>
      <c r="Q652" s="32">
        <f>+[19]Result!$H$23-[18]Result!$H$23</f>
        <v>-2114.0479873456061</v>
      </c>
      <c r="R652" s="32">
        <f>+[20]Result!$H$23-[19]Result!$H$23</f>
        <v>1461.7913151476532</v>
      </c>
      <c r="S652" s="70">
        <f>+[22]Result!$H$23-[20]Result!$H$23</f>
        <v>3513.2702488689683</v>
      </c>
      <c r="AI652" s="73"/>
      <c r="AJ652" s="73"/>
      <c r="AK652" s="73"/>
    </row>
    <row r="653" spans="1:37" hidden="1" outlineLevel="2" x14ac:dyDescent="0.25">
      <c r="A653" s="16" t="s">
        <v>24</v>
      </c>
      <c r="B653" s="13">
        <f>+[1]Result!$H$24-[21]Result!$H$24</f>
        <v>-5049.5985943472479</v>
      </c>
      <c r="C653" s="13">
        <f>+[5]Result!$H$24-[1]Result!$H$24</f>
        <v>3562.3003769014031</v>
      </c>
      <c r="D653" s="32">
        <f>+[6]Result!$H$24-[5]Result!$H$24</f>
        <v>-41587.282465757569</v>
      </c>
      <c r="E653" s="13">
        <f>+[7]Result!$H$24-[6]Result!$H$24</f>
        <v>12140.57477874402</v>
      </c>
      <c r="F653" s="13">
        <f>+[8]Result!$H$24-[7]Result!$H$24</f>
        <v>-8010.5704754746985</v>
      </c>
      <c r="G653" s="32">
        <f>+[9]Result!$H$24-[8]Result!$H$24</f>
        <v>-11258.459295456531</v>
      </c>
      <c r="H653" s="13">
        <f>+[10]Result!$H$24-[9]Result!$H$24</f>
        <v>-4765.4949545213021</v>
      </c>
      <c r="I653" s="13">
        <f>+[11]Result!$H$24-[10]Result!$H$24</f>
        <v>-3375.0889226878062</v>
      </c>
      <c r="J653" s="32">
        <f>+[12]Result!$H$24-[11]Result!$H$24</f>
        <v>9307.2215502124745</v>
      </c>
      <c r="K653" s="13">
        <f>+[13]Result!$H$24-[12]Result!$H$24</f>
        <v>650.60783159872517</v>
      </c>
      <c r="L653" s="13">
        <f>+[14]Result!$H$24-[13]Result!$H$24</f>
        <v>-9501.3127412006725</v>
      </c>
      <c r="M653" s="13">
        <f>+[15]Result!$H$24-[14]Result!$H$24</f>
        <v>-49180.781860857271</v>
      </c>
      <c r="N653" s="32">
        <f>+[16]Result!$H$24-[15]Result!$H$24</f>
        <v>2792.753028705949</v>
      </c>
      <c r="O653" s="13">
        <f>+[17]Result!$H$24-[16]Result!$H$24</f>
        <v>9467.226558535127</v>
      </c>
      <c r="P653" s="13">
        <f>+[18]Result!$H$24-[17]Result!$H$24</f>
        <v>-1038.2865216610953</v>
      </c>
      <c r="Q653" s="32">
        <f>+[19]Result!$H$24-[18]Result!$H$24</f>
        <v>-1930.8213000050746</v>
      </c>
      <c r="R653" s="32">
        <f>+[20]Result!$H$24-[19]Result!$H$24</f>
        <v>1173.2689579133876</v>
      </c>
      <c r="S653" s="70">
        <f>+[22]Result!$H$24-[20]Result!$H$24</f>
        <v>3350.9600423716474</v>
      </c>
      <c r="AI653" s="73"/>
      <c r="AJ653" s="73"/>
      <c r="AK653" s="73"/>
    </row>
    <row r="654" spans="1:37" hidden="1" outlineLevel="1" x14ac:dyDescent="0.25">
      <c r="A654" s="15" t="s">
        <v>25</v>
      </c>
      <c r="B654" s="13">
        <f>+'[1]Stat by Mat 2'!$D$6-'[21]Stat by Mat 2'!$D$6</f>
        <v>-33179.028003290761</v>
      </c>
      <c r="C654" s="13">
        <f>+'[5]Stat by Mat 2'!$D$6-'[1]Stat by Mat 2'!$D$6</f>
        <v>36165.888976127608</v>
      </c>
      <c r="D654" s="32">
        <f>+'[6]Stat by Mat 2'!$D$6-'[5]Stat by Mat 2'!$D$6</f>
        <v>-188690.83178881719</v>
      </c>
      <c r="E654" s="13">
        <f>+'[7]Stat by Mat 2'!$D$6-'[6]Stat by Mat 2'!$D$6</f>
        <v>53794.447964022169</v>
      </c>
      <c r="F654" s="13">
        <f>+'[8]Stat by Mat 2'!$D$6-'[7]Stat by Mat 2'!$D$6</f>
        <v>-48318.26187680522</v>
      </c>
      <c r="G654" s="32">
        <f>+'[9]Stat by Mat 2'!$D$6-'[8]Stat by Mat 2'!$D$6</f>
        <v>-51834.827322057914</v>
      </c>
      <c r="H654" s="13">
        <f>+'[10]Stat by Mat 2'!$D$6-'[9]Stat by Mat 2'!$D$6</f>
        <v>-24744.855788540794</v>
      </c>
      <c r="I654" s="13">
        <f>+'[11]Stat by Mat 2'!$D$6-'[10]Stat by Mat 2'!$D$6</f>
        <v>-23019.33362754737</v>
      </c>
      <c r="J654" s="32">
        <f>+'[12]Stat by Mat 2'!$D$6-'[11]Stat by Mat 2'!$D$6</f>
        <v>88855.987679726444</v>
      </c>
      <c r="K654" s="13">
        <f>+'[13]Stat by Mat 2'!$D$6-'[12]Stat by Mat 2'!$D$6</f>
        <v>1402.2014583437704</v>
      </c>
      <c r="L654" s="13">
        <f>+'[14]Stat by Mat 2'!$D$6-'[13]Stat by Mat 2'!$D$6</f>
        <v>-54725.156916175736</v>
      </c>
      <c r="M654" s="13">
        <f>+'[15]Stat by Mat 2'!$D$6-'[14]Stat by Mat 2'!$D$6</f>
        <v>-383027.64077750454</v>
      </c>
      <c r="N654" s="32">
        <f>+'[16]Stat by Mat 2'!$D$6-'[15]Stat by Mat 2'!$D$6</f>
        <v>15815.853264552192</v>
      </c>
      <c r="O654" s="13">
        <f>+'[17]Stat by Mat 2'!$D$6-'[16]Stat by Mat 2'!$D$6</f>
        <v>45334.144147658022</v>
      </c>
      <c r="P654" s="13">
        <f>+'[18]Stat by Mat 2'!$D$6-'[17]Stat by Mat 2'!$D$6</f>
        <v>10164.818395384122</v>
      </c>
      <c r="Q654" s="32">
        <f>+'[19]Stat by Mat 2'!$D$6-'[18]Stat by Mat 2'!$D$6</f>
        <v>-8470.8890839690575</v>
      </c>
      <c r="R654" s="32">
        <f>+'[20]Stat by Mat 2'!$D$6-'[19]Stat by Mat 2'!$D$6</f>
        <v>3229.4571820315905</v>
      </c>
      <c r="S654" s="70">
        <f>+'[22]Stat by Mat 2'!$D$6-'[20]Stat by Mat 2'!$D$6</f>
        <v>17223.273060267791</v>
      </c>
      <c r="T654" s="13">
        <f>+B654-SUM(B655:B664)</f>
        <v>5.8207660913467407E-11</v>
      </c>
      <c r="U654" s="13">
        <f t="shared" ref="U654:W654" si="497">+C654-SUM(C655:C664)</f>
        <v>0</v>
      </c>
      <c r="V654" s="13">
        <f t="shared" si="497"/>
        <v>-2.6193447411060333E-10</v>
      </c>
      <c r="W654" s="13">
        <f t="shared" si="497"/>
        <v>5.5297277867794037E-10</v>
      </c>
      <c r="X654" s="13">
        <f t="shared" ref="X654" si="498">+F654-SUM(F655:F664)</f>
        <v>-2.3283064365386963E-10</v>
      </c>
      <c r="Y654" s="13">
        <f t="shared" ref="Y654:AE654" si="499">+G654-SUM(G655:G664)</f>
        <v>-5.8207660913467407E-11</v>
      </c>
      <c r="Z654" s="13">
        <f t="shared" si="499"/>
        <v>-2.3283064365386963E-10</v>
      </c>
      <c r="AA654" s="13">
        <f t="shared" si="499"/>
        <v>3.7834979593753815E-10</v>
      </c>
      <c r="AB654" s="13">
        <f t="shared" si="499"/>
        <v>0</v>
      </c>
      <c r="AC654" s="13">
        <f t="shared" si="499"/>
        <v>-8.7311491370201111E-11</v>
      </c>
      <c r="AD654" s="13">
        <f t="shared" si="499"/>
        <v>2.9103830456733704E-10</v>
      </c>
      <c r="AE654" s="13">
        <f t="shared" si="499"/>
        <v>0</v>
      </c>
      <c r="AF654" s="13">
        <f t="shared" ref="AF654" si="500">+N654-SUM(N655:N664)</f>
        <v>-2.0372681319713593E-10</v>
      </c>
      <c r="AG654" s="13">
        <f t="shared" ref="AG654:AH654" si="501">+O654-SUM(O655:O664)</f>
        <v>2.6193447411060333E-10</v>
      </c>
      <c r="AH654" s="13">
        <f t="shared" si="501"/>
        <v>8.7311491370201111E-11</v>
      </c>
      <c r="AI654" s="73">
        <f t="shared" ref="AI654" si="502">+Q654-SUM(Q655:Q664)</f>
        <v>-1.1641532182693481E-10</v>
      </c>
      <c r="AJ654" s="73">
        <f t="shared" ref="AJ654:AK654" si="503">+R654-SUM(R655:R664)</f>
        <v>-4.3655745685100555E-11</v>
      </c>
      <c r="AK654" s="73">
        <f t="shared" si="503"/>
        <v>7.2759576141834259E-11</v>
      </c>
    </row>
    <row r="655" spans="1:37" hidden="1" outlineLevel="2" x14ac:dyDescent="0.25">
      <c r="A655" s="16" t="s">
        <v>26</v>
      </c>
      <c r="B655" s="13">
        <f>+[1]Result!$H$25-[21]Result!$H$25</f>
        <v>-5020.341970594367</v>
      </c>
      <c r="C655" s="13">
        <f>+[5]Result!$H$25-[1]Result!$H$25</f>
        <v>4287.0589458711911</v>
      </c>
      <c r="D655" s="32">
        <f>+[6]Result!$H$25-[5]Result!$H$25</f>
        <v>-37919.059003365459</v>
      </c>
      <c r="E655" s="13">
        <f>+[7]Result!$H$25-[6]Result!$H$25</f>
        <v>10476.776226063026</v>
      </c>
      <c r="F655" s="13">
        <f>+[8]Result!$H$25-[7]Result!$H$25</f>
        <v>-7652.4125563970301</v>
      </c>
      <c r="G655" s="32">
        <f>+[9]Result!$H$25-[8]Result!$H$25</f>
        <v>-11339.310915857553</v>
      </c>
      <c r="H655" s="13">
        <f>+[10]Result!$H$25-[9]Result!$H$25</f>
        <v>-4272.3513697541784</v>
      </c>
      <c r="I655" s="13">
        <f>+[11]Result!$H$25-[10]Result!$H$25</f>
        <v>-3346.8820048063062</v>
      </c>
      <c r="J655" s="32">
        <f>+[12]Result!$H$25-[11]Result!$H$25</f>
        <v>9688.9844459674787</v>
      </c>
      <c r="K655" s="13">
        <f>+[13]Result!$H$25-[12]Result!$H$25</f>
        <v>469.83411673502997</v>
      </c>
      <c r="L655" s="13">
        <f>+[14]Result!$H$25-[13]Result!$H$25</f>
        <v>-8776.3540298154112</v>
      </c>
      <c r="M655" s="13">
        <f>+[15]Result!$H$25-[14]Result!$H$25</f>
        <v>-47497.797801717534</v>
      </c>
      <c r="N655" s="32">
        <f>+[16]Result!$H$25-[15]Result!$H$25</f>
        <v>2637.7358700745972</v>
      </c>
      <c r="O655" s="13">
        <f>+[17]Result!$H$25-[16]Result!$H$25</f>
        <v>8432.2342480105581</v>
      </c>
      <c r="P655" s="13">
        <f>+[18]Result!$H$25-[17]Result!$H$25</f>
        <v>-970.02586589904968</v>
      </c>
      <c r="Q655" s="32">
        <f>+[19]Result!$H$25-[18]Result!$H$25</f>
        <v>-1657.1864283453906</v>
      </c>
      <c r="R655" s="32">
        <f>+[20]Result!$H$25-[19]Result!$H$25</f>
        <v>888.73805909662042</v>
      </c>
      <c r="S655" s="70">
        <f>+[22]Result!$H$25-[20]Result!$H$25</f>
        <v>3065.8330486329505</v>
      </c>
      <c r="AI655" s="73"/>
      <c r="AJ655" s="73"/>
      <c r="AK655" s="73"/>
    </row>
    <row r="656" spans="1:37" hidden="1" outlineLevel="2" x14ac:dyDescent="0.25">
      <c r="A656" s="16" t="s">
        <v>27</v>
      </c>
      <c r="B656" s="13">
        <f>+[1]Result!$H$26-[21]Result!$H$26</f>
        <v>-4851.4999027240556</v>
      </c>
      <c r="C656" s="13">
        <f>+[5]Result!$H$26-[1]Result!$H$26</f>
        <v>4688.040887830779</v>
      </c>
      <c r="D656" s="32">
        <f>+[6]Result!$H$26-[5]Result!$H$26</f>
        <v>-34001.593467528583</v>
      </c>
      <c r="E656" s="13">
        <f>+[7]Result!$H$26-[6]Result!$H$26</f>
        <v>8939.1739419619553</v>
      </c>
      <c r="F656" s="13">
        <f>+[8]Result!$H$26-[7]Result!$H$26</f>
        <v>-7145.1892196863191</v>
      </c>
      <c r="G656" s="32">
        <f>+[9]Result!$H$26-[8]Result!$H$26</f>
        <v>-10806.217372484505</v>
      </c>
      <c r="H656" s="13">
        <f>+[10]Result!$H$26-[9]Result!$H$26</f>
        <v>-3813.8287320194067</v>
      </c>
      <c r="I656" s="13">
        <f>+[11]Result!$H$26-[10]Result!$H$26</f>
        <v>-3199.3570430040127</v>
      </c>
      <c r="J656" s="32">
        <f>+[12]Result!$H$26-[11]Result!$H$26</f>
        <v>10154.020658079186</v>
      </c>
      <c r="K656" s="13">
        <f>+[13]Result!$H$26-[12]Result!$H$26</f>
        <v>333.98789251665585</v>
      </c>
      <c r="L656" s="13">
        <f>+[14]Result!$H$26-[13]Result!$H$26</f>
        <v>-8017.0066033867188</v>
      </c>
      <c r="M656" s="13">
        <f>+[15]Result!$H$26-[14]Result!$H$26</f>
        <v>-46222.551918782177</v>
      </c>
      <c r="N656" s="32">
        <f>+[16]Result!$H$26-[15]Result!$H$26</f>
        <v>2431.9108536563581</v>
      </c>
      <c r="O656" s="13">
        <f>+[17]Result!$H$26-[16]Result!$H$26</f>
        <v>7383.2539402822731</v>
      </c>
      <c r="P656" s="13">
        <f>+[18]Result!$H$26-[17]Result!$H$26</f>
        <v>-359.57378558930941</v>
      </c>
      <c r="Q656" s="32">
        <f>+[19]Result!$H$26-[18]Result!$H$26</f>
        <v>-1421.7628342765383</v>
      </c>
      <c r="R656" s="32">
        <f>+[20]Result!$H$26-[19]Result!$H$26</f>
        <v>660.6609024903737</v>
      </c>
      <c r="S656" s="70">
        <f>+[22]Result!$H$26-[20]Result!$H$26</f>
        <v>2732.5921877152286</v>
      </c>
      <c r="AI656" s="73"/>
      <c r="AJ656" s="73"/>
      <c r="AK656" s="73"/>
    </row>
    <row r="657" spans="1:37" hidden="1" outlineLevel="2" x14ac:dyDescent="0.25">
      <c r="A657" s="16" t="s">
        <v>28</v>
      </c>
      <c r="B657" s="13">
        <f>+[1]Result!$H$27-[21]Result!$H$27</f>
        <v>-4498.1183507511159</v>
      </c>
      <c r="C657" s="13">
        <f>+[5]Result!$H$27-[1]Result!$H$27</f>
        <v>4734.6225788622396</v>
      </c>
      <c r="D657" s="32">
        <f>+[6]Result!$H$27-[5]Result!$H$27</f>
        <v>-29042.474318262539</v>
      </c>
      <c r="E657" s="13">
        <f>+[7]Result!$H$27-[6]Result!$H$27</f>
        <v>7568.7172239018837</v>
      </c>
      <c r="F657" s="13">
        <f>+[8]Result!$H$27-[7]Result!$H$27</f>
        <v>-6524.5585487438366</v>
      </c>
      <c r="G657" s="32">
        <f>+[9]Result!$H$27-[8]Result!$H$27</f>
        <v>-9449.5193352539791</v>
      </c>
      <c r="H657" s="13">
        <f>+[10]Result!$H$27-[9]Result!$H$27</f>
        <v>-3377.4894754767884</v>
      </c>
      <c r="I657" s="13">
        <f>+[11]Result!$H$27-[10]Result!$H$27</f>
        <v>-2987.487573725637</v>
      </c>
      <c r="J657" s="32">
        <f>+[12]Result!$H$27-[11]Result!$H$27</f>
        <v>11284.997866678634</v>
      </c>
      <c r="K657" s="13">
        <f>+[13]Result!$H$27-[12]Result!$H$27</f>
        <v>239.9476235283073</v>
      </c>
      <c r="L657" s="13">
        <f>+[14]Result!$H$27-[13]Result!$H$27</f>
        <v>-7291.0433972293977</v>
      </c>
      <c r="M657" s="13">
        <f>+[15]Result!$H$27-[14]Result!$H$27</f>
        <v>-44374.481409936561</v>
      </c>
      <c r="N657" s="32">
        <f>+[16]Result!$H$27-[15]Result!$H$27</f>
        <v>2203.3519963150611</v>
      </c>
      <c r="O657" s="13">
        <f>+[17]Result!$H$27-[16]Result!$H$27</f>
        <v>6469.4207736866083</v>
      </c>
      <c r="P657" s="13">
        <f>+[18]Result!$H$27-[17]Result!$H$27</f>
        <v>801.31344909337349</v>
      </c>
      <c r="Q657" s="32">
        <f>+[19]Result!$H$27-[18]Result!$H$27</f>
        <v>-1220.6960772776511</v>
      </c>
      <c r="R657" s="32">
        <f>+[20]Result!$H$27-[19]Result!$H$27</f>
        <v>506.85722824279219</v>
      </c>
      <c r="S657" s="70">
        <f>+[22]Result!$H$27-[20]Result!$H$27</f>
        <v>2427.7968794747721</v>
      </c>
      <c r="AI657" s="73"/>
      <c r="AJ657" s="73"/>
      <c r="AK657" s="73"/>
    </row>
    <row r="658" spans="1:37" hidden="1" outlineLevel="2" x14ac:dyDescent="0.25">
      <c r="A658" s="16" t="s">
        <v>29</v>
      </c>
      <c r="B658" s="13">
        <f>+[1]Result!$H$28-[21]Result!$H$28</f>
        <v>-4117.895253288094</v>
      </c>
      <c r="C658" s="13">
        <f>+[5]Result!$H$28-[1]Result!$H$28</f>
        <v>4583.5174187944504</v>
      </c>
      <c r="D658" s="32">
        <f>+[6]Result!$H$28-[5]Result!$H$28</f>
        <v>-23597.242443632917</v>
      </c>
      <c r="E658" s="13">
        <f>+[7]Result!$H$28-[6]Result!$H$28</f>
        <v>6473.315168458852</v>
      </c>
      <c r="F658" s="13">
        <f>+[8]Result!$H$28-[7]Result!$H$28</f>
        <v>-5929.1274590797257</v>
      </c>
      <c r="G658" s="32">
        <f>+[9]Result!$H$28-[8]Result!$H$28</f>
        <v>-5813.9185403754236</v>
      </c>
      <c r="H658" s="13">
        <f>+[10]Result!$H$28-[9]Result!$H$28</f>
        <v>-3014.5439850643743</v>
      </c>
      <c r="I658" s="13">
        <f>+[11]Result!$H$28-[10]Result!$H$28</f>
        <v>-2846.7182624097914</v>
      </c>
      <c r="J658" s="32">
        <f>+[12]Result!$H$28-[11]Result!$H$28</f>
        <v>11833.377179112402</v>
      </c>
      <c r="K658" s="13">
        <f>+[13]Result!$H$28-[12]Result!$H$28</f>
        <v>161.7333623819286</v>
      </c>
      <c r="L658" s="13">
        <f>+[14]Result!$H$28-[13]Result!$H$28</f>
        <v>-6715.5478971042903</v>
      </c>
      <c r="M658" s="13">
        <f>+[15]Result!$H$28-[14]Result!$H$28</f>
        <v>-42472.292212861241</v>
      </c>
      <c r="N658" s="32">
        <f>+[16]Result!$H$28-[15]Result!$H$28</f>
        <v>2043.8871749982354</v>
      </c>
      <c r="O658" s="13">
        <f>+[17]Result!$H$28-[16]Result!$H$28</f>
        <v>5802.8287548346561</v>
      </c>
      <c r="P658" s="13">
        <f>+[18]Result!$H$28-[17]Result!$H$28</f>
        <v>1034.0320573391509</v>
      </c>
      <c r="Q658" s="32">
        <f>+[19]Result!$H$28-[18]Result!$H$28</f>
        <v>-1066.8666989507619</v>
      </c>
      <c r="R658" s="32">
        <f>+[20]Result!$H$28-[19]Result!$H$28</f>
        <v>384.53602854802739</v>
      </c>
      <c r="S658" s="70">
        <f>+[22]Result!$H$28-[20]Result!$H$28</f>
        <v>2213.0216923060943</v>
      </c>
      <c r="AI658" s="73"/>
      <c r="AJ658" s="73"/>
      <c r="AK658" s="73"/>
    </row>
    <row r="659" spans="1:37" hidden="1" outlineLevel="2" x14ac:dyDescent="0.25">
      <c r="A659" s="16" t="s">
        <v>30</v>
      </c>
      <c r="B659" s="13">
        <f>+[1]Result!$H$29-[21]Result!$H$29</f>
        <v>-3849.98589306348</v>
      </c>
      <c r="C659" s="13">
        <f>+[5]Result!$H$29-[1]Result!$H$29</f>
        <v>4474.5017491905019</v>
      </c>
      <c r="D659" s="32">
        <f>+[6]Result!$H$29-[5]Result!$H$29</f>
        <v>-20765.079629422515</v>
      </c>
      <c r="E659" s="13">
        <f>+[7]Result!$H$29-[6]Result!$H$29</f>
        <v>5680.8986886736238</v>
      </c>
      <c r="F659" s="13">
        <f>+[8]Result!$H$29-[7]Result!$H$29</f>
        <v>-5476.6829231157899</v>
      </c>
      <c r="G659" s="32">
        <f>+[9]Result!$H$29-[8]Result!$H$29</f>
        <v>-5959.787510996568</v>
      </c>
      <c r="H659" s="13">
        <f>+[10]Result!$H$29-[9]Result!$H$29</f>
        <v>-2706.7176460317569</v>
      </c>
      <c r="I659" s="13">
        <f>+[11]Result!$H$29-[10]Result!$H$29</f>
        <v>-2672.6129896920174</v>
      </c>
      <c r="J659" s="32">
        <f>+[12]Result!$H$29-[11]Result!$H$29</f>
        <v>8752.2217073149513</v>
      </c>
      <c r="K659" s="13">
        <f>+[13]Result!$H$29-[12]Result!$H$29</f>
        <v>92.099744812236167</v>
      </c>
      <c r="L659" s="13">
        <f>+[14]Result!$H$29-[13]Result!$H$29</f>
        <v>-6033.2407398658106</v>
      </c>
      <c r="M659" s="13">
        <f>+[15]Result!$H$29-[14]Result!$H$29</f>
        <v>-40895.977518032189</v>
      </c>
      <c r="N659" s="32">
        <f>+[16]Result!$H$29-[15]Result!$H$29</f>
        <v>1816.5131360035739</v>
      </c>
      <c r="O659" s="13">
        <f>+[17]Result!$H$29-[16]Result!$H$29</f>
        <v>5012.1143362309085</v>
      </c>
      <c r="P659" s="13">
        <f>+[18]Result!$H$29-[17]Result!$H$29</f>
        <v>-343.93229984003119</v>
      </c>
      <c r="Q659" s="32">
        <f>+[19]Result!$H$29-[18]Result!$H$29</f>
        <v>-899.50973919220269</v>
      </c>
      <c r="R659" s="32">
        <f>+[20]Result!$H$29-[19]Result!$H$29</f>
        <v>280.9050984774367</v>
      </c>
      <c r="S659" s="70">
        <f>+[22]Result!$H$29-[20]Result!$H$29</f>
        <v>1907.4341190267005</v>
      </c>
      <c r="AI659" s="73"/>
      <c r="AJ659" s="73"/>
      <c r="AK659" s="73"/>
    </row>
    <row r="660" spans="1:37" hidden="1" outlineLevel="2" x14ac:dyDescent="0.25">
      <c r="A660" s="16" t="s">
        <v>31</v>
      </c>
      <c r="B660" s="13">
        <f>+[1]Result!$H$30-[21]Result!$H$30</f>
        <v>-3215.2612209463841</v>
      </c>
      <c r="C660" s="13">
        <f>+[5]Result!$H$30-[1]Result!$H$30</f>
        <v>3861.3959394503618</v>
      </c>
      <c r="D660" s="32">
        <f>+[6]Result!$H$30-[5]Result!$H$30</f>
        <v>-17093.001089238795</v>
      </c>
      <c r="E660" s="13">
        <f>+[7]Result!$H$30-[6]Result!$H$30</f>
        <v>4496.3711249114713</v>
      </c>
      <c r="F660" s="13">
        <f>+[8]Result!$H$30-[7]Result!$H$30</f>
        <v>-4529.9006291421829</v>
      </c>
      <c r="G660" s="32">
        <f>+[9]Result!$H$30-[8]Result!$H$30</f>
        <v>-5765.2016618847847</v>
      </c>
      <c r="H660" s="13">
        <f>+[10]Result!$H$30-[9]Result!$H$30</f>
        <v>-2189.2945646856679</v>
      </c>
      <c r="I660" s="13">
        <f>+[11]Result!$H$30-[10]Result!$H$30</f>
        <v>-2219.315948056581</v>
      </c>
      <c r="J660" s="32">
        <f>+[12]Result!$H$30-[11]Result!$H$30</f>
        <v>8587.7099096148741</v>
      </c>
      <c r="K660" s="13">
        <f>+[13]Result!$H$30-[12]Result!$H$30</f>
        <v>46.071966652467381</v>
      </c>
      <c r="L660" s="13">
        <f>+[14]Result!$H$30-[13]Result!$H$30</f>
        <v>-4993.1416809012298</v>
      </c>
      <c r="M660" s="13">
        <f>+[15]Result!$H$30-[14]Result!$H$30</f>
        <v>-38788.137757089047</v>
      </c>
      <c r="N660" s="32">
        <f>+[16]Result!$H$30-[15]Result!$H$30</f>
        <v>1418.1905144042685</v>
      </c>
      <c r="O660" s="13">
        <f>+[17]Result!$H$30-[16]Result!$H$30</f>
        <v>3827.2490351547021</v>
      </c>
      <c r="P660" s="13">
        <f>+[18]Result!$H$30-[17]Result!$H$30</f>
        <v>-157.46971615479561</v>
      </c>
      <c r="Q660" s="32">
        <f>+[19]Result!$H$30-[18]Result!$H$30</f>
        <v>-678.28742163407151</v>
      </c>
      <c r="R660" s="32">
        <f>+[20]Result!$H$30-[19]Result!$H$30</f>
        <v>186.8824563488015</v>
      </c>
      <c r="S660" s="70">
        <f>+[22]Result!$H$30-[20]Result!$H$30</f>
        <v>1461.3677859245217</v>
      </c>
      <c r="AI660" s="73"/>
      <c r="AJ660" s="73"/>
      <c r="AK660" s="73"/>
    </row>
    <row r="661" spans="1:37" hidden="1" outlineLevel="2" x14ac:dyDescent="0.25">
      <c r="A661" s="16" t="s">
        <v>32</v>
      </c>
      <c r="B661" s="13">
        <f>+[1]Result!$H$31-[21]Result!$H$31</f>
        <v>-2587.7073419959052</v>
      </c>
      <c r="C661" s="13">
        <f>+[5]Result!$H$31-[1]Result!$H$31</f>
        <v>3165.8516525353771</v>
      </c>
      <c r="D661" s="32">
        <f>+[6]Result!$H$31-[5]Result!$H$31</f>
        <v>-12746.576635611418</v>
      </c>
      <c r="E661" s="13">
        <f>+[7]Result!$H$31-[6]Result!$H$31</f>
        <v>3474.4972586923977</v>
      </c>
      <c r="F661" s="13">
        <f>+[8]Result!$H$31-[7]Result!$H$31</f>
        <v>-3641.1678522225702</v>
      </c>
      <c r="G661" s="32">
        <f>+[9]Result!$H$31-[8]Result!$H$31</f>
        <v>-4583.9601492442889</v>
      </c>
      <c r="H661" s="13">
        <f>+[10]Result!$H$31-[9]Result!$H$31</f>
        <v>-1721.6584121392225</v>
      </c>
      <c r="I661" s="13">
        <f>+[11]Result!$H$31-[10]Result!$H$31</f>
        <v>-1792.45238502149</v>
      </c>
      <c r="J661" s="32">
        <f>+[12]Result!$H$31-[11]Result!$H$31</f>
        <v>8466.6131812831154</v>
      </c>
      <c r="K661" s="13">
        <f>+[13]Result!$H$31-[12]Result!$H$31</f>
        <v>38.420333217596635</v>
      </c>
      <c r="L661" s="13">
        <f>+[14]Result!$H$31-[13]Result!$H$31</f>
        <v>-4057.0933474569465</v>
      </c>
      <c r="M661" s="13">
        <f>+[15]Result!$H$31-[14]Result!$H$31</f>
        <v>-37656.880981014954</v>
      </c>
      <c r="N661" s="32">
        <f>+[16]Result!$H$31-[15]Result!$H$31</f>
        <v>1048.2229208492208</v>
      </c>
      <c r="O661" s="13">
        <f>+[17]Result!$H$31-[16]Result!$H$31</f>
        <v>2739.8229260731605</v>
      </c>
      <c r="P661" s="13">
        <f>+[18]Result!$H$31-[17]Result!$H$31</f>
        <v>-223.41919917086489</v>
      </c>
      <c r="Q661" s="32">
        <f>+[19]Result!$H$31-[18]Result!$H$31</f>
        <v>-478.93976939644199</v>
      </c>
      <c r="R661" s="32">
        <f>+[20]Result!$H$31-[19]Result!$H$31</f>
        <v>121.2794190501736</v>
      </c>
      <c r="S661" s="70">
        <f>+[22]Result!$H$31-[20]Result!$H$31</f>
        <v>1041.4268154327583</v>
      </c>
      <c r="AI661" s="73"/>
      <c r="AJ661" s="73"/>
      <c r="AK661" s="73"/>
    </row>
    <row r="662" spans="1:37" hidden="1" outlineLevel="2" x14ac:dyDescent="0.25">
      <c r="A662" s="16" t="s">
        <v>33</v>
      </c>
      <c r="B662" s="13">
        <f>+[1]Result!$H$32-[21]Result!$H$32</f>
        <v>-1963.848006928456</v>
      </c>
      <c r="C662" s="13">
        <f>+[5]Result!$H$32-[1]Result!$H$32</f>
        <v>2449.4849771251029</v>
      </c>
      <c r="D662" s="32">
        <f>+[6]Result!$H$32-[5]Result!$H$32</f>
        <v>-8951.8216671106347</v>
      </c>
      <c r="E662" s="13">
        <f>+[7]Result!$H$32-[6]Result!$H$32</f>
        <v>2551.6571965580224</v>
      </c>
      <c r="F662" s="13">
        <f>+[8]Result!$H$32-[7]Result!$H$32</f>
        <v>-2767.4523682431027</v>
      </c>
      <c r="G662" s="32">
        <f>+[9]Result!$H$32-[8]Result!$H$32</f>
        <v>-3263.4509802824177</v>
      </c>
      <c r="H662" s="13">
        <f>+[10]Result!$H$32-[9]Result!$H$32</f>
        <v>-1287.907507129421</v>
      </c>
      <c r="I662" s="13">
        <f>+[11]Result!$H$32-[10]Result!$H$32</f>
        <v>-1369.8235434324597</v>
      </c>
      <c r="J662" s="32">
        <f>+[12]Result!$H$32-[11]Result!$H$32</f>
        <v>9559.8799678605574</v>
      </c>
      <c r="K662" s="13">
        <f>+[13]Result!$H$32-[12]Result!$H$32</f>
        <v>20.106418499635765</v>
      </c>
      <c r="L662" s="13">
        <f>+[14]Result!$H$32-[13]Result!$H$32</f>
        <v>-3211.5815511427354</v>
      </c>
      <c r="M662" s="13">
        <f>+[15]Result!$H$32-[14]Result!$H$32</f>
        <v>-34318.599096266393</v>
      </c>
      <c r="N662" s="32">
        <f>+[16]Result!$H$32-[15]Result!$H$32</f>
        <v>739.5201042064873</v>
      </c>
      <c r="O662" s="13">
        <f>+[17]Result!$H$32-[16]Result!$H$32</f>
        <v>1903.4473688137368</v>
      </c>
      <c r="P662" s="13">
        <f>+[18]Result!$H$32-[17]Result!$H$32</f>
        <v>2693.0131111278752</v>
      </c>
      <c r="Q662" s="32">
        <f>+[19]Result!$H$32-[18]Result!$H$32</f>
        <v>-351.43493886105716</v>
      </c>
      <c r="R662" s="32">
        <f>+[20]Result!$H$32-[19]Result!$H$32</f>
        <v>80.208387839520583</v>
      </c>
      <c r="S662" s="70">
        <f>+[22]Result!$H$32-[20]Result!$H$32</f>
        <v>777.80535247613443</v>
      </c>
      <c r="AI662" s="73"/>
      <c r="AJ662" s="73"/>
      <c r="AK662" s="73"/>
    </row>
    <row r="663" spans="1:37" hidden="1" outlineLevel="2" x14ac:dyDescent="0.25">
      <c r="A663" s="16" t="s">
        <v>34</v>
      </c>
      <c r="B663" s="13">
        <f>+[1]Result!$H$33-[21]Result!$H$33</f>
        <v>-1487.8525897704531</v>
      </c>
      <c r="C663" s="13">
        <f>+[5]Result!$H$33-[1]Result!$H$33</f>
        <v>1885.299269721756</v>
      </c>
      <c r="D663" s="32">
        <f>+[6]Result!$H$33-[5]Result!$H$33</f>
        <v>-2087.1229434985435</v>
      </c>
      <c r="E663" s="13">
        <f>+[7]Result!$H$33-[6]Result!$H$33</f>
        <v>2034.6719166535477</v>
      </c>
      <c r="F663" s="13">
        <f>+[8]Result!$H$33-[7]Result!$H$33</f>
        <v>-2262.9145768723974</v>
      </c>
      <c r="G663" s="32">
        <f>+[9]Result!$H$33-[8]Result!$H$33</f>
        <v>2732.6414141531568</v>
      </c>
      <c r="H663" s="13">
        <f>+[10]Result!$H$33-[9]Result!$H$33</f>
        <v>-1152.9374929618207</v>
      </c>
      <c r="I663" s="13">
        <f>+[11]Result!$H$33-[10]Result!$H$33</f>
        <v>-1252.3447847765347</v>
      </c>
      <c r="J663" s="32">
        <f>+[12]Result!$H$33-[11]Result!$H$33</f>
        <v>9669.9054862376652</v>
      </c>
      <c r="K663" s="13">
        <f>+[13]Result!$H$33-[12]Result!$H$33</f>
        <v>0</v>
      </c>
      <c r="L663" s="13">
        <f>+[14]Result!$H$33-[13]Result!$H$33</f>
        <v>-2941.6694293457258</v>
      </c>
      <c r="M663" s="13">
        <f>+[15]Result!$H$33-[14]Result!$H$33</f>
        <v>-29202.099953914716</v>
      </c>
      <c r="N663" s="32">
        <f>+[16]Result!$H$33-[15]Result!$H$33</f>
        <v>717.11773817447829</v>
      </c>
      <c r="O663" s="13">
        <f>+[17]Result!$H$33-[16]Result!$H$33</f>
        <v>1833.9302431738033</v>
      </c>
      <c r="P663" s="13">
        <f>+[18]Result!$H$33-[17]Result!$H$33</f>
        <v>4896.905371892004</v>
      </c>
      <c r="Q663" s="32">
        <f>+[19]Result!$H$33-[18]Result!$H$33</f>
        <v>-351.98138300879509</v>
      </c>
      <c r="R663" s="32">
        <f>+[20]Result!$H$33-[19]Result!$H$33</f>
        <v>65.313247550599044</v>
      </c>
      <c r="S663" s="70">
        <f>+[22]Result!$H$33-[20]Result!$H$33</f>
        <v>799.20554641980561</v>
      </c>
      <c r="AI663" s="73"/>
      <c r="AJ663" s="73"/>
      <c r="AK663" s="73"/>
    </row>
    <row r="664" spans="1:37" hidden="1" outlineLevel="2" x14ac:dyDescent="0.25">
      <c r="A664" s="16" t="s">
        <v>35</v>
      </c>
      <c r="B664" s="13">
        <f>+[1]Result!$H$34-[21]Result!$H$34</f>
        <v>-1586.5174732285086</v>
      </c>
      <c r="C664" s="13">
        <f>+[5]Result!$H$34-[1]Result!$H$34</f>
        <v>2036.1155567458773</v>
      </c>
      <c r="D664" s="32">
        <f>+[6]Result!$H$34-[5]Result!$H$34</f>
        <v>-2486.8605911455234</v>
      </c>
      <c r="E664" s="13">
        <f>+[7]Result!$H$34-[6]Result!$H$34</f>
        <v>2098.3692181468359</v>
      </c>
      <c r="F664" s="13">
        <f>+[8]Result!$H$34-[7]Result!$H$34</f>
        <v>-2388.8557433020324</v>
      </c>
      <c r="G664" s="32">
        <f>+[9]Result!$H$34-[8]Result!$H$34</f>
        <v>2413.8977301685081</v>
      </c>
      <c r="H664" s="13">
        <f>+[10]Result!$H$34-[9]Result!$H$34</f>
        <v>-1208.126603277924</v>
      </c>
      <c r="I664" s="13">
        <f>+[11]Result!$H$34-[10]Result!$H$34</f>
        <v>-1332.3390926229185</v>
      </c>
      <c r="J664" s="32">
        <f>+[12]Result!$H$34-[11]Result!$H$34</f>
        <v>858.27727757766843</v>
      </c>
      <c r="K664" s="13">
        <f>+[13]Result!$H$34-[12]Result!$H$34</f>
        <v>0</v>
      </c>
      <c r="L664" s="13">
        <f>+[14]Result!$H$34-[13]Result!$H$34</f>
        <v>-2688.478239927761</v>
      </c>
      <c r="M664" s="13">
        <f>+[15]Result!$H$34-[14]Result!$H$34</f>
        <v>-21598.822127889522</v>
      </c>
      <c r="N664" s="32">
        <f>+[16]Result!$H$34-[15]Result!$H$34</f>
        <v>759.40295587011497</v>
      </c>
      <c r="O664" s="13">
        <f>+[17]Result!$H$34-[16]Result!$H$34</f>
        <v>1929.8425213973533</v>
      </c>
      <c r="P664" s="13">
        <f>+[18]Result!$H$34-[17]Result!$H$34</f>
        <v>2793.9752725856815</v>
      </c>
      <c r="Q664" s="32">
        <f>+[19]Result!$H$34-[18]Result!$H$34</f>
        <v>-344.22379302603076</v>
      </c>
      <c r="R664" s="32">
        <f>+[20]Result!$H$34-[19]Result!$H$34</f>
        <v>54.07635438728903</v>
      </c>
      <c r="S664" s="70">
        <f>+[22]Result!$H$34-[20]Result!$H$34</f>
        <v>796.78963285875216</v>
      </c>
      <c r="AI664" s="73"/>
      <c r="AJ664" s="73"/>
      <c r="AK664" s="73"/>
    </row>
    <row r="665" spans="1:37" hidden="1" outlineLevel="1" x14ac:dyDescent="0.25">
      <c r="A665" s="15" t="s">
        <v>36</v>
      </c>
      <c r="B665" s="13">
        <f>+'[1]Stat by Mat 2'!$D$7-'[21]Stat by Mat 2'!$D$7</f>
        <v>-3192.0789342161588</v>
      </c>
      <c r="C665" s="13">
        <f>+'[5]Stat by Mat 2'!$D$7-'[1]Stat by Mat 2'!$D$7</f>
        <v>4201.9299382674944</v>
      </c>
      <c r="D665" s="32">
        <f>+'[6]Stat by Mat 2'!$D$7-'[5]Stat by Mat 2'!$D$7</f>
        <v>-6853.7670237294951</v>
      </c>
      <c r="E665" s="13">
        <f>+'[7]Stat by Mat 2'!$D$7-'[6]Stat by Mat 2'!$D$7</f>
        <v>3923.1564950889588</v>
      </c>
      <c r="F665" s="13">
        <f>+'[8]Stat by Mat 2'!$D$7-'[7]Stat by Mat 2'!$D$7</f>
        <v>-4702.4543662545475</v>
      </c>
      <c r="G665" s="32">
        <f>+'[9]Stat by Mat 2'!$D$7-'[8]Stat by Mat 2'!$D$7</f>
        <v>1220.5928194376756</v>
      </c>
      <c r="H665" s="13">
        <f>+'[10]Stat by Mat 2'!$D$7-'[9]Stat by Mat 2'!$D$7</f>
        <v>-2258.7597780274809</v>
      </c>
      <c r="I665" s="13">
        <f>+'[11]Stat by Mat 2'!$D$7-'[10]Stat by Mat 2'!$D$7</f>
        <v>-2599.8328202476841</v>
      </c>
      <c r="J665" s="32">
        <f>+'[12]Stat by Mat 2'!$D$7-'[11]Stat by Mat 2'!$D$7</f>
        <v>4916.4948993867874</v>
      </c>
      <c r="K665" s="13">
        <f>+'[13]Stat by Mat 2'!$D$7-'[12]Stat by Mat 2'!$D$7</f>
        <v>-38.670191473225714</v>
      </c>
      <c r="L665" s="13">
        <f>+'[14]Stat by Mat 2'!$D$7-'[13]Stat by Mat 2'!$D$7</f>
        <v>-5313.0691552429344</v>
      </c>
      <c r="M665" s="13">
        <f>+'[15]Stat by Mat 2'!$D$7-'[14]Stat by Mat 2'!$D$7</f>
        <v>-59486.640573694312</v>
      </c>
      <c r="N665" s="32">
        <f>+'[16]Stat by Mat 2'!$D$7-'[15]Stat by Mat 2'!$D$7</f>
        <v>1119.2981897565187</v>
      </c>
      <c r="O665" s="13">
        <f>+'[17]Stat by Mat 2'!$D$7-'[16]Stat by Mat 2'!$D$7</f>
        <v>2812.3299734786269</v>
      </c>
      <c r="P665" s="13">
        <f>+'[18]Stat by Mat 2'!$D$7-'[17]Stat by Mat 2'!$D$7</f>
        <v>18681.851204543535</v>
      </c>
      <c r="Q665" s="32">
        <f>+'[19]Stat by Mat 2'!$D$7-'[18]Stat by Mat 2'!$D$7</f>
        <v>-593.19793619806296</v>
      </c>
      <c r="R665" s="32">
        <f>+'[20]Stat by Mat 2'!$D$7-'[19]Stat by Mat 2'!$D$7</f>
        <v>49.140782798698638</v>
      </c>
      <c r="S665" s="70">
        <f>+'[22]Stat by Mat 2'!$D$7-'[20]Stat by Mat 2'!$D$7</f>
        <v>1448.0662991035351</v>
      </c>
      <c r="T665" s="13">
        <f>+B665-SUM(B666:B685)</f>
        <v>-1.4097167877480388E-11</v>
      </c>
      <c r="U665" s="13">
        <f t="shared" ref="U665:W665" si="504">+C665-SUM(C666:C685)</f>
        <v>1.6370904631912708E-11</v>
      </c>
      <c r="V665" s="13">
        <f t="shared" si="504"/>
        <v>-9.0949470177292824E-12</v>
      </c>
      <c r="W665" s="13">
        <f t="shared" si="504"/>
        <v>-7.73070496506989E-12</v>
      </c>
      <c r="X665" s="13">
        <f t="shared" ref="X665" si="505">+F665-SUM(F666:F685)</f>
        <v>8.1854523159563541E-12</v>
      </c>
      <c r="Y665" s="13">
        <f t="shared" ref="Y665:AE665" si="506">+G665-SUM(G666:G685)</f>
        <v>-2.9558577807620168E-12</v>
      </c>
      <c r="Z665" s="13">
        <f t="shared" si="506"/>
        <v>7.73070496506989E-12</v>
      </c>
      <c r="AA665" s="13">
        <f t="shared" si="506"/>
        <v>-1.5916157281026244E-11</v>
      </c>
      <c r="AB665" s="13">
        <f t="shared" si="506"/>
        <v>1.3642420526593924E-11</v>
      </c>
      <c r="AC665" s="13">
        <f t="shared" si="506"/>
        <v>2.7995383788947947E-12</v>
      </c>
      <c r="AD665" s="13">
        <f t="shared" si="506"/>
        <v>0</v>
      </c>
      <c r="AE665" s="13">
        <f t="shared" si="506"/>
        <v>0</v>
      </c>
      <c r="AF665" s="13">
        <f t="shared" ref="AF665" si="507">+N665-SUM(N666:N685)</f>
        <v>1.0686562745831907E-11</v>
      </c>
      <c r="AG665" s="13">
        <f t="shared" ref="AG665:AH665" si="508">+O665-SUM(O666:O685)</f>
        <v>-7.2759576141834259E-12</v>
      </c>
      <c r="AH665" s="13">
        <f t="shared" si="508"/>
        <v>0</v>
      </c>
      <c r="AI665" s="73">
        <f t="shared" ref="AI665" si="509">+Q665-SUM(Q666:Q685)</f>
        <v>2.7284841053187847E-12</v>
      </c>
      <c r="AJ665" s="73">
        <f t="shared" ref="AJ665:AK665" si="510">+R665-SUM(R666:R685)</f>
        <v>-9.4786400950397365E-12</v>
      </c>
      <c r="AK665" s="73">
        <f t="shared" si="510"/>
        <v>0</v>
      </c>
    </row>
    <row r="666" spans="1:37" hidden="1" outlineLevel="2" x14ac:dyDescent="0.25">
      <c r="A666" s="16" t="s">
        <v>37</v>
      </c>
      <c r="B666" s="13">
        <f>+[1]Result!$H$35-[21]Result!$H$35</f>
        <v>-915.97012096155959</v>
      </c>
      <c r="C666" s="13">
        <f>+[5]Result!$H$35-[1]Result!$H$35</f>
        <v>1185.4207539378694</v>
      </c>
      <c r="D666" s="32">
        <f>+[6]Result!$H$35-[5]Result!$H$35</f>
        <v>-1715.469620831107</v>
      </c>
      <c r="E666" s="13">
        <f>+[7]Result!$H$35-[6]Result!$H$35</f>
        <v>1175.3557528162346</v>
      </c>
      <c r="F666" s="13">
        <f>+[8]Result!$H$35-[7]Result!$H$35</f>
        <v>-1364.7919959990395</v>
      </c>
      <c r="G666" s="32">
        <f>+[9]Result!$H$35-[8]Result!$H$35</f>
        <v>643.23211578524206</v>
      </c>
      <c r="H666" s="13">
        <f>+[10]Result!$H$35-[9]Result!$H$35</f>
        <v>-668.12563730186957</v>
      </c>
      <c r="I666" s="13">
        <f>+[11]Result!$H$35-[10]Result!$H$35</f>
        <v>-749.26590913358086</v>
      </c>
      <c r="J666" s="32">
        <f>+[12]Result!$H$35-[11]Result!$H$35</f>
        <v>725.75390565404086</v>
      </c>
      <c r="K666" s="13">
        <f>+[13]Result!$H$35-[12]Result!$H$35</f>
        <v>-5.1542847183300182</v>
      </c>
      <c r="L666" s="13">
        <f>+[14]Result!$H$35-[13]Result!$H$35</f>
        <v>-1513.1132978158857</v>
      </c>
      <c r="M666" s="13">
        <f>+[15]Result!$H$35-[14]Result!$H$35</f>
        <v>-13362.855619671267</v>
      </c>
      <c r="N666" s="32">
        <f>+[16]Result!$H$35-[15]Result!$H$35</f>
        <v>400.16832710301242</v>
      </c>
      <c r="O666" s="13">
        <f>+[17]Result!$H$35-[16]Result!$H$35</f>
        <v>1017.2330259356095</v>
      </c>
      <c r="P666" s="13">
        <f>+[18]Result!$H$35-[17]Result!$H$35</f>
        <v>2222.4941300345236</v>
      </c>
      <c r="Q666" s="32">
        <f>+[19]Result!$H$35-[18]Result!$H$35</f>
        <v>-184.16152806574974</v>
      </c>
      <c r="R666" s="32">
        <f>+[20]Result!$H$35-[19]Result!$H$35</f>
        <v>26.695434181128803</v>
      </c>
      <c r="S666" s="70">
        <f>+[22]Result!$H$35-[20]Result!$H$35</f>
        <v>431.61620313142339</v>
      </c>
      <c r="AI666" s="73"/>
      <c r="AJ666" s="73"/>
      <c r="AK666" s="73"/>
    </row>
    <row r="667" spans="1:37" hidden="1" outlineLevel="2" x14ac:dyDescent="0.25">
      <c r="A667" s="16" t="s">
        <v>38</v>
      </c>
      <c r="B667" s="13">
        <f>+[1]Result!$H$36-[21]Result!$H$36</f>
        <v>-564.50519368261303</v>
      </c>
      <c r="C667" s="13">
        <f>+[5]Result!$H$36-[1]Result!$H$36</f>
        <v>737.00134812251781</v>
      </c>
      <c r="D667" s="32">
        <f>+[6]Result!$H$36-[5]Result!$H$36</f>
        <v>-1340.6319760921615</v>
      </c>
      <c r="E667" s="13">
        <f>+[7]Result!$H$36-[6]Result!$H$36</f>
        <v>700.96371712808468</v>
      </c>
      <c r="F667" s="13">
        <f>+[8]Result!$H$36-[7]Result!$H$36</f>
        <v>-827.62752831709804</v>
      </c>
      <c r="G667" s="32">
        <f>+[9]Result!$H$36-[8]Result!$H$36</f>
        <v>52.644456194881059</v>
      </c>
      <c r="H667" s="13">
        <f>+[10]Result!$H$36-[9]Result!$H$36</f>
        <v>-396.88965145298425</v>
      </c>
      <c r="I667" s="13">
        <f>+[11]Result!$H$36-[10]Result!$H$36</f>
        <v>-449.3176202537361</v>
      </c>
      <c r="J667" s="32">
        <f>+[12]Result!$H$36-[11]Result!$H$36</f>
        <v>965.62751363110146</v>
      </c>
      <c r="K667" s="13">
        <f>+[13]Result!$H$36-[12]Result!$H$36</f>
        <v>-6.3451537992878002</v>
      </c>
      <c r="L667" s="13">
        <f>+[14]Result!$H$36-[13]Result!$H$36</f>
        <v>-925.74319775406184</v>
      </c>
      <c r="M667" s="13">
        <f>+[15]Result!$H$36-[14]Result!$H$36</f>
        <v>-10058.436604829807</v>
      </c>
      <c r="N667" s="32">
        <f>+[16]Result!$H$36-[15]Result!$H$36</f>
        <v>204.15929447447343</v>
      </c>
      <c r="O667" s="13">
        <f>+[17]Result!$H$36-[16]Result!$H$36</f>
        <v>513.85936244009281</v>
      </c>
      <c r="P667" s="13">
        <f>+[18]Result!$H$36-[17]Result!$H$36</f>
        <v>2101.7592790734525</v>
      </c>
      <c r="Q667" s="32">
        <f>+[19]Result!$H$36-[18]Result!$H$36</f>
        <v>-99.493841597206483</v>
      </c>
      <c r="R667" s="32">
        <f>+[20]Result!$H$36-[19]Result!$H$36</f>
        <v>13.070735439003329</v>
      </c>
      <c r="S667" s="70">
        <f>+[22]Result!$H$36-[20]Result!$H$36</f>
        <v>236.32814482144749</v>
      </c>
      <c r="AI667" s="73"/>
      <c r="AJ667" s="73"/>
      <c r="AK667" s="73"/>
    </row>
    <row r="668" spans="1:37" hidden="1" outlineLevel="2" x14ac:dyDescent="0.25">
      <c r="A668" s="16" t="s">
        <v>39</v>
      </c>
      <c r="B668" s="13">
        <f>+[1]Result!$H$37-[21]Result!$H$37</f>
        <v>-402.95388173354149</v>
      </c>
      <c r="C668" s="13">
        <f>+[5]Result!$H$37-[1]Result!$H$37</f>
        <v>531.52347072288831</v>
      </c>
      <c r="D668" s="32">
        <f>+[6]Result!$H$37-[5]Result!$H$37</f>
        <v>-885.83691693562287</v>
      </c>
      <c r="E668" s="13">
        <f>+[7]Result!$H$37-[6]Result!$H$37</f>
        <v>493.61467356421781</v>
      </c>
      <c r="F668" s="13">
        <f>+[8]Result!$H$37-[7]Result!$H$37</f>
        <v>-593.59012531315238</v>
      </c>
      <c r="G668" s="32">
        <f>+[9]Result!$H$37-[8]Result!$H$37</f>
        <v>30.58462898270227</v>
      </c>
      <c r="H668" s="13">
        <f>+[10]Result!$H$37-[9]Result!$H$37</f>
        <v>-282.06865388990991</v>
      </c>
      <c r="I668" s="13">
        <f>+[11]Result!$H$37-[10]Result!$H$37</f>
        <v>-325.24280571412237</v>
      </c>
      <c r="J668" s="32">
        <f>+[12]Result!$H$37-[11]Result!$H$37</f>
        <v>1169.3910178190854</v>
      </c>
      <c r="K668" s="13">
        <f>+[13]Result!$H$37-[12]Result!$H$37</f>
        <v>-4.8114577436936088</v>
      </c>
      <c r="L668" s="13">
        <f>+[14]Result!$H$37-[13]Result!$H$37</f>
        <v>-690.06203058070969</v>
      </c>
      <c r="M668" s="13">
        <f>+[15]Result!$H$37-[14]Result!$H$37</f>
        <v>-8541.948816499209</v>
      </c>
      <c r="N668" s="32">
        <f>+[16]Result!$H$37-[15]Result!$H$37</f>
        <v>127.6160581289987</v>
      </c>
      <c r="O668" s="13">
        <f>+[17]Result!$H$37-[16]Result!$H$37</f>
        <v>317.99872957173466</v>
      </c>
      <c r="P668" s="13">
        <f>+[18]Result!$H$37-[17]Result!$H$37</f>
        <v>2046.7019098643214</v>
      </c>
      <c r="Q668" s="32">
        <f>+[19]Result!$H$37-[18]Result!$H$37</f>
        <v>-66.589144946556189</v>
      </c>
      <c r="R668" s="32">
        <f>+[20]Result!$H$37-[19]Result!$H$37</f>
        <v>6.4892111122899223</v>
      </c>
      <c r="S668" s="70">
        <f>+[22]Result!$H$37-[20]Result!$H$37</f>
        <v>161.72154830343061</v>
      </c>
      <c r="AI668" s="73"/>
      <c r="AJ668" s="73"/>
      <c r="AK668" s="73"/>
    </row>
    <row r="669" spans="1:37" hidden="1" outlineLevel="2" x14ac:dyDescent="0.25">
      <c r="A669" s="16" t="s">
        <v>40</v>
      </c>
      <c r="B669" s="13">
        <f>+[1]Result!$H$38-[21]Result!$H$38</f>
        <v>-337.03396929879091</v>
      </c>
      <c r="C669" s="13">
        <f>+[5]Result!$H$38-[1]Result!$H$38</f>
        <v>447.24480527721607</v>
      </c>
      <c r="D669" s="32">
        <f>+[6]Result!$H$38-[5]Result!$H$38</f>
        <v>-652.60616882385148</v>
      </c>
      <c r="E669" s="13">
        <f>+[7]Result!$H$38-[6]Result!$H$38</f>
        <v>413.97433373215972</v>
      </c>
      <c r="F669" s="13">
        <f>+[8]Result!$H$38-[7]Result!$H$38</f>
        <v>-502.26450603695775</v>
      </c>
      <c r="G669" s="32">
        <f>+[9]Result!$H$38-[8]Result!$H$38</f>
        <v>70.267726601636241</v>
      </c>
      <c r="H669" s="13">
        <f>+[10]Result!$H$38-[9]Result!$H$38</f>
        <v>-236.49009084249701</v>
      </c>
      <c r="I669" s="13">
        <f>+[11]Result!$H$38-[10]Result!$H$38</f>
        <v>-277.87341514556465</v>
      </c>
      <c r="J669" s="32">
        <f>+[12]Result!$H$38-[11]Result!$H$38</f>
        <v>588.25092518800011</v>
      </c>
      <c r="K669" s="13">
        <f>+[13]Result!$H$38-[12]Result!$H$38</f>
        <v>-4.0355790885623719</v>
      </c>
      <c r="L669" s="13">
        <f>+[14]Result!$H$38-[13]Result!$H$38</f>
        <v>-568.76293452468235</v>
      </c>
      <c r="M669" s="13">
        <f>+[15]Result!$H$38-[14]Result!$H$38</f>
        <v>-7523.255744740778</v>
      </c>
      <c r="N669" s="32">
        <f>+[16]Result!$H$38-[15]Result!$H$38</f>
        <v>92.323684457922354</v>
      </c>
      <c r="O669" s="13">
        <f>+[17]Result!$H$38-[16]Result!$H$38</f>
        <v>230.04208287038819</v>
      </c>
      <c r="P669" s="13">
        <f>+[18]Result!$H$38-[17]Result!$H$38</f>
        <v>1679.1193178446665</v>
      </c>
      <c r="Q669" s="32">
        <f>+[19]Result!$H$38-[18]Result!$H$38</f>
        <v>-48.785249232716524</v>
      </c>
      <c r="R669" s="32">
        <f>+[20]Result!$H$38-[19]Result!$H$38</f>
        <v>2.9646923761592916</v>
      </c>
      <c r="S669" s="70">
        <f>+[22]Result!$H$38-[20]Result!$H$38</f>
        <v>121.29514841615128</v>
      </c>
      <c r="AI669" s="73"/>
      <c r="AJ669" s="73"/>
      <c r="AK669" s="73"/>
    </row>
    <row r="670" spans="1:37" hidden="1" outlineLevel="2" x14ac:dyDescent="0.25">
      <c r="A670" s="16" t="s">
        <v>41</v>
      </c>
      <c r="B670" s="13">
        <f>+[1]Result!$H$39-[21]Result!$H$39</f>
        <v>-278.03204071817891</v>
      </c>
      <c r="C670" s="13">
        <f>+[5]Result!$H$39-[1]Result!$H$39</f>
        <v>370.68079316481453</v>
      </c>
      <c r="D670" s="32">
        <f>+[6]Result!$H$39-[5]Result!$H$39</f>
        <v>-787.27971648394305</v>
      </c>
      <c r="E670" s="13">
        <f>+[7]Result!$H$39-[6]Result!$H$39</f>
        <v>328.97421759776262</v>
      </c>
      <c r="F670" s="13">
        <f>+[8]Result!$H$39-[7]Result!$H$39</f>
        <v>-401.28720737118783</v>
      </c>
      <c r="G670" s="32">
        <f>+[9]Result!$H$39-[8]Result!$H$39</f>
        <v>-60.100658050931088</v>
      </c>
      <c r="H670" s="13">
        <f>+[10]Result!$H$39-[9]Result!$H$39</f>
        <v>-188.09582713157943</v>
      </c>
      <c r="I670" s="13">
        <f>+[11]Result!$H$39-[10]Result!$H$39</f>
        <v>-220.01448209329465</v>
      </c>
      <c r="J670" s="32">
        <f>+[12]Result!$H$39-[11]Result!$H$39</f>
        <v>271.14818782591465</v>
      </c>
      <c r="K670" s="13">
        <f>+[13]Result!$H$39-[12]Result!$H$39</f>
        <v>-3.1980908296645794</v>
      </c>
      <c r="L670" s="13">
        <f>+[14]Result!$H$39-[13]Result!$H$39</f>
        <v>-441.29962582500957</v>
      </c>
      <c r="M670" s="13">
        <f>+[15]Result!$H$39-[14]Result!$H$39</f>
        <v>-6274.1692602193525</v>
      </c>
      <c r="N670" s="32">
        <f>+[16]Result!$H$39-[15]Result!$H$39</f>
        <v>60.824726538319737</v>
      </c>
      <c r="O670" s="13">
        <f>+[17]Result!$H$39-[16]Result!$H$39</f>
        <v>151.52882332356148</v>
      </c>
      <c r="P670" s="13">
        <f>+[18]Result!$H$39-[17]Result!$H$39</f>
        <v>1335.1836714300671</v>
      </c>
      <c r="Q670" s="32">
        <f>+[19]Result!$H$39-[18]Result!$H$39</f>
        <v>-33.976443471710809</v>
      </c>
      <c r="R670" s="32">
        <f>+[20]Result!$H$39-[19]Result!$H$39</f>
        <v>1.4099589162306074</v>
      </c>
      <c r="S670" s="70">
        <f>+[22]Result!$H$39-[20]Result!$H$39</f>
        <v>84.785219681911258</v>
      </c>
      <c r="AI670" s="73"/>
      <c r="AJ670" s="73"/>
      <c r="AK670" s="73"/>
    </row>
    <row r="671" spans="1:37" hidden="1" outlineLevel="2" x14ac:dyDescent="0.25">
      <c r="A671" s="16" t="s">
        <v>42</v>
      </c>
      <c r="B671" s="13">
        <f>+[1]Result!$H$40-[21]Result!$H$40</f>
        <v>-193.32080423799198</v>
      </c>
      <c r="C671" s="13">
        <f>+[5]Result!$H$40-[1]Result!$H$40</f>
        <v>258.99927513782313</v>
      </c>
      <c r="D671" s="32">
        <f>+[6]Result!$H$40-[5]Result!$H$40</f>
        <v>-490.53646268892589</v>
      </c>
      <c r="E671" s="13">
        <f>+[7]Result!$H$40-[6]Result!$H$40</f>
        <v>226.68423154913944</v>
      </c>
      <c r="F671" s="13">
        <f>+[8]Result!$H$40-[7]Result!$H$40</f>
        <v>-279.53881503124103</v>
      </c>
      <c r="G671" s="32">
        <f>+[9]Result!$H$40-[8]Result!$H$40</f>
        <v>41.145109250925088</v>
      </c>
      <c r="H671" s="13">
        <f>+[10]Result!$H$40-[9]Result!$H$40</f>
        <v>-133.73109802836734</v>
      </c>
      <c r="I671" s="13">
        <f>+[11]Result!$H$40-[10]Result!$H$40</f>
        <v>-155.71985994602983</v>
      </c>
      <c r="J671" s="32">
        <f>+[12]Result!$H$40-[11]Result!$H$40</f>
        <v>385.97665251070066</v>
      </c>
      <c r="K671" s="13">
        <f>+[13]Result!$H$40-[12]Result!$H$40</f>
        <v>-3.583502099794714</v>
      </c>
      <c r="L671" s="13">
        <f>+[14]Result!$H$40-[13]Result!$H$40</f>
        <v>-321.56200796201665</v>
      </c>
      <c r="M671" s="13">
        <f>+[15]Result!$H$40-[14]Result!$H$40</f>
        <v>-5266.2069800434938</v>
      </c>
      <c r="N671" s="32">
        <f>+[16]Result!$H$40-[15]Result!$H$40</f>
        <v>27.477040225577184</v>
      </c>
      <c r="O671" s="13">
        <f>+[17]Result!$H$40-[16]Result!$H$40</f>
        <v>68.440123037040848</v>
      </c>
      <c r="P671" s="13">
        <f>+[18]Result!$H$40-[17]Result!$H$40</f>
        <v>1231.7225446733005</v>
      </c>
      <c r="Q671" s="32">
        <f>+[19]Result!$H$40-[18]Result!$H$40</f>
        <v>-20.501990865952394</v>
      </c>
      <c r="R671" s="32">
        <f>+[20]Result!$H$40-[19]Result!$H$40</f>
        <v>0.86905744329942536</v>
      </c>
      <c r="S671" s="70">
        <f>+[22]Result!$H$40-[20]Result!$H$40</f>
        <v>50.938601193749491</v>
      </c>
      <c r="AI671" s="73"/>
      <c r="AJ671" s="73"/>
      <c r="AK671" s="73"/>
    </row>
    <row r="672" spans="1:37" hidden="1" outlineLevel="2" x14ac:dyDescent="0.25">
      <c r="A672" s="16" t="s">
        <v>43</v>
      </c>
      <c r="B672" s="13">
        <f>+[1]Result!$H$41-[21]Result!$H$41</f>
        <v>-142.26987574846316</v>
      </c>
      <c r="C672" s="13">
        <f>+[5]Result!$H$41-[1]Result!$H$41</f>
        <v>190.59859125825642</v>
      </c>
      <c r="D672" s="32">
        <f>+[6]Result!$H$41-[5]Result!$H$41</f>
        <v>-278.88746168031867</v>
      </c>
      <c r="E672" s="13">
        <f>+[7]Result!$H$41-[6]Result!$H$41</f>
        <v>167.39180851855599</v>
      </c>
      <c r="F672" s="13">
        <f>+[8]Result!$H$41-[7]Result!$H$41</f>
        <v>-208.5835811885263</v>
      </c>
      <c r="G672" s="32">
        <f>+[9]Result!$H$41-[8]Result!$H$41</f>
        <v>81.673952742594338</v>
      </c>
      <c r="H672" s="13">
        <f>+[10]Result!$H$41-[9]Result!$H$41</f>
        <v>-100.32236729875694</v>
      </c>
      <c r="I672" s="13">
        <f>+[11]Result!$H$41-[10]Result!$H$41</f>
        <v>-118.18864669195136</v>
      </c>
      <c r="J672" s="32">
        <f>+[12]Result!$H$41-[11]Result!$H$41</f>
        <v>451.82310019517172</v>
      </c>
      <c r="K672" s="13">
        <f>+[13]Result!$H$41-[12]Result!$H$41</f>
        <v>-2.8308410196186742</v>
      </c>
      <c r="L672" s="13">
        <f>+[14]Result!$H$41-[13]Result!$H$41</f>
        <v>-250.93011043412116</v>
      </c>
      <c r="M672" s="13">
        <f>+[15]Result!$H$41-[14]Result!$H$41</f>
        <v>-4612.6632796108506</v>
      </c>
      <c r="N672" s="32">
        <f>+[16]Result!$H$41-[15]Result!$H$41</f>
        <v>8.5664021743104968</v>
      </c>
      <c r="O672" s="13">
        <f>+[17]Result!$H$41-[16]Result!$H$41</f>
        <v>21.331171441823471</v>
      </c>
      <c r="P672" s="13">
        <f>+[18]Result!$H$41-[17]Result!$H$41</f>
        <v>1149.6764787641278</v>
      </c>
      <c r="Q672" s="32">
        <f>+[19]Result!$H$41-[18]Result!$H$41</f>
        <v>-12.458579089375689</v>
      </c>
      <c r="R672" s="32">
        <f>+[20]Result!$H$41-[19]Result!$H$41</f>
        <v>0.27336502210800973</v>
      </c>
      <c r="S672" s="70">
        <f>+[22]Result!$H$41-[20]Result!$H$41</f>
        <v>31.777222937608713</v>
      </c>
      <c r="AI672" s="73"/>
      <c r="AJ672" s="73"/>
      <c r="AK672" s="73"/>
    </row>
    <row r="673" spans="1:37" hidden="1" outlineLevel="2" x14ac:dyDescent="0.25">
      <c r="A673" s="16" t="s">
        <v>44</v>
      </c>
      <c r="B673" s="13">
        <f>+[1]Result!$H$42-[21]Result!$H$42</f>
        <v>-110.9829419382404</v>
      </c>
      <c r="C673" s="13">
        <f>+[5]Result!$H$42-[1]Result!$H$42</f>
        <v>148.69637570426312</v>
      </c>
      <c r="D673" s="32">
        <f>+[6]Result!$H$42-[5]Result!$H$42</f>
        <v>-112.54797421841795</v>
      </c>
      <c r="E673" s="13">
        <f>+[7]Result!$H$42-[6]Result!$H$42</f>
        <v>133.08840338309528</v>
      </c>
      <c r="F673" s="13">
        <f>+[8]Result!$H$42-[7]Result!$H$42</f>
        <v>-166.75433650403829</v>
      </c>
      <c r="G673" s="32">
        <f>+[9]Result!$H$42-[8]Result!$H$42</f>
        <v>129.2163507268815</v>
      </c>
      <c r="H673" s="13">
        <f>+[10]Result!$H$42-[9]Result!$H$42</f>
        <v>-81.087547214126971</v>
      </c>
      <c r="I673" s="13">
        <f>+[11]Result!$H$42-[10]Result!$H$42</f>
        <v>-96.684211373780272</v>
      </c>
      <c r="J673" s="32">
        <f>+[12]Result!$H$42-[11]Result!$H$42</f>
        <v>485.96123894619632</v>
      </c>
      <c r="K673" s="13">
        <f>+[13]Result!$H$42-[12]Result!$H$42</f>
        <v>-2.4308995318515372</v>
      </c>
      <c r="L673" s="13">
        <f>+[14]Result!$H$42-[13]Result!$H$42</f>
        <v>-210.29029346997049</v>
      </c>
      <c r="M673" s="13">
        <f>+[15]Result!$H$42-[14]Result!$H$42</f>
        <v>-4044.161404506714</v>
      </c>
      <c r="N673" s="32">
        <f>+[16]Result!$H$42-[15]Result!$H$42</f>
        <v>2.1583921479289927</v>
      </c>
      <c r="O673" s="13">
        <f>+[17]Result!$H$42-[16]Result!$H$42</f>
        <v>5.3139724624184055</v>
      </c>
      <c r="P673" s="13">
        <f>+[18]Result!$H$42-[17]Result!$H$42</f>
        <v>1162.2410590726172</v>
      </c>
      <c r="Q673" s="32">
        <f>+[19]Result!$H$42-[18]Result!$H$42</f>
        <v>-10.238025224808098</v>
      </c>
      <c r="R673" s="32">
        <f>+[20]Result!$H$42-[19]Result!$H$42</f>
        <v>0</v>
      </c>
      <c r="S673" s="70">
        <f>+[22]Result!$H$42-[20]Result!$H$42</f>
        <v>26.46507403915939</v>
      </c>
      <c r="AI673" s="73"/>
      <c r="AJ673" s="73"/>
      <c r="AK673" s="73"/>
    </row>
    <row r="674" spans="1:37" hidden="1" outlineLevel="2" x14ac:dyDescent="0.25">
      <c r="A674" s="16" t="s">
        <v>45</v>
      </c>
      <c r="B674" s="13">
        <f>+[1]Result!$H$43-[21]Result!$H$43</f>
        <v>-101.02979553875321</v>
      </c>
      <c r="C674" s="13">
        <f>+[5]Result!$H$43-[1]Result!$H$43</f>
        <v>135.35667317022398</v>
      </c>
      <c r="D674" s="32">
        <f>+[6]Result!$H$43-[5]Result!$H$43</f>
        <v>-79.122191136681067</v>
      </c>
      <c r="E674" s="13">
        <f>+[7]Result!$H$43-[6]Result!$H$43</f>
        <v>121.63768930824153</v>
      </c>
      <c r="F674" s="13">
        <f>+[8]Result!$H$43-[7]Result!$H$43</f>
        <v>-153.10953139559479</v>
      </c>
      <c r="G674" s="32">
        <f>+[9]Result!$H$43-[8]Result!$H$43</f>
        <v>56.824811772165958</v>
      </c>
      <c r="H674" s="13">
        <f>+[10]Result!$H$43-[9]Result!$H$43</f>
        <v>-73.169359644454744</v>
      </c>
      <c r="I674" s="13">
        <f>+[11]Result!$H$43-[10]Result!$H$43</f>
        <v>-87.52043466149189</v>
      </c>
      <c r="J674" s="32">
        <f>+[12]Result!$H$43-[11]Result!$H$43</f>
        <v>138.81617390539577</v>
      </c>
      <c r="K674" s="13">
        <f>+[13]Result!$H$43-[12]Result!$H$43</f>
        <v>-2.7439121107472602</v>
      </c>
      <c r="L674" s="13">
        <f>+[14]Result!$H$43-[13]Result!$H$43</f>
        <v>-174.46405235879047</v>
      </c>
      <c r="M674" s="13">
        <f>+[15]Result!$H$43-[14]Result!$H$43</f>
        <v>-3434.6550435536324</v>
      </c>
      <c r="N674" s="32">
        <f>+[16]Result!$H$43-[15]Result!$H$43</f>
        <v>-0.40032723973632756</v>
      </c>
      <c r="O674" s="13">
        <f>+[17]Result!$H$43-[16]Result!$H$43</f>
        <v>-0.98520410426701943</v>
      </c>
      <c r="P674" s="13">
        <f>+[18]Result!$H$43-[17]Result!$H$43</f>
        <v>841.22890819666736</v>
      </c>
      <c r="Q674" s="32">
        <f>+[19]Result!$H$43-[18]Result!$H$43</f>
        <v>-6.7187059474249509</v>
      </c>
      <c r="R674" s="32">
        <f>+[20]Result!$H$43-[19]Result!$H$43</f>
        <v>0</v>
      </c>
      <c r="S674" s="70">
        <f>+[22]Result!$H$43-[20]Result!$H$43</f>
        <v>17.301171022405924</v>
      </c>
      <c r="AI674" s="73"/>
      <c r="AJ674" s="73"/>
      <c r="AK674" s="73"/>
    </row>
    <row r="675" spans="1:37" hidden="1" outlineLevel="2" x14ac:dyDescent="0.25">
      <c r="A675" s="16" t="s">
        <v>46</v>
      </c>
      <c r="B675" s="13">
        <f>+[1]Result!$H$44-[21]Result!$H$44</f>
        <v>-82.304715703645343</v>
      </c>
      <c r="C675" s="13">
        <f>+[5]Result!$H$44-[1]Result!$H$44</f>
        <v>110.27693698043822</v>
      </c>
      <c r="D675" s="32">
        <f>+[6]Result!$H$44-[5]Result!$H$44</f>
        <v>-323.11420648691728</v>
      </c>
      <c r="E675" s="13">
        <f>+[7]Result!$H$44-[6]Result!$H$44</f>
        <v>90.070619668133077</v>
      </c>
      <c r="F675" s="13">
        <f>+[8]Result!$H$44-[7]Result!$H$44</f>
        <v>-113.92009282065919</v>
      </c>
      <c r="G675" s="32">
        <f>+[9]Result!$H$44-[8]Result!$H$44</f>
        <v>94.600453427413413</v>
      </c>
      <c r="H675" s="13">
        <f>+[10]Result!$H$44-[9]Result!$H$44</f>
        <v>-54.948277455335301</v>
      </c>
      <c r="I675" s="13">
        <f>+[11]Result!$H$44-[10]Result!$H$44</f>
        <v>-66.58877240754191</v>
      </c>
      <c r="J675" s="32">
        <f>+[12]Result!$H$44-[11]Result!$H$44</f>
        <v>-154.32413376384011</v>
      </c>
      <c r="K675" s="13">
        <f>+[13]Result!$H$44-[12]Result!$H$44</f>
        <v>-1.9171694480573933</v>
      </c>
      <c r="L675" s="13">
        <f>+[14]Result!$H$44-[13]Result!$H$44</f>
        <v>-119.55012472449835</v>
      </c>
      <c r="M675" s="13">
        <f>+[15]Result!$H$44-[14]Result!$H$44</f>
        <v>-2418.7133115438778</v>
      </c>
      <c r="N675" s="32">
        <f>+[16]Result!$H$44-[15]Result!$H$44</f>
        <v>-2.217593906350686</v>
      </c>
      <c r="O675" s="13">
        <f>+[17]Result!$H$44-[16]Result!$H$44</f>
        <v>-5.5160291461604913</v>
      </c>
      <c r="P675" s="13">
        <f>+[18]Result!$H$44-[17]Result!$H$44</f>
        <v>697.50632433835381</v>
      </c>
      <c r="Q675" s="32">
        <f>+[19]Result!$H$44-[18]Result!$H$44</f>
        <v>-4.9023590791400693</v>
      </c>
      <c r="R675" s="32">
        <f>+[20]Result!$H$44-[19]Result!$H$44</f>
        <v>0</v>
      </c>
      <c r="S675" s="70">
        <f>+[22]Result!$H$44-[20]Result!$H$44</f>
        <v>12.570281749515971</v>
      </c>
      <c r="AI675" s="73"/>
      <c r="AJ675" s="73"/>
      <c r="AK675" s="73"/>
    </row>
    <row r="676" spans="1:37" hidden="1" outlineLevel="2" x14ac:dyDescent="0.25">
      <c r="A676" s="16" t="s">
        <v>47</v>
      </c>
      <c r="B676" s="13">
        <f>+[1]Result!$H$45-[21]Result!$H$45</f>
        <v>-33.357530490768568</v>
      </c>
      <c r="C676" s="13">
        <f>+[5]Result!$H$45-[1]Result!$H$45</f>
        <v>45.018892916835284</v>
      </c>
      <c r="D676" s="32">
        <f>+[6]Result!$H$45-[5]Result!$H$45</f>
        <v>-110.20719194415824</v>
      </c>
      <c r="E676" s="13">
        <f>+[7]Result!$H$45-[6]Result!$H$45</f>
        <v>37.16424979282192</v>
      </c>
      <c r="F676" s="13">
        <f>+[8]Result!$H$45-[7]Result!$H$45</f>
        <v>-47.303335311383307</v>
      </c>
      <c r="G676" s="32">
        <f>+[9]Result!$H$45-[8]Result!$H$45</f>
        <v>44.722383169935256</v>
      </c>
      <c r="H676" s="13">
        <f>+[10]Result!$H$45-[9]Result!$H$45</f>
        <v>-22.79689467081198</v>
      </c>
      <c r="I676" s="13">
        <f>+[11]Result!$H$45-[10]Result!$H$45</f>
        <v>-27.783648777673534</v>
      </c>
      <c r="J676" s="32">
        <f>+[12]Result!$H$45-[11]Result!$H$45</f>
        <v>-67.327269718133266</v>
      </c>
      <c r="K676" s="13">
        <f>+[13]Result!$H$45-[12]Result!$H$45</f>
        <v>-0.81660040034103076</v>
      </c>
      <c r="L676" s="13">
        <f>+[14]Result!$H$45-[13]Result!$H$45</f>
        <v>-50.115002343836977</v>
      </c>
      <c r="M676" s="13">
        <f>+[15]Result!$H$45-[14]Result!$H$45</f>
        <v>3741.5468776040498</v>
      </c>
      <c r="N676" s="32">
        <f>+[16]Result!$H$45-[15]Result!$H$45</f>
        <v>117.28009063326135</v>
      </c>
      <c r="O676" s="13">
        <f>+[17]Result!$H$45-[16]Result!$H$45</f>
        <v>291.57308811889743</v>
      </c>
      <c r="P676" s="13">
        <f>+[18]Result!$H$45-[17]Result!$H$45</f>
        <v>1997.0538287920408</v>
      </c>
      <c r="Q676" s="32">
        <f>+[19]Result!$H$45-[18]Result!$H$45</f>
        <v>-58.144688368003699</v>
      </c>
      <c r="R676" s="32">
        <f>+[20]Result!$H$45-[19]Result!$H$45</f>
        <v>-1.4208633850321348</v>
      </c>
      <c r="S676" s="70">
        <f>+[22]Result!$H$45-[20]Result!$H$45</f>
        <v>151.32426337312791</v>
      </c>
      <c r="AI676" s="73"/>
      <c r="AJ676" s="73"/>
      <c r="AK676" s="73"/>
    </row>
    <row r="677" spans="1:37" hidden="1" outlineLevel="2" x14ac:dyDescent="0.25">
      <c r="A677" s="16" t="s">
        <v>48</v>
      </c>
      <c r="B677" s="13">
        <f>+[1]Result!$H$46-[21]Result!$H$46</f>
        <v>-13.894982076528095</v>
      </c>
      <c r="C677" s="13">
        <f>+[5]Result!$H$46-[1]Result!$H$46</f>
        <v>18.859308991899752</v>
      </c>
      <c r="D677" s="32">
        <f>+[6]Result!$H$46-[5]Result!$H$46</f>
        <v>-39.185894320342641</v>
      </c>
      <c r="E677" s="13">
        <f>+[7]Result!$H$46-[6]Result!$H$46</f>
        <v>15.664639837346044</v>
      </c>
      <c r="F677" s="13">
        <f>+[8]Result!$H$46-[7]Result!$H$46</f>
        <v>-19.948404220130328</v>
      </c>
      <c r="G677" s="32">
        <f>+[9]Result!$H$46-[8]Result!$H$46</f>
        <v>19.21400280642456</v>
      </c>
      <c r="H677" s="13">
        <f>+[10]Result!$H$46-[9]Result!$H$46</f>
        <v>-9.6589232302846995</v>
      </c>
      <c r="I677" s="13">
        <f>+[11]Result!$H$46-[10]Result!$H$46</f>
        <v>-11.723944012666607</v>
      </c>
      <c r="J677" s="32">
        <f>+[12]Result!$H$46-[11]Result!$H$46</f>
        <v>-22.561900078352664</v>
      </c>
      <c r="K677" s="13">
        <f>+[13]Result!$H$46-[12]Result!$H$46</f>
        <v>-0.35777478237196192</v>
      </c>
      <c r="L677" s="13">
        <f>+[14]Result!$H$46-[13]Result!$H$46</f>
        <v>-21.518801613126016</v>
      </c>
      <c r="M677" s="13">
        <f>+[15]Result!$H$46-[14]Result!$H$46</f>
        <v>1380.3499861140031</v>
      </c>
      <c r="N677" s="32">
        <f>+[16]Result!$H$46-[15]Result!$H$46</f>
        <v>45.021933717610864</v>
      </c>
      <c r="O677" s="13">
        <f>+[17]Result!$H$46-[16]Result!$H$46</f>
        <v>111.87105877709337</v>
      </c>
      <c r="P677" s="13">
        <f>+[18]Result!$H$46-[17]Result!$H$46</f>
        <v>1415.0586061815561</v>
      </c>
      <c r="Q677" s="32">
        <f>+[19]Result!$H$46-[18]Result!$H$46</f>
        <v>-27.488354903303843</v>
      </c>
      <c r="R677" s="32">
        <f>+[20]Result!$H$46-[19]Result!$H$46</f>
        <v>-0.68050340023091849</v>
      </c>
      <c r="S677" s="70">
        <f>+[22]Result!$H$46-[20]Result!$H$46</f>
        <v>71.929810620119497</v>
      </c>
      <c r="AI677" s="73"/>
      <c r="AJ677" s="73"/>
      <c r="AK677" s="73"/>
    </row>
    <row r="678" spans="1:37" hidden="1" outlineLevel="2" x14ac:dyDescent="0.25">
      <c r="A678" s="16" t="s">
        <v>49</v>
      </c>
      <c r="B678" s="13">
        <f>+[1]Result!$H$47-[21]Result!$H$47</f>
        <v>-7.1578013810970447</v>
      </c>
      <c r="C678" s="13">
        <f>+[5]Result!$H$47-[1]Result!$H$47</f>
        <v>9.6989450542378677</v>
      </c>
      <c r="D678" s="32">
        <f>+[6]Result!$H$47-[5]Result!$H$47</f>
        <v>-15.631218022286873</v>
      </c>
      <c r="E678" s="13">
        <f>+[7]Result!$H$47-[6]Result!$H$47</f>
        <v>8.1865487727846471</v>
      </c>
      <c r="F678" s="13">
        <f>+[8]Result!$H$47-[7]Result!$H$47</f>
        <v>-10.417306977697194</v>
      </c>
      <c r="G678" s="32">
        <f>+[9]Result!$H$47-[8]Result!$H$47</f>
        <v>7.5770873491677548</v>
      </c>
      <c r="H678" s="13">
        <f>+[10]Result!$H$47-[9]Result!$H$47</f>
        <v>-4.9908067038945774</v>
      </c>
      <c r="I678" s="13">
        <f>+[11]Result!$H$47-[10]Result!$H$47</f>
        <v>-6.0815402053523258</v>
      </c>
      <c r="J678" s="32">
        <f>+[12]Result!$H$47-[11]Result!$H$47</f>
        <v>-9.0687070109560182</v>
      </c>
      <c r="K678" s="13">
        <f>+[13]Result!$H$47-[12]Result!$H$47</f>
        <v>-0.19078299054490344</v>
      </c>
      <c r="L678" s="13">
        <f>+[14]Result!$H$47-[13]Result!$H$47</f>
        <v>-11.242096842401736</v>
      </c>
      <c r="M678" s="13">
        <f>+[15]Result!$H$47-[14]Result!$H$47</f>
        <v>506.48355297296717</v>
      </c>
      <c r="N678" s="32">
        <f>+[16]Result!$H$47-[15]Result!$H$47</f>
        <v>18.396467645453185</v>
      </c>
      <c r="O678" s="13">
        <f>+[17]Result!$H$47-[16]Result!$H$47</f>
        <v>45.305417272016939</v>
      </c>
      <c r="P678" s="13">
        <f>+[18]Result!$H$47-[17]Result!$H$47</f>
        <v>511.06149322155306</v>
      </c>
      <c r="Q678" s="32">
        <f>+[19]Result!$H$47-[18]Result!$H$47</f>
        <v>-10.838267770599032</v>
      </c>
      <c r="R678" s="32">
        <f>+[20]Result!$H$47-[19]Result!$H$47</f>
        <v>-0.27109376396856533</v>
      </c>
      <c r="S678" s="70">
        <f>+[22]Result!$H$47-[20]Result!$H$47</f>
        <v>27.539491433176863</v>
      </c>
      <c r="AI678" s="73"/>
      <c r="AJ678" s="73"/>
      <c r="AK678" s="73"/>
    </row>
    <row r="679" spans="1:37" hidden="1" outlineLevel="2" x14ac:dyDescent="0.25">
      <c r="A679" s="16" t="s">
        <v>50</v>
      </c>
      <c r="B679" s="13">
        <f>+[1]Result!$H$48-[21]Result!$H$48</f>
        <v>-4.3083191713114957</v>
      </c>
      <c r="C679" s="13">
        <f>+[5]Result!$H$48-[1]Result!$H$48</f>
        <v>5.8395310066472348</v>
      </c>
      <c r="D679" s="32">
        <f>+[6]Result!$H$48-[5]Result!$H$48</f>
        <v>-11.050202434091148</v>
      </c>
      <c r="E679" s="13">
        <f>+[7]Result!$H$48-[6]Result!$H$48</f>
        <v>4.8244394883142832</v>
      </c>
      <c r="F679" s="13">
        <f>+[8]Result!$H$48-[7]Result!$H$48</f>
        <v>-6.1821396906901214</v>
      </c>
      <c r="G679" s="32">
        <f>+[9]Result!$H$48-[8]Result!$H$48</f>
        <v>3.2113369466601398</v>
      </c>
      <c r="H679" s="13">
        <f>+[10]Result!$H$48-[9]Result!$H$48</f>
        <v>-2.9484114270443911</v>
      </c>
      <c r="I679" s="13">
        <f>+[11]Result!$H$48-[10]Result!$H$48</f>
        <v>-3.6074731915517759</v>
      </c>
      <c r="J679" s="32">
        <f>+[12]Result!$H$48-[11]Result!$H$48</f>
        <v>-5.415397474548115</v>
      </c>
      <c r="K679" s="13">
        <f>+[13]Result!$H$48-[12]Result!$H$48</f>
        <v>-0.1150025324584476</v>
      </c>
      <c r="L679" s="13">
        <f>+[14]Result!$H$48-[13]Result!$H$48</f>
        <v>-6.6636516471460538</v>
      </c>
      <c r="M679" s="13">
        <f>+[15]Result!$H$48-[14]Result!$H$48</f>
        <v>227.55948990808807</v>
      </c>
      <c r="N679" s="32">
        <f>+[16]Result!$H$48-[15]Result!$H$48</f>
        <v>9.086990190753113</v>
      </c>
      <c r="O679" s="13">
        <f>+[17]Result!$H$48-[16]Result!$H$48</f>
        <v>22.445832883438584</v>
      </c>
      <c r="P679" s="13">
        <f>+[18]Result!$H$48-[17]Result!$H$48</f>
        <v>160.53791885912585</v>
      </c>
      <c r="Q679" s="32">
        <f>+[19]Result!$H$48-[18]Result!$H$48</f>
        <v>-4.6730335709903557</v>
      </c>
      <c r="R679" s="32">
        <f>+[20]Result!$H$48-[19]Result!$H$48</f>
        <v>-0.11579140499725327</v>
      </c>
      <c r="S679" s="70">
        <f>+[22]Result!$H$48-[20]Result!$H$48</f>
        <v>11.638022197620103</v>
      </c>
      <c r="AI679" s="73"/>
      <c r="AJ679" s="73"/>
      <c r="AK679" s="73"/>
    </row>
    <row r="680" spans="1:37" hidden="1" outlineLevel="2" x14ac:dyDescent="0.25">
      <c r="A680" s="16" t="s">
        <v>51</v>
      </c>
      <c r="B680" s="13">
        <f>+[1]Result!$H$49-[21]Result!$H$49</f>
        <v>-2.4253542125675835</v>
      </c>
      <c r="C680" s="13">
        <f>+[5]Result!$H$49-[1]Result!$H$49</f>
        <v>3.2880912074064668</v>
      </c>
      <c r="D680" s="32">
        <f>+[6]Result!$H$49-[5]Result!$H$49</f>
        <v>-5.2835305204798999</v>
      </c>
      <c r="E680" s="13">
        <f>+[7]Result!$H$49-[6]Result!$H$49</f>
        <v>2.7377737647897789</v>
      </c>
      <c r="F680" s="13">
        <f>+[8]Result!$H$49-[7]Result!$H$49</f>
        <v>-3.5108932908897827</v>
      </c>
      <c r="G680" s="32">
        <f>+[9]Result!$H$49-[8]Result!$H$49</f>
        <v>2.4264125374871526</v>
      </c>
      <c r="H680" s="13">
        <f>+[10]Result!$H$49-[9]Result!$H$49</f>
        <v>-1.6940671774536611</v>
      </c>
      <c r="I680" s="13">
        <f>+[11]Result!$H$49-[10]Result!$H$49</f>
        <v>-2.0639643709447739</v>
      </c>
      <c r="J680" s="32">
        <f>+[12]Result!$H$49-[11]Result!$H$49</f>
        <v>-2.9034594216524283</v>
      </c>
      <c r="K680" s="13">
        <f>+[13]Result!$H$49-[12]Result!$H$49</f>
        <v>-6.7683769221844159E-2</v>
      </c>
      <c r="L680" s="13">
        <f>+[14]Result!$H$49-[13]Result!$H$49</f>
        <v>-3.8393127742126012</v>
      </c>
      <c r="M680" s="13">
        <f>+[15]Result!$H$49-[14]Result!$H$49</f>
        <v>116.40651386555837</v>
      </c>
      <c r="N680" s="32">
        <f>+[16]Result!$H$49-[15]Result!$H$49</f>
        <v>4.8825294194238609</v>
      </c>
      <c r="O680" s="13">
        <f>+[17]Result!$H$49-[16]Result!$H$49</f>
        <v>12.094712224984164</v>
      </c>
      <c r="P680" s="13">
        <f>+[18]Result!$H$49-[17]Result!$H$49</f>
        <v>62.786187121068053</v>
      </c>
      <c r="Q680" s="32">
        <f>+[19]Result!$H$49-[18]Result!$H$49</f>
        <v>-2.2946287322539547</v>
      </c>
      <c r="R680" s="32">
        <f>+[20]Result!$H$49-[19]Result!$H$49</f>
        <v>-5.8805549963949488E-2</v>
      </c>
      <c r="S680" s="70">
        <f>+[22]Result!$H$49-[20]Result!$H$49</f>
        <v>5.803643982717233</v>
      </c>
      <c r="AI680" s="73"/>
      <c r="AJ680" s="73"/>
      <c r="AK680" s="73"/>
    </row>
    <row r="681" spans="1:37" hidden="1" outlineLevel="2" x14ac:dyDescent="0.25">
      <c r="A681" s="16" t="s">
        <v>52</v>
      </c>
      <c r="B681" s="13">
        <f>+[1]Result!$H$50-[21]Result!$H$50</f>
        <v>-1.3502141518874708</v>
      </c>
      <c r="C681" s="13">
        <f>+[5]Result!$H$50-[1]Result!$H$50</f>
        <v>1.8273055826787328</v>
      </c>
      <c r="D681" s="32">
        <f>+[6]Result!$H$50-[5]Result!$H$50</f>
        <v>-3.0707174506034676</v>
      </c>
      <c r="E681" s="13">
        <f>+[7]Result!$H$50-[6]Result!$H$50</f>
        <v>1.5122165925232167</v>
      </c>
      <c r="F681" s="13">
        <f>+[8]Result!$H$50-[7]Result!$H$50</f>
        <v>-1.9379371280291764</v>
      </c>
      <c r="G681" s="32">
        <f>+[9]Result!$H$50-[8]Result!$H$50</f>
        <v>1.3929625142188229</v>
      </c>
      <c r="H681" s="13">
        <f>+[10]Result!$H$50-[9]Result!$H$50</f>
        <v>-0.92535903361144278</v>
      </c>
      <c r="I681" s="13">
        <f>+[11]Result!$H$50-[10]Result!$H$50</f>
        <v>-1.1451005660097024</v>
      </c>
      <c r="J681" s="32">
        <f>+[12]Result!$H$50-[11]Result!$H$50</f>
        <v>-2.0417582877547602</v>
      </c>
      <c r="K681" s="13">
        <f>+[13]Result!$H$50-[12]Result!$H$50</f>
        <v>-3.781173032960794E-2</v>
      </c>
      <c r="L681" s="13">
        <f>+[14]Result!$H$50-[13]Result!$H$50</f>
        <v>-2.0988626935527179</v>
      </c>
      <c r="M681" s="13">
        <f>+[15]Result!$H$50-[14]Result!$H$50</f>
        <v>57.715879797366114</v>
      </c>
      <c r="N681" s="32">
        <f>+[16]Result!$H$50-[15]Result!$H$50</f>
        <v>2.527549214797375</v>
      </c>
      <c r="O681" s="13">
        <f>+[17]Result!$H$50-[16]Result!$H$50</f>
        <v>6.2564330380970432</v>
      </c>
      <c r="P681" s="13">
        <f>+[18]Result!$H$50-[17]Result!$H$50</f>
        <v>32.07633515981513</v>
      </c>
      <c r="Q681" s="32">
        <f>+[19]Result!$H$50-[18]Result!$H$50</f>
        <v>-1.1447910269971828</v>
      </c>
      <c r="R681" s="32">
        <f>+[20]Result!$H$50-[19]Result!$H$50</f>
        <v>-6.1610359637739975E-2</v>
      </c>
      <c r="S681" s="70">
        <f>+[22]Result!$H$50-[20]Result!$H$50</f>
        <v>2.9891581438161552</v>
      </c>
      <c r="AI681" s="73"/>
      <c r="AJ681" s="73"/>
      <c r="AK681" s="73"/>
    </row>
    <row r="682" spans="1:37" hidden="1" outlineLevel="2" x14ac:dyDescent="0.25">
      <c r="A682" s="16" t="s">
        <v>53</v>
      </c>
      <c r="B682" s="13">
        <f>+[1]Result!$H$51-[21]Result!$H$51</f>
        <v>-0.70705197159207955</v>
      </c>
      <c r="C682" s="13">
        <f>+[5]Result!$H$51-[1]Result!$H$51</f>
        <v>0.9570878092965529</v>
      </c>
      <c r="D682" s="32">
        <f>+[6]Result!$H$51-[5]Result!$H$51</f>
        <v>-1.5555116354630698</v>
      </c>
      <c r="E682" s="13">
        <f>+[7]Result!$H$51-[6]Result!$H$51</f>
        <v>0.7962966396225184</v>
      </c>
      <c r="F682" s="13">
        <f>+[8]Result!$H$51-[7]Result!$H$51</f>
        <v>-1.0251442858579694</v>
      </c>
      <c r="G682" s="32">
        <f>+[9]Result!$H$51-[8]Result!$H$51</f>
        <v>1.0027937305314367</v>
      </c>
      <c r="H682" s="13">
        <f>+[10]Result!$H$51-[9]Result!$H$51</f>
        <v>-0.49177903438126691</v>
      </c>
      <c r="I682" s="13">
        <f>+[11]Result!$H$51-[10]Result!$H$51</f>
        <v>-0.61137959788338492</v>
      </c>
      <c r="J682" s="32">
        <f>+[12]Result!$H$51-[11]Result!$H$51</f>
        <v>-1.4284901727844428</v>
      </c>
      <c r="K682" s="13">
        <f>+[13]Result!$H$51-[12]Result!$H$51</f>
        <v>-2.0234563117220716E-2</v>
      </c>
      <c r="L682" s="13">
        <f>+[14]Result!$H$51-[13]Result!$H$51</f>
        <v>-1.1033849720659745</v>
      </c>
      <c r="M682" s="13">
        <f>+[15]Result!$H$51-[14]Result!$H$51</f>
        <v>21.615476684480193</v>
      </c>
      <c r="N682" s="32">
        <f>+[16]Result!$H$51-[15]Result!$H$51</f>
        <v>1.1050444182023966</v>
      </c>
      <c r="O682" s="13">
        <f>+[17]Result!$H$51-[16]Result!$H$51</f>
        <v>2.7433900752806579</v>
      </c>
      <c r="P682" s="13">
        <f>+[18]Result!$H$51-[17]Result!$H$51</f>
        <v>19.31034890143323</v>
      </c>
      <c r="Q682" s="32">
        <f>+[19]Result!$H$51-[18]Result!$H$51</f>
        <v>-0.53970038983533186</v>
      </c>
      <c r="R682" s="32">
        <f>+[20]Result!$H$51-[19]Result!$H$51</f>
        <v>-1.4883587120252173E-2</v>
      </c>
      <c r="S682" s="70">
        <f>+[22]Result!$H$51-[20]Result!$H$51</f>
        <v>1.4032058471134405</v>
      </c>
      <c r="AI682" s="73"/>
      <c r="AJ682" s="73"/>
      <c r="AK682" s="73"/>
    </row>
    <row r="683" spans="1:37" hidden="1" outlineLevel="2" x14ac:dyDescent="0.25">
      <c r="A683" s="16" t="s">
        <v>54</v>
      </c>
      <c r="B683" s="13">
        <f>+[1]Result!$H$52-[21]Result!$H$52</f>
        <v>-0.32201323376088808</v>
      </c>
      <c r="C683" s="13">
        <f>+[5]Result!$H$52-[1]Result!$H$52</f>
        <v>0.43599264127897897</v>
      </c>
      <c r="D683" s="32">
        <f>+[6]Result!$H$52-[5]Result!$H$52</f>
        <v>-1.0564014643651625</v>
      </c>
      <c r="E683" s="13">
        <f>+[7]Result!$H$52-[6]Result!$H$52</f>
        <v>0.35483601647219842</v>
      </c>
      <c r="F683" s="13">
        <f>+[8]Result!$H$52-[7]Result!$H$52</f>
        <v>-0.45578119124986571</v>
      </c>
      <c r="G683" s="32">
        <f>+[9]Result!$H$52-[8]Result!$H$52</f>
        <v>0.78488954899274432</v>
      </c>
      <c r="H683" s="13">
        <f>+[10]Result!$H$52-[9]Result!$H$52</f>
        <v>-0.22657028489938824</v>
      </c>
      <c r="I683" s="13">
        <f>+[11]Result!$H$52-[10]Result!$H$52</f>
        <v>-0.27729295671214871</v>
      </c>
      <c r="J683" s="32">
        <f>+[12]Result!$H$52-[11]Result!$H$52</f>
        <v>-0.75502170243071376</v>
      </c>
      <c r="K683" s="13">
        <f>+[13]Result!$H$52-[12]Result!$H$52</f>
        <v>-9.3339799887637298E-3</v>
      </c>
      <c r="L683" s="13">
        <f>+[14]Result!$H$52-[13]Result!$H$52</f>
        <v>-0.49763826472736383</v>
      </c>
      <c r="M683" s="13">
        <f>+[15]Result!$H$52-[14]Result!$H$52</f>
        <v>2.4215918544218482</v>
      </c>
      <c r="N683" s="32">
        <f>+[16]Result!$H$52-[15]Result!$H$52</f>
        <v>0.31227277842475587</v>
      </c>
      <c r="O683" s="13">
        <f>+[17]Result!$H$52-[16]Result!$H$52</f>
        <v>0.77073218007082644</v>
      </c>
      <c r="P683" s="13">
        <f>+[18]Result!$H$52-[17]Result!$H$52</f>
        <v>11.66090496316497</v>
      </c>
      <c r="Q683" s="32">
        <f>+[19]Result!$H$52-[18]Result!$H$52</f>
        <v>-0.20649297199962291</v>
      </c>
      <c r="R683" s="32">
        <f>+[20]Result!$H$52-[19]Result!$H$52</f>
        <v>-5.7245934318714831E-3</v>
      </c>
      <c r="S683" s="70">
        <f>+[22]Result!$H$52-[20]Result!$H$52</f>
        <v>0.53112499608861441</v>
      </c>
      <c r="AI683" s="73"/>
      <c r="AJ683" s="73"/>
      <c r="AK683" s="73"/>
    </row>
    <row r="684" spans="1:37" hidden="1" outlineLevel="2" x14ac:dyDescent="0.25">
      <c r="A684" s="16" t="s">
        <v>55</v>
      </c>
      <c r="B684" s="13">
        <f>+[1]Result!$H$53-[21]Result!$H$53</f>
        <v>-0.12052070485732358</v>
      </c>
      <c r="C684" s="13">
        <f>+[5]Result!$H$53-[1]Result!$H$53</f>
        <v>0.16286309113334418</v>
      </c>
      <c r="D684" s="32">
        <f>+[6]Result!$H$53-[5]Result!$H$53</f>
        <v>-0.49602323358886657</v>
      </c>
      <c r="E684" s="13">
        <f>+[7]Result!$H$53-[6]Result!$H$53</f>
        <v>0.12873257660326676</v>
      </c>
      <c r="F684" s="13">
        <f>+[8]Result!$H$53-[7]Result!$H$53</f>
        <v>-0.16524295323649874</v>
      </c>
      <c r="G684" s="32">
        <f>+[9]Result!$H$53-[8]Result!$H$53</f>
        <v>9.6482191632943248E-2</v>
      </c>
      <c r="H684" s="13">
        <f>+[10]Result!$H$53-[9]Result!$H$53</f>
        <v>-7.8270100028308143E-2</v>
      </c>
      <c r="I684" s="13">
        <f>+[11]Result!$H$53-[10]Result!$H$53</f>
        <v>-9.713835957129735E-2</v>
      </c>
      <c r="J684" s="32">
        <f>+[12]Result!$H$53-[11]Result!$H$53</f>
        <v>-0.33337935703936328</v>
      </c>
      <c r="K684" s="13">
        <f>+[13]Result!$H$53-[12]Result!$H$53</f>
        <v>-3.2308046949962588E-3</v>
      </c>
      <c r="L684" s="13">
        <f>+[14]Result!$H$53-[13]Result!$H$53</f>
        <v>-0.16909849011394407</v>
      </c>
      <c r="M684" s="13">
        <f>+[15]Result!$H$53-[14]Result!$H$53</f>
        <v>-2.8504790297924538</v>
      </c>
      <c r="N684" s="32">
        <f>+[16]Result!$H$53-[15]Result!$H$53</f>
        <v>9.326556155977106E-3</v>
      </c>
      <c r="O684" s="13">
        <f>+[17]Result!$H$53-[16]Result!$H$53</f>
        <v>2.3298942875566886E-2</v>
      </c>
      <c r="P684" s="13">
        <f>+[18]Result!$H$53-[17]Result!$H$53</f>
        <v>4.6719360442746671</v>
      </c>
      <c r="Q684" s="32">
        <f>+[19]Result!$H$53-[18]Result!$H$53</f>
        <v>-4.2117341576828338E-2</v>
      </c>
      <c r="R684" s="32">
        <f>+[20]Result!$H$53-[19]Result!$H$53</f>
        <v>-2.3960218093606045E-3</v>
      </c>
      <c r="S684" s="70">
        <f>+[22]Result!$H$53-[20]Result!$H$53</f>
        <v>0.10897987628257866</v>
      </c>
      <c r="AI684" s="73"/>
      <c r="AJ684" s="73"/>
      <c r="AK684" s="73"/>
    </row>
    <row r="685" spans="1:37" hidden="1" outlineLevel="2" x14ac:dyDescent="0.25">
      <c r="A685" s="16" t="s">
        <v>56</v>
      </c>
      <c r="B685" s="13">
        <f>+[1]Result!$H$54-[21]Result!$H$54</f>
        <v>-3.1807259995519699E-2</v>
      </c>
      <c r="C685" s="13">
        <f>+[5]Result!$H$54-[1]Result!$H$54</f>
        <v>4.2896489753329048E-2</v>
      </c>
      <c r="D685" s="32">
        <f>+[6]Result!$H$54-[5]Result!$H$54</f>
        <v>-0.19763732616063789</v>
      </c>
      <c r="E685" s="13">
        <f>+[7]Result!$H$54-[6]Result!$H$54</f>
        <v>3.1314342063627709E-2</v>
      </c>
      <c r="F685" s="13">
        <f>+[8]Result!$H$54-[7]Result!$H$54</f>
        <v>-4.0461227895989493E-2</v>
      </c>
      <c r="G685" s="32">
        <f>+[9]Result!$H$54-[8]Result!$H$54</f>
        <v>7.5521209116659049E-2</v>
      </c>
      <c r="H685" s="13">
        <f>+[10]Result!$H$54-[9]Result!$H$54</f>
        <v>-2.018610519747277E-2</v>
      </c>
      <c r="I685" s="13">
        <f>+[11]Result!$H$54-[10]Result!$H$54</f>
        <v>-2.5180788209275828E-2</v>
      </c>
      <c r="J685" s="32">
        <f>+[12]Result!$H$54-[11]Result!$H$54</f>
        <v>-9.4299301341345787E-2</v>
      </c>
      <c r="K685" s="13">
        <f>+[13]Result!$H$54-[12]Result!$H$54</f>
        <v>-8.4553055178915315E-4</v>
      </c>
      <c r="L685" s="13">
        <f>+[14]Result!$H$54-[13]Result!$H$54</f>
        <v>-4.363015201056375E-2</v>
      </c>
      <c r="M685" s="13">
        <f>+[15]Result!$H$54-[14]Result!$H$54</f>
        <v>-0.82339824646191162</v>
      </c>
      <c r="N685" s="32">
        <f>+[16]Result!$H$54-[15]Result!$H$54</f>
        <v>-1.8922031195591675E-5</v>
      </c>
      <c r="O685" s="13">
        <f>+[17]Result!$H$54-[16]Result!$H$54</f>
        <v>-4.7866361852716552E-5</v>
      </c>
      <c r="P685" s="13">
        <f>+[18]Result!$H$54-[17]Result!$H$54</f>
        <v>2.2007404179447826E-5</v>
      </c>
      <c r="Q685" s="32">
        <f>+[19]Result!$H$54-[18]Result!$H$54</f>
        <v>6.3981350586648968E-6</v>
      </c>
      <c r="R685" s="32">
        <f>+[20]Result!$H$54-[19]Result!$H$54</f>
        <v>3.7468077527256019E-7</v>
      </c>
      <c r="S685" s="70">
        <f>+[22]Result!$H$54-[20]Result!$H$54</f>
        <v>-1.6663331369611315E-5</v>
      </c>
      <c r="AI685" s="73"/>
      <c r="AJ685" s="73"/>
      <c r="AK685" s="73"/>
    </row>
    <row r="686" spans="1:37" collapsed="1" x14ac:dyDescent="0.25">
      <c r="A686" s="12" t="s">
        <v>94</v>
      </c>
      <c r="B686" s="13" cm="1">
        <f t="array" ref="B686">[1]!DELTA1PERC-[21]!DELTA1PERC</f>
        <v>1514.6064803682966</v>
      </c>
      <c r="C686" s="13" cm="1">
        <f t="array" ref="C686">[5]!DELTA1PERC-[1]!DELTA1PERC</f>
        <v>-2243.3842031371314</v>
      </c>
      <c r="D686" s="32" cm="1">
        <f t="array" ref="D686">[6]!DELTA1PERC-[5]!DELTA1PERC</f>
        <v>7521.4261045776657</v>
      </c>
      <c r="E686" s="13" cm="1">
        <f t="array" ref="E686">[7]!DELTA1PERC-[6]!DELTA1PERC</f>
        <v>-4908.7075974816689</v>
      </c>
      <c r="F686" s="13" cm="1">
        <f t="array" ref="F686">[8]!DELTA1PERC-[7]!DELTA1PERC</f>
        <v>2065.1541530789691</v>
      </c>
      <c r="G686" s="32" cm="1">
        <f t="array" ref="G686">[9]!DELTA1PERC-[8]!DELTA1PERC</f>
        <v>2767.3001527388697</v>
      </c>
      <c r="H686" s="13" cm="1">
        <f t="array" ref="H686">[10]!DELTA1PERC-[9]!DELTA1PERC</f>
        <v>1731.8395978842746</v>
      </c>
      <c r="I686" s="13" cm="1">
        <f t="array" ref="I686">[11]!DELTA1PERC-[10]!DELTA1PERC</f>
        <v>190.84430397729739</v>
      </c>
      <c r="J686" s="32" cm="1">
        <f t="array" ref="J686">[12]!DELTA1PERC-[11]!DELTA1PERC</f>
        <v>-5198.4687038343109</v>
      </c>
      <c r="K686" s="13" cm="1">
        <f t="array" ref="K686">[13]!DELTA1PERC-[12]!DELTA1PERC</f>
        <v>-600.03009099746123</v>
      </c>
      <c r="L686" s="13" cm="1">
        <f t="array" ref="L686">[14]!DELTA1PERC-[13]!DELTA1PERC</f>
        <v>2561.1284477172012</v>
      </c>
      <c r="M686" s="32" cm="1">
        <f t="array" ref="M686">[15]!DELTA1PERC-[14]!DELTA1PERC</f>
        <v>45472.768224686966</v>
      </c>
      <c r="N686" s="13" cm="1">
        <f t="array" ref="N686">[16]!DELTA1PERC-[15]!DELTA1PERC</f>
        <v>-960.63024859825964</v>
      </c>
      <c r="O686" s="13" cm="1">
        <f t="array" ref="O686">[17]!DELTA1PERC-[16]!DELTA1PERC</f>
        <v>-2946.3160478009959</v>
      </c>
      <c r="P686" s="32" cm="1">
        <f t="array" ref="P686">[18]!DELTA1PERC-[17]!DELTA1PERC</f>
        <v>-11391.678832357866</v>
      </c>
      <c r="Q686" s="13" cm="1">
        <f t="array" ref="Q686">[19]!DELTA1PERC-[18]!DELTA1PERC</f>
        <v>349.27328636596212</v>
      </c>
      <c r="R686" s="13" cm="1">
        <f t="array" ref="R686">[20]!DELTA1PERC-[19]!DELTA1PERC</f>
        <v>-1270.8070112309651</v>
      </c>
      <c r="S686" s="70" cm="1">
        <f t="array" ref="S686">[22]!DELTA1PERC-[20]!DELTA1PERC</f>
        <v>-964.46918170142453</v>
      </c>
      <c r="T686" s="13">
        <f>+SUM(B687:B691)-B686</f>
        <v>-3.8426151149906218E-11</v>
      </c>
      <c r="U686" s="13">
        <f t="shared" ref="U686:W686" si="511">+SUM(C687:C691)-C686</f>
        <v>-7.0031092036515474E-11</v>
      </c>
      <c r="V686" s="13">
        <f t="shared" si="511"/>
        <v>6.9121597334742546E-11</v>
      </c>
      <c r="W686" s="13">
        <f t="shared" si="511"/>
        <v>-1.546140993013978E-11</v>
      </c>
      <c r="X686" s="13">
        <f t="shared" ref="X686" si="512">+SUM(F687:F691)-F686</f>
        <v>-9.0949470177292824E-12</v>
      </c>
      <c r="Y686" s="13">
        <f t="shared" ref="Y686:AE686" si="513">+SUM(G687:G691)-G686</f>
        <v>2.2282620193436742E-11</v>
      </c>
      <c r="Z686" s="13">
        <f t="shared" si="513"/>
        <v>-2.8194335754960775E-11</v>
      </c>
      <c r="AA686" s="13">
        <f t="shared" si="513"/>
        <v>5.9799276641570032E-11</v>
      </c>
      <c r="AB686" s="13">
        <f t="shared" si="513"/>
        <v>-2.3646862246096134E-11</v>
      </c>
      <c r="AC686" s="13">
        <f t="shared" si="513"/>
        <v>5.9799276641570032E-11</v>
      </c>
      <c r="AD686" s="13">
        <f t="shared" si="513"/>
        <v>-1.0459189070388675E-10</v>
      </c>
      <c r="AE686" s="13">
        <f t="shared" si="513"/>
        <v>0</v>
      </c>
      <c r="AF686" s="13">
        <f t="shared" ref="AF686:AF692" si="514">+SUM(N687:N691)-N686</f>
        <v>4.5019987737759948E-11</v>
      </c>
      <c r="AG686" s="13">
        <f t="shared" ref="AG686:AH692" si="515">+SUM(O687:O691)-O686</f>
        <v>-1.9099388737231493E-11</v>
      </c>
      <c r="AH686" s="13">
        <f t="shared" si="515"/>
        <v>-4.3655745685100555E-11</v>
      </c>
      <c r="AI686" s="73">
        <f t="shared" ref="AI686:AI692" si="516">+SUM(Q687:Q691)-Q686</f>
        <v>3.7857716961298138E-11</v>
      </c>
      <c r="AJ686" s="73">
        <f t="shared" ref="AJ686:AK692" si="517">+SUM(R687:R691)-R686</f>
        <v>-2.1373125491663814E-11</v>
      </c>
      <c r="AK686" s="73">
        <f t="shared" si="517"/>
        <v>-4.7293724492192268E-11</v>
      </c>
    </row>
    <row r="687" spans="1:37" hidden="1" outlineLevel="1" x14ac:dyDescent="0.25">
      <c r="A687" s="15" t="s">
        <v>2</v>
      </c>
      <c r="B687" s="13">
        <f>+'[1]Stat by Mat 2'!$J$3-'[21]Stat by Mat 2'!$J$3</f>
        <v>237.2865317218675</v>
      </c>
      <c r="C687" s="13">
        <f>+'[5]Stat by Mat 2'!$J$3-'[1]Stat by Mat 2'!$J$3</f>
        <v>-476.62717761124077</v>
      </c>
      <c r="D687" s="32">
        <f>+'[6]Stat by Mat 2'!$J$3-'[5]Stat by Mat 2'!$J$3</f>
        <v>-5998.0440228485968</v>
      </c>
      <c r="E687" s="13">
        <f>+'[7]Stat by Mat 2'!$J$3-'[6]Stat by Mat 2'!$J$3</f>
        <v>-1102.8407508765085</v>
      </c>
      <c r="F687" s="13">
        <f>+'[8]Stat by Mat 2'!$J$3-'[7]Stat by Mat 2'!$J$3</f>
        <v>213.6039087093377</v>
      </c>
      <c r="G687" s="32">
        <f>+'[9]Stat by Mat 2'!$J$3-'[8]Stat by Mat 2'!$J$3</f>
        <v>1207.4119058581273</v>
      </c>
      <c r="H687" s="13">
        <f>+'[10]Stat by Mat 2'!$J$3-'[9]Stat by Mat 2'!$J$3</f>
        <v>357.55858627551061</v>
      </c>
      <c r="I687" s="13">
        <f>+'[11]Stat by Mat 2'!$J$3-'[10]Stat by Mat 2'!$J$3</f>
        <v>-166.59875991944864</v>
      </c>
      <c r="J687" s="32">
        <f>+'[12]Stat by Mat 2'!$J$3-'[11]Stat by Mat 2'!$J$3</f>
        <v>-3543.831989275961</v>
      </c>
      <c r="K687" s="13">
        <f>+'[13]Stat by Mat 2'!$J$3-'[12]Stat by Mat 2'!$J$3</f>
        <v>-136.07888591295341</v>
      </c>
      <c r="L687" s="13">
        <f>+'[14]Stat by Mat 2'!$J$3-'[13]Stat by Mat 2'!$J$3</f>
        <v>199.30285789849586</v>
      </c>
      <c r="M687" s="13">
        <f>+'[15]Stat by Mat 2'!$J$3-'[14]Stat by Mat 2'!$J$3</f>
        <v>12011.219745142313</v>
      </c>
      <c r="N687" s="32">
        <f>+'[16]Stat by Mat 2'!$J$3-'[15]Stat by Mat 2'!$J$3</f>
        <v>-153.11032526566123</v>
      </c>
      <c r="O687" s="13">
        <f>+'[17]Stat by Mat 2'!$J$3-'[16]Stat by Mat 2'!$J$3</f>
        <v>-375.74764824990416</v>
      </c>
      <c r="P687" s="13">
        <f>+'[18]Stat by Mat 2'!$J$3-'[17]Stat by Mat 2'!$J$3</f>
        <v>-9309.5159911934461</v>
      </c>
      <c r="Q687" s="32">
        <f>+'[19]Stat by Mat 2'!$J$3-'[18]Stat by Mat 2'!$J$3</f>
        <v>82.667830498743569</v>
      </c>
      <c r="R687" s="32">
        <f>+'[20]Stat by Mat 2'!$J$3-'[19]Stat by Mat 2'!$J$3</f>
        <v>-420.9627461397904</v>
      </c>
      <c r="S687" s="70">
        <f>+'[22]Stat by Mat 2'!$J$3-'[20]Stat by Mat 2'!$J$3</f>
        <v>-71.877013240009546</v>
      </c>
      <c r="T687" s="13">
        <f t="shared" ref="T687:T692" si="518">+SUM(B688:B692)-B687</f>
        <v>1040.0238235646068</v>
      </c>
      <c r="U687" s="13">
        <f t="shared" ref="U687:U692" si="519">+SUM(C688:C692)-C687</f>
        <v>-1290.1176634883006</v>
      </c>
      <c r="V687" s="13">
        <f t="shared" ref="V687:V692" si="520">+SUM(D688:D692)-D687</f>
        <v>19517.360297816202</v>
      </c>
      <c r="W687" s="13">
        <f t="shared" ref="W687:W692" si="521">+SUM(E688:E692)-E687</f>
        <v>-2703.0001937853735</v>
      </c>
      <c r="X687" s="13">
        <f t="shared" ref="X687:X692" si="522">+SUM(F688:F692)-F687</f>
        <v>1637.9322136081307</v>
      </c>
      <c r="Y687" s="13">
        <f t="shared" ref="Y687:Y692" si="523">+SUM(G688:G692)-G687</f>
        <v>352.53805293552477</v>
      </c>
      <c r="Z687" s="13">
        <f t="shared" ref="Z687:Z692" si="524">+SUM(H688:H692)-H687</f>
        <v>1016.7124343154369</v>
      </c>
      <c r="AA687" s="13">
        <f t="shared" ref="AA687:AA692" si="525">+SUM(I688:I692)-I687</f>
        <v>524.03829748377939</v>
      </c>
      <c r="AB687" s="13">
        <f t="shared" ref="AB687:AB692" si="526">+SUM(J688:J692)-J687</f>
        <v>1889.2453335368295</v>
      </c>
      <c r="AC687" s="13">
        <f t="shared" ref="AC687:AC692" si="527">+SUM(K688:K692)-K687</f>
        <v>-327.86908767665886</v>
      </c>
      <c r="AD687" s="13">
        <f t="shared" ref="AD687:AD692" si="528">+SUM(L688:L692)-L687</f>
        <v>2162.504341805824</v>
      </c>
      <c r="AE687" s="13">
        <f t="shared" ref="AE687:AE692" si="529">+SUM(M688:M692)-M687</f>
        <v>21450.113741729794</v>
      </c>
      <c r="AF687" s="13">
        <f t="shared" si="514"/>
        <v>-654.40250720215204</v>
      </c>
      <c r="AG687" s="13">
        <f t="shared" si="515"/>
        <v>-2194.798449185053</v>
      </c>
      <c r="AH687" s="13">
        <f t="shared" si="515"/>
        <v>7227.2310563071442</v>
      </c>
      <c r="AI687" s="73">
        <f t="shared" si="516"/>
        <v>183.93584363103622</v>
      </c>
      <c r="AJ687" s="73">
        <f t="shared" si="517"/>
        <v>-428.87558587785554</v>
      </c>
      <c r="AK687" s="73">
        <f t="shared" si="517"/>
        <v>-820.7080480407227</v>
      </c>
    </row>
    <row r="688" spans="1:37" hidden="1" outlineLevel="1" x14ac:dyDescent="0.25">
      <c r="A688" s="15" t="s">
        <v>8</v>
      </c>
      <c r="B688" s="13">
        <f>+'[1]Stat by Mat 2'!$J$4-'[21]Stat by Mat 2'!$J$4</f>
        <v>297.25232756309561</v>
      </c>
      <c r="C688" s="13">
        <f>+'[5]Stat by Mat 2'!$J$4-'[1]Stat by Mat 2'!$J$4</f>
        <v>-627.49056925839977</v>
      </c>
      <c r="D688" s="32">
        <f>+'[6]Stat by Mat 2'!$J$4-'[5]Stat by Mat 2'!$J$4</f>
        <v>3401.7095644082874</v>
      </c>
      <c r="E688" s="13">
        <f>+'[7]Stat by Mat 2'!$J$4-'[6]Stat by Mat 2'!$J$4</f>
        <v>-1417.892789134974</v>
      </c>
      <c r="F688" s="13">
        <f>+'[8]Stat by Mat 2'!$J$4-'[7]Stat by Mat 2'!$J$4</f>
        <v>401.02411809437035</v>
      </c>
      <c r="G688" s="32">
        <f>+'[9]Stat by Mat 2'!$J$4-'[8]Stat by Mat 2'!$J$4</f>
        <v>6.4479005662287818</v>
      </c>
      <c r="H688" s="13">
        <f>+'[10]Stat by Mat 2'!$J$4-'[9]Stat by Mat 2'!$J$4</f>
        <v>453.46742543282744</v>
      </c>
      <c r="I688" s="13">
        <f>+'[11]Stat by Mat 2'!$J$4-'[10]Stat by Mat 2'!$J$4</f>
        <v>-161.34522311213368</v>
      </c>
      <c r="J688" s="32">
        <f>+'[12]Stat by Mat 2'!$J$4-'[11]Stat by Mat 2'!$J$4</f>
        <v>-45.459678997009178</v>
      </c>
      <c r="K688" s="13">
        <f>+'[13]Stat by Mat 2'!$J$4-'[12]Stat by Mat 2'!$J$4</f>
        <v>-245.58880445609975</v>
      </c>
      <c r="L688" s="13">
        <f>+'[14]Stat by Mat 2'!$J$4-'[13]Stat by Mat 2'!$J$4</f>
        <v>546.83267454417364</v>
      </c>
      <c r="M688" s="13">
        <f>+'[15]Stat by Mat 2'!$J$4-'[14]Stat by Mat 2'!$J$4</f>
        <v>14947.699476647424</v>
      </c>
      <c r="N688" s="32">
        <f>+'[16]Stat by Mat 2'!$J$4-'[15]Stat by Mat 2'!$J$4</f>
        <v>-258.56555714923888</v>
      </c>
      <c r="O688" s="13">
        <f>+'[17]Stat by Mat 2'!$J$4-'[16]Stat by Mat 2'!$J$4</f>
        <v>-790.62528738190304</v>
      </c>
      <c r="P688" s="13">
        <f>+'[18]Stat by Mat 2'!$J$4-'[17]Stat by Mat 2'!$J$4</f>
        <v>-1733.5600579433667</v>
      </c>
      <c r="Q688" s="32">
        <f>+'[19]Stat by Mat 2'!$J$4-'[18]Stat by Mat 2'!$J$4</f>
        <v>17.884484212227107</v>
      </c>
      <c r="R688" s="32">
        <f>+'[20]Stat by Mat 2'!$J$4-'[19]Stat by Mat 2'!$J$4</f>
        <v>-458.52185552872106</v>
      </c>
      <c r="S688" s="70">
        <f>+'[22]Stat by Mat 2'!$J$4-'[20]Stat by Mat 2'!$J$4</f>
        <v>-229.75242118576716</v>
      </c>
      <c r="T688" s="13">
        <f t="shared" si="518"/>
        <v>682.8057001602831</v>
      </c>
      <c r="U688" s="13">
        <f t="shared" si="519"/>
        <v>-511.76370258274187</v>
      </c>
      <c r="V688" s="13">
        <f t="shared" si="520"/>
        <v>6715.8971461510282</v>
      </c>
      <c r="W688" s="13">
        <f t="shared" si="521"/>
        <v>-970.05536639193406</v>
      </c>
      <c r="X688" s="13">
        <f t="shared" si="522"/>
        <v>1049.4878861287277</v>
      </c>
      <c r="Y688" s="13">
        <f t="shared" si="523"/>
        <v>1547.0541576611945</v>
      </c>
      <c r="Z688" s="13">
        <f t="shared" si="524"/>
        <v>467.33616972529251</v>
      </c>
      <c r="AA688" s="13">
        <f t="shared" si="525"/>
        <v>680.12998378859811</v>
      </c>
      <c r="AB688" s="13">
        <f t="shared" si="526"/>
        <v>-1563.667297745113</v>
      </c>
      <c r="AC688" s="13">
        <f t="shared" si="527"/>
        <v>27.229635322587228</v>
      </c>
      <c r="AD688" s="13">
        <f t="shared" si="528"/>
        <v>1268.1418506159725</v>
      </c>
      <c r="AE688" s="13">
        <f t="shared" si="529"/>
        <v>3565.9345335772559</v>
      </c>
      <c r="AF688" s="13">
        <f t="shared" si="514"/>
        <v>-290.3817181693355</v>
      </c>
      <c r="AG688" s="13">
        <f t="shared" si="515"/>
        <v>-989.29552267115128</v>
      </c>
      <c r="AH688" s="13">
        <f t="shared" si="515"/>
        <v>1384.8351810004315</v>
      </c>
      <c r="AI688" s="73">
        <f t="shared" si="516"/>
        <v>230.8347057053256</v>
      </c>
      <c r="AJ688" s="73">
        <f t="shared" si="517"/>
        <v>67.205379039796185</v>
      </c>
      <c r="AK688" s="73">
        <f t="shared" si="517"/>
        <v>-433.08021890919792</v>
      </c>
    </row>
    <row r="689" spans="1:37" hidden="1" outlineLevel="1" x14ac:dyDescent="0.25">
      <c r="A689" s="15" t="s">
        <v>14</v>
      </c>
      <c r="B689" s="13">
        <f>+'[1]Stat by Mat 2'!$J$5-'[21]Stat by Mat 2'!$J$5</f>
        <v>567.19422499912616</v>
      </c>
      <c r="C689" s="13">
        <f>+'[5]Stat by Mat 2'!$J$5-'[1]Stat by Mat 2'!$J$5</f>
        <v>-680.29190291775012</v>
      </c>
      <c r="D689" s="32">
        <f>+'[6]Stat by Mat 2'!$J$5-'[5]Stat by Mat 2'!$J$5</f>
        <v>7911.8099715351855</v>
      </c>
      <c r="E689" s="13">
        <f>+'[7]Stat by Mat 2'!$J$5-'[6]Stat by Mat 2'!$J$5</f>
        <v>-1734.1755790870739</v>
      </c>
      <c r="F689" s="13">
        <f>+'[8]Stat by Mat 2'!$J$5-'[7]Stat by Mat 2'!$J$5</f>
        <v>848.74530353360024</v>
      </c>
      <c r="G689" s="32">
        <f>+'[9]Stat by Mat 2'!$J$5-'[8]Stat by Mat 2'!$J$5</f>
        <v>985.28997721399355</v>
      </c>
      <c r="H689" s="13">
        <f>+'[10]Stat by Mat 2'!$J$5-'[9]Stat by Mat 2'!$J$5</f>
        <v>614.54966560553294</v>
      </c>
      <c r="I689" s="13">
        <f>+'[11]Stat by Mat 2'!$J$5-'[10]Stat by Mat 2'!$J$5</f>
        <v>227.7708482684684</v>
      </c>
      <c r="J689" s="32">
        <f>+'[12]Stat by Mat 2'!$J$5-'[11]Stat by Mat 2'!$J$5</f>
        <v>-547.6030263676148</v>
      </c>
      <c r="K689" s="13">
        <f>+'[13]Stat by Mat 2'!$J$5-'[12]Stat by Mat 2'!$J$5</f>
        <v>-203.05921263836353</v>
      </c>
      <c r="L689" s="13">
        <f>+'[14]Stat by Mat 2'!$J$5-'[13]Stat by Mat 2'!$J$5</f>
        <v>1133.6956490090452</v>
      </c>
      <c r="M689" s="13">
        <f>+'[15]Stat by Mat 2'!$J$5-'[14]Stat by Mat 2'!$J$5</f>
        <v>13488.642700408796</v>
      </c>
      <c r="N689" s="32">
        <f>+'[16]Stat by Mat 2'!$J$5-'[15]Stat by Mat 2'!$J$5</f>
        <v>-357.16319882679818</v>
      </c>
      <c r="O689" s="13">
        <f>+'[17]Stat by Mat 2'!$J$5-'[16]Stat by Mat 2'!$J$5</f>
        <v>-1235.1026902570084</v>
      </c>
      <c r="P689" s="13">
        <f>+'[18]Stat by Mat 2'!$J$5-'[17]Stat by Mat 2'!$J$5</f>
        <v>-11.385837358437129</v>
      </c>
      <c r="Q689" s="32">
        <f>+'[19]Stat by Mat 2'!$J$5-'[18]Stat by Mat 2'!$J$5</f>
        <v>146.12176771859959</v>
      </c>
      <c r="R689" s="32">
        <f>+'[20]Stat by Mat 2'!$J$5-'[19]Stat by Mat 2'!$J$5</f>
        <v>-354.39399868853798</v>
      </c>
      <c r="S689" s="70">
        <f>+'[22]Stat by Mat 2'!$J$5-'[20]Stat by Mat 2'!$J$5</f>
        <v>-451.25260254297609</v>
      </c>
      <c r="T689" s="13">
        <f t="shared" si="518"/>
        <v>-154.33042227487357</v>
      </c>
      <c r="U689" s="13">
        <f t="shared" si="519"/>
        <v>221.3295339943586</v>
      </c>
      <c r="V689" s="13">
        <f t="shared" si="520"/>
        <v>-5706.0132325110553</v>
      </c>
      <c r="W689" s="13">
        <f t="shared" si="521"/>
        <v>1080.4030026472399</v>
      </c>
      <c r="X689" s="13">
        <f t="shared" si="522"/>
        <v>-246.97860284410228</v>
      </c>
      <c r="Y689" s="13">
        <f t="shared" si="523"/>
        <v>-417.07789620056383</v>
      </c>
      <c r="Z689" s="13">
        <f t="shared" si="524"/>
        <v>-308.29573605294593</v>
      </c>
      <c r="AA689" s="13">
        <f t="shared" si="525"/>
        <v>63.243064139527633</v>
      </c>
      <c r="AB689" s="13">
        <f t="shared" si="526"/>
        <v>-513.92092400689262</v>
      </c>
      <c r="AC689" s="13">
        <f t="shared" si="527"/>
        <v>187.75925614321454</v>
      </c>
      <c r="AD689" s="13">
        <f t="shared" si="528"/>
        <v>-452.41677285794401</v>
      </c>
      <c r="AE689" s="13">
        <f t="shared" si="529"/>
        <v>-8463.651390592915</v>
      </c>
      <c r="AF689" s="13">
        <f t="shared" si="514"/>
        <v>165.379122335022</v>
      </c>
      <c r="AG689" s="13">
        <f t="shared" si="515"/>
        <v>690.28457046096253</v>
      </c>
      <c r="AH689" s="13">
        <f t="shared" si="515"/>
        <v>-325.95320222606102</v>
      </c>
      <c r="AI689" s="73">
        <f t="shared" si="516"/>
        <v>-43.524345519646474</v>
      </c>
      <c r="AJ689" s="73">
        <f t="shared" si="517"/>
        <v>317.47152088815108</v>
      </c>
      <c r="AK689" s="73">
        <f t="shared" si="517"/>
        <v>239.67256499098707</v>
      </c>
    </row>
    <row r="690" spans="1:37" hidden="1" outlineLevel="1" x14ac:dyDescent="0.25">
      <c r="A690" s="15" t="s">
        <v>25</v>
      </c>
      <c r="B690" s="13">
        <f>+'[1]Stat by Mat 2'!$J$6-'[21]Stat by Mat 2'!$J$6</f>
        <v>375.18737565214906</v>
      </c>
      <c r="C690" s="13">
        <f>+'[5]Stat by Mat 2'!$J$6-'[1]Stat by Mat 2'!$J$6</f>
        <v>-409.35887133926735</v>
      </c>
      <c r="D690" s="32">
        <f>+'[6]Stat by Mat 2'!$J$6-'[5]Stat by Mat 2'!$J$6</f>
        <v>2124.8093043625322</v>
      </c>
      <c r="E690" s="13">
        <f>+'[7]Stat by Mat 2'!$J$6-'[6]Stat by Mat 2'!$J$6</f>
        <v>-607.50755529329945</v>
      </c>
      <c r="F690" s="13">
        <f>+'[8]Stat by Mat 2'!$J$6-'[7]Stat by Mat 2'!$J$6</f>
        <v>546.28076311510267</v>
      </c>
      <c r="G690" s="32">
        <f>+'[9]Stat by Mat 2'!$J$6-'[8]Stat by Mat 2'!$J$6</f>
        <v>582.27008190822198</v>
      </c>
      <c r="H690" s="13">
        <f>+'[10]Stat by Mat 2'!$J$6-'[9]Stat by Mat 2'!$J$6</f>
        <v>279.61492503211412</v>
      </c>
      <c r="I690" s="13">
        <f>+'[11]Stat by Mat 2'!$J$6-'[10]Stat by Mat 2'!$J$6</f>
        <v>260.34057467493949</v>
      </c>
      <c r="J690" s="32">
        <f>+'[12]Stat by Mat 2'!$J$6-'[11]Stat by Mat 2'!$J$6</f>
        <v>-1003.7689902855764</v>
      </c>
      <c r="K690" s="13">
        <f>+'[13]Stat by Mat 2'!$J$6-'[12]Stat by Mat 2'!$J$6</f>
        <v>-15.761075056110712</v>
      </c>
      <c r="L690" s="13">
        <f>+'[14]Stat by Mat 2'!$J$6-'[13]Stat by Mat 2'!$J$6</f>
        <v>618.61785605880868</v>
      </c>
      <c r="M690" s="13">
        <f>+'[15]Stat by Mat 2'!$J$6-'[14]Stat by Mat 2'!$J$6</f>
        <v>4326.9630520997434</v>
      </c>
      <c r="N690" s="32">
        <f>+'[16]Stat by Mat 2'!$J$6-'[15]Stat by Mat 2'!$J$6</f>
        <v>-178.57070529113844</v>
      </c>
      <c r="O690" s="13">
        <f>+'[17]Stat by Mat 2'!$J$6-'[16]Stat by Mat 2'!$J$6</f>
        <v>-511.62104015620935</v>
      </c>
      <c r="P690" s="13">
        <f>+'[18]Stat by Mat 2'!$J$6-'[17]Stat by Mat 2'!$J$6</f>
        <v>-115.28058066857193</v>
      </c>
      <c r="Q690" s="32">
        <f>+'[19]Stat by Mat 2'!$J$6-'[18]Stat by Mat 2'!$J$6</f>
        <v>95.577440351975383</v>
      </c>
      <c r="R690" s="32">
        <f>+'[20]Stat by Mat 2'!$J$6-'[19]Stat by Mat 2'!$J$6</f>
        <v>-36.354090752151023</v>
      </c>
      <c r="S690" s="70">
        <f>+'[22]Stat by Mat 2'!$J$6-'[20]Stat by Mat 2'!$J$6</f>
        <v>-194.43552998265841</v>
      </c>
      <c r="T690" s="13">
        <f t="shared" si="518"/>
        <v>-337.51094858004552</v>
      </c>
      <c r="U690" s="13">
        <f t="shared" si="519"/>
        <v>359.75537375514318</v>
      </c>
      <c r="V690" s="13">
        <f t="shared" si="520"/>
        <v>-2043.8218697009349</v>
      </c>
      <c r="W690" s="13">
        <f t="shared" si="521"/>
        <v>561.24253414676491</v>
      </c>
      <c r="X690" s="13">
        <f t="shared" si="522"/>
        <v>-490.79482554070739</v>
      </c>
      <c r="Y690" s="13">
        <f t="shared" si="523"/>
        <v>-596.32808280301424</v>
      </c>
      <c r="Z690" s="13">
        <f t="shared" si="524"/>
        <v>-252.97592051164122</v>
      </c>
      <c r="AA690" s="13">
        <f t="shared" si="525"/>
        <v>-229.66723694188292</v>
      </c>
      <c r="AB690" s="13">
        <f t="shared" si="526"/>
        <v>946.01403019664519</v>
      </c>
      <c r="AC690" s="13">
        <f t="shared" si="527"/>
        <v>16.222193617072421</v>
      </c>
      <c r="AD690" s="13">
        <f t="shared" si="528"/>
        <v>-555.95683596651634</v>
      </c>
      <c r="AE690" s="13">
        <f t="shared" si="529"/>
        <v>-3628.9347943836055</v>
      </c>
      <c r="AF690" s="13">
        <f t="shared" si="514"/>
        <v>165.3573340905007</v>
      </c>
      <c r="AG690" s="13">
        <f t="shared" si="515"/>
        <v>478.42396051637286</v>
      </c>
      <c r="AH690" s="13">
        <f t="shared" si="515"/>
        <v>-106.77787824735427</v>
      </c>
      <c r="AI690" s="73">
        <f t="shared" si="516"/>
        <v>-88.557458504997655</v>
      </c>
      <c r="AJ690" s="73">
        <f t="shared" si="517"/>
        <v>35.785703703915146</v>
      </c>
      <c r="AK690" s="73">
        <f t="shared" si="517"/>
        <v>177.29102241332779</v>
      </c>
    </row>
    <row r="691" spans="1:37" hidden="1" outlineLevel="1" x14ac:dyDescent="0.25">
      <c r="A691" s="15" t="s">
        <v>36</v>
      </c>
      <c r="B691" s="13">
        <f>+'[1]Stat by Mat 2'!$J$7-'[21]Stat by Mat 2'!$J$7</f>
        <v>37.686020432019859</v>
      </c>
      <c r="C691" s="13">
        <f>+'[5]Stat by Mat 2'!$J$7-'[1]Stat by Mat 2'!$J$7</f>
        <v>-49.615682010543424</v>
      </c>
      <c r="D691" s="32">
        <f>+'[6]Stat by Mat 2'!$J$7-'[5]Stat by Mat 2'!$J$7</f>
        <v>81.141287120326297</v>
      </c>
      <c r="E691" s="13">
        <f>+'[7]Stat by Mat 2'!$J$7-'[6]Stat by Mat 2'!$J$7</f>
        <v>-46.290923089828539</v>
      </c>
      <c r="F691" s="13">
        <f>+'[8]Stat by Mat 2'!$J$7-'[7]Stat by Mat 2'!$J$7</f>
        <v>55.500059626549273</v>
      </c>
      <c r="G691" s="32">
        <f>+'[9]Stat by Mat 2'!$J$7-'[8]Stat by Mat 2'!$J$7</f>
        <v>-14.119712807679662</v>
      </c>
      <c r="H691" s="13">
        <f>+'[10]Stat by Mat 2'!$J$7-'[9]Stat by Mat 2'!$J$7</f>
        <v>26.648995538261261</v>
      </c>
      <c r="I691" s="13">
        <f>+'[11]Stat by Mat 2'!$J$7-'[10]Stat by Mat 2'!$J$7</f>
        <v>30.676864065531618</v>
      </c>
      <c r="J691" s="32">
        <f>+'[12]Stat by Mat 2'!$J$7-'[11]Stat by Mat 2'!$J$7</f>
        <v>-57.805018908172997</v>
      </c>
      <c r="K691" s="13">
        <f>+'[13]Stat by Mat 2'!$J$7-'[12]Stat by Mat 2'!$J$7</f>
        <v>0.45788706612597707</v>
      </c>
      <c r="L691" s="13">
        <f>+'[14]Stat by Mat 2'!$J$7-'[13]Stat by Mat 2'!$J$7</f>
        <v>62.679410206573266</v>
      </c>
      <c r="M691" s="13">
        <f>+'[15]Stat by Mat 2'!$J$7-'[14]Stat by Mat 2'!$J$7</f>
        <v>698.24325038872314</v>
      </c>
      <c r="N691" s="32">
        <f>+'[16]Stat by Mat 2'!$J$7-'[15]Stat by Mat 2'!$J$7</f>
        <v>-13.220462065377887</v>
      </c>
      <c r="O691" s="13">
        <f>+'[17]Stat by Mat 2'!$J$7-'[16]Stat by Mat 2'!$J$7</f>
        <v>-33.219381755989957</v>
      </c>
      <c r="P691" s="13">
        <f>+'[18]Stat by Mat 2'!$J$7-'[17]Stat by Mat 2'!$J$7</f>
        <v>-221.93636519408676</v>
      </c>
      <c r="Q691" s="32">
        <f>+'[19]Stat by Mat 2'!$J$7-'[18]Stat by Mat 2'!$J$7</f>
        <v>7.0217635844543338</v>
      </c>
      <c r="R691" s="32">
        <f>+'[20]Stat by Mat 2'!$J$7-'[19]Stat by Mat 2'!$J$7</f>
        <v>-0.57432012178605873</v>
      </c>
      <c r="S691" s="70">
        <f>+'[22]Stat by Mat 2'!$J$7-'[20]Stat by Mat 2'!$J$7</f>
        <v>-17.151614750060617</v>
      </c>
      <c r="T691" s="13">
        <f t="shared" si="518"/>
        <v>-37.695613791936204</v>
      </c>
      <c r="U691" s="13">
        <f t="shared" si="519"/>
        <v>49.627866436962698</v>
      </c>
      <c r="V691" s="13">
        <f t="shared" si="520"/>
        <v>-81.261031796625716</v>
      </c>
      <c r="W691" s="13">
        <f t="shared" si="521"/>
        <v>46.316825033122527</v>
      </c>
      <c r="X691" s="13">
        <f t="shared" si="522"/>
        <v>-55.514181678703274</v>
      </c>
      <c r="Y691" s="13">
        <f t="shared" si="523"/>
        <v>14.15293292678969</v>
      </c>
      <c r="Z691" s="13">
        <f t="shared" si="524"/>
        <v>-26.658986556049619</v>
      </c>
      <c r="AA691" s="13">
        <f t="shared" si="525"/>
        <v>-30.680390398006672</v>
      </c>
      <c r="AB691" s="13">
        <f t="shared" si="526"/>
        <v>57.85936452669047</v>
      </c>
      <c r="AC691" s="13">
        <f t="shared" si="527"/>
        <v>-0.45465557129024514</v>
      </c>
      <c r="AD691" s="13">
        <f t="shared" si="528"/>
        <v>-62.697800320854128</v>
      </c>
      <c r="AE691" s="13">
        <f t="shared" si="529"/>
        <v>-698.56334378027941</v>
      </c>
      <c r="AF691" s="13">
        <f t="shared" si="514"/>
        <v>13.227552930118044</v>
      </c>
      <c r="AG691" s="13">
        <f t="shared" si="515"/>
        <v>33.241683872143447</v>
      </c>
      <c r="AH691" s="13">
        <f t="shared" si="515"/>
        <v>221.93380275790378</v>
      </c>
      <c r="AI691" s="73">
        <f t="shared" si="516"/>
        <v>-7.0235453219309392</v>
      </c>
      <c r="AJ691" s="73">
        <f t="shared" si="517"/>
        <v>0.58025319533624398</v>
      </c>
      <c r="AK691" s="73">
        <f t="shared" si="517"/>
        <v>17.158721930790612</v>
      </c>
    </row>
    <row r="692" spans="1:37" ht="14.25" collapsed="1" thickBot="1" x14ac:dyDescent="0.3">
      <c r="A692" s="17" t="s">
        <v>95</v>
      </c>
      <c r="B692" s="18" cm="1">
        <f t="array" ref="B692">[1]!DURATION-[21]!DURATION</f>
        <v>-9.5933599163418037E-3</v>
      </c>
      <c r="C692" s="18" cm="1">
        <f t="array" ref="C692">[5]!DURATION-[1]!DURATION</f>
        <v>1.2184426419275862E-2</v>
      </c>
      <c r="D692" s="31" cm="1">
        <f t="array" ref="D692">[6]!DURATION-[5]!DURATION</f>
        <v>-0.15385245872896247</v>
      </c>
      <c r="E692" s="18" cm="1">
        <f t="array" ref="E692">[7]!DURATION-[6]!DURATION</f>
        <v>2.5901943293988872E-2</v>
      </c>
      <c r="F692" s="18" cm="1">
        <f t="array" ref="F692">[8]!DURATION-[7]!DURATION</f>
        <v>-1.4122052153999309E-2</v>
      </c>
      <c r="G692" s="31" cm="1">
        <f t="array" ref="G692">[9]!DURATION-[8]!DURATION</f>
        <v>6.1711912887406406E-2</v>
      </c>
      <c r="H692" s="18" cm="1">
        <f t="array" ref="H692">[10]!DURATION-[9]!DURATION</f>
        <v>-9.9910177883604234E-3</v>
      </c>
      <c r="I692" s="18" cm="1">
        <f t="array" ref="I692">[11]!DURATION-[10]!DURATION</f>
        <v>-3.5263324750531844E-3</v>
      </c>
      <c r="J692" s="31" cm="1">
        <f t="array" ref="J692">[12]!DURATION-[11]!DURATION</f>
        <v>5.0058819241852959E-2</v>
      </c>
      <c r="K692" s="18" cm="1">
        <f t="array" ref="K692">[13]!DURATION-[12]!DURATION</f>
        <v>3.2314948357319295E-3</v>
      </c>
      <c r="L692" s="18" cm="1">
        <f t="array" ref="L692">[14]!DURATION-[13]!DURATION</f>
        <v>-1.8390114280859127E-2</v>
      </c>
      <c r="M692" s="31" cm="1">
        <f t="array" ref="M692">[15]!DURATION-[14]!DURATION</f>
        <v>-0.21499267258552868</v>
      </c>
      <c r="N692" s="18" cm="1">
        <f t="array" ref="N692">[16]!DURATION-[15]!DURATION</f>
        <v>7.0908647401566327E-3</v>
      </c>
      <c r="O692" s="18" cm="1">
        <f t="array" ref="O692">[17]!DURATION-[16]!DURATION</f>
        <v>2.2302116153493312E-2</v>
      </c>
      <c r="P692" s="31" cm="1">
        <f t="array" ref="P692">[18]!DURATION-[17]!DURATION</f>
        <v>-0.12209372183944156</v>
      </c>
      <c r="Q692" s="18" cm="1">
        <f t="array" ref="Q692">[19]!DURATION-[18]!DURATION</f>
        <v>-1.7817374766049277E-3</v>
      </c>
      <c r="R692" s="18" cm="1">
        <f t="array" ref="R692">[20]!DURATION-[19]!DURATION</f>
        <v>5.9330735501852416E-3</v>
      </c>
      <c r="S692" s="72" cm="1">
        <f t="array" ref="S692">[22]!DURATION-[20]!DURATION</f>
        <v>7.1071807299976086E-3</v>
      </c>
      <c r="T692" s="13">
        <f t="shared" si="518"/>
        <v>9.5933599163418037E-3</v>
      </c>
      <c r="U692" s="13">
        <f t="shared" si="519"/>
        <v>-1.2184426419275862E-2</v>
      </c>
      <c r="V692" s="13">
        <f t="shared" si="520"/>
        <v>0.23944400300444316</v>
      </c>
      <c r="W692" s="13">
        <f t="shared" si="521"/>
        <v>-2.5901943293988872E-2</v>
      </c>
      <c r="X692" s="13">
        <f t="shared" si="522"/>
        <v>1.4122052153999309E-2</v>
      </c>
      <c r="Y692" s="13">
        <f t="shared" si="523"/>
        <v>-0.12560412462644657</v>
      </c>
      <c r="Z692" s="13">
        <f t="shared" si="524"/>
        <v>9.9910177883604234E-3</v>
      </c>
      <c r="AA692" s="13">
        <f t="shared" si="525"/>
        <v>3.5263324750531844E-3</v>
      </c>
      <c r="AB692" s="13">
        <f t="shared" si="526"/>
        <v>-4.2644636355606606E-2</v>
      </c>
      <c r="AC692" s="13">
        <f t="shared" si="527"/>
        <v>-3.2314948357319295E-3</v>
      </c>
      <c r="AD692" s="13">
        <f t="shared" si="528"/>
        <v>1.8390114280859127E-2</v>
      </c>
      <c r="AE692" s="13">
        <f t="shared" si="529"/>
        <v>3.0487129569762184E-2</v>
      </c>
      <c r="AF692" s="13">
        <f t="shared" si="514"/>
        <v>-7.0908647401566327E-3</v>
      </c>
      <c r="AG692" s="13">
        <f t="shared" si="515"/>
        <v>-2.2302116153493312E-2</v>
      </c>
      <c r="AH692" s="13">
        <f t="shared" si="515"/>
        <v>0.37183120898610622</v>
      </c>
      <c r="AI692" s="73">
        <f t="shared" si="516"/>
        <v>1.7817374766049277E-3</v>
      </c>
      <c r="AJ692" s="73">
        <f t="shared" si="517"/>
        <v>-5.9330735501852416E-3</v>
      </c>
      <c r="AK692" s="73">
        <f t="shared" si="517"/>
        <v>-7.1071807299976086E-3</v>
      </c>
    </row>
    <row r="693" spans="1:37" ht="14.25" thickBot="1" x14ac:dyDescent="0.3">
      <c r="A693" s="23"/>
      <c r="E693" s="24"/>
      <c r="F693" s="24"/>
      <c r="G693" s="50"/>
      <c r="H693" s="24"/>
      <c r="I693" s="24"/>
      <c r="J693" s="50"/>
      <c r="L693" s="24"/>
      <c r="M693" s="24"/>
      <c r="N693" s="50"/>
      <c r="O693" s="24"/>
      <c r="P693" s="24"/>
      <c r="Q693" s="50"/>
      <c r="R693" s="50"/>
    </row>
    <row r="694" spans="1:37" ht="15.75" customHeight="1" thickBot="1" x14ac:dyDescent="0.3">
      <c r="A694" s="78" t="s">
        <v>65</v>
      </c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80"/>
    </row>
    <row r="695" spans="1:37" x14ac:dyDescent="0.25">
      <c r="A695" s="49"/>
      <c r="B695" s="19" t="s">
        <v>97</v>
      </c>
      <c r="C695" s="19" t="s">
        <v>109</v>
      </c>
      <c r="D695" s="20" t="s">
        <v>110</v>
      </c>
      <c r="E695" s="19" t="s">
        <v>111</v>
      </c>
      <c r="F695" s="19" t="s">
        <v>112</v>
      </c>
      <c r="G695" s="20" t="s">
        <v>113</v>
      </c>
      <c r="H695" s="19" t="s">
        <v>114</v>
      </c>
      <c r="I695" s="19" t="s">
        <v>115</v>
      </c>
      <c r="J695" s="20" t="s">
        <v>116</v>
      </c>
      <c r="K695" s="21" t="s">
        <v>117</v>
      </c>
      <c r="L695" s="19" t="s">
        <v>118</v>
      </c>
      <c r="M695" s="20" t="s">
        <v>119</v>
      </c>
      <c r="N695" s="19" t="s">
        <v>122</v>
      </c>
      <c r="O695" s="19" t="s">
        <v>127</v>
      </c>
      <c r="P695" s="19" t="s">
        <v>130</v>
      </c>
      <c r="Q695" s="19" t="s">
        <v>135</v>
      </c>
      <c r="R695" s="19" t="s">
        <v>138</v>
      </c>
      <c r="S695" s="71" t="s">
        <v>141</v>
      </c>
    </row>
    <row r="696" spans="1:37" x14ac:dyDescent="0.25">
      <c r="A696" s="12" t="s">
        <v>96</v>
      </c>
      <c r="B696" s="25">
        <f>+B350/SUM([21]Pricing_BEL!$L$5:$L$54)</f>
        <v>0</v>
      </c>
      <c r="C696" s="25">
        <f>+C350/SUM([1]Pricing_BEL!$L$5:$L$54)</f>
        <v>0</v>
      </c>
      <c r="D696" s="33">
        <f>+D350/SUM([5]Pricing_BEL!$L$5:$L$54)</f>
        <v>3.4107782429547817E-2</v>
      </c>
      <c r="E696" s="25">
        <f>+E350/SUM([6]Pricing_BEL!$L$5:$L$54)</f>
        <v>0</v>
      </c>
      <c r="F696" s="25">
        <f>+F350/SUM([7]Pricing_BEL!$L$5:$L$54)</f>
        <v>0</v>
      </c>
      <c r="G696" s="33">
        <f>+G350/SUM([8]Pricing_BEL!$L$5:$L$54)</f>
        <v>-2.8491793777377546E-2</v>
      </c>
      <c r="H696" s="25">
        <f>+H350/SUM([9]Pricing_BEL!$L$5:$L$54)</f>
        <v>0</v>
      </c>
      <c r="I696" s="25">
        <f>+I350/SUM([10]Pricing_BEL!$L$5:$L$54)</f>
        <v>0</v>
      </c>
      <c r="J696" s="33">
        <f>+J350/SUM([11]Pricing_BEL!$L$5:$L$54)</f>
        <v>4.2867992756234529E-3</v>
      </c>
      <c r="K696" s="25">
        <f>+K350/SUM([12]Pricing_BEL!$L$5:$L$54)</f>
        <v>0</v>
      </c>
      <c r="L696" s="25">
        <f>+L350/SUM([13]Pricing_BEL!$L$5:$L$54)</f>
        <v>0</v>
      </c>
      <c r="M696" s="33">
        <f>+M350/SUM([14]Pricing_BEL!$L$5:$L$54)</f>
        <v>-0.10510071897076133</v>
      </c>
      <c r="N696" s="25">
        <f>+N350/SUM([15]Pricing_BEL!$L$5:$L$54)</f>
        <v>0</v>
      </c>
      <c r="O696" s="25">
        <f>+O350/SUM([16]Pricing_BEL!$L$5:$L$54)</f>
        <v>0</v>
      </c>
      <c r="P696" s="33">
        <f>+P350/SUM([17]Pricing_BEL!$L$5:$L$54)</f>
        <v>0.1195312856564452</v>
      </c>
      <c r="Q696" s="25">
        <f>+Q350/SUM([18]Pricing_BEL!$L$5:$L$54)</f>
        <v>0</v>
      </c>
      <c r="R696" s="25">
        <f>+R350/SUM([19]Pricing_BEL!$L$5:$L$54)</f>
        <v>0</v>
      </c>
      <c r="S696" s="34">
        <f>+S350/SUM([20]Pricing_BEL!$L$5:$L$54)</f>
        <v>0</v>
      </c>
      <c r="T696" s="13"/>
    </row>
    <row r="697" spans="1:37" hidden="1" outlineLevel="1" x14ac:dyDescent="0.25">
      <c r="A697" s="15" t="s">
        <v>2</v>
      </c>
      <c r="B697" s="25">
        <f>+B351/'[21]Stat by Mat'!$D$3</f>
        <v>0</v>
      </c>
      <c r="C697" s="25">
        <f>+C351/'[1]Stat by Mat'!$D$3</f>
        <v>0</v>
      </c>
      <c r="D697" s="33">
        <f>+D351/'[5]Stat by Mat'!$D$3</f>
        <v>5.1483761845932875E-2</v>
      </c>
      <c r="E697" s="25">
        <f>+E351/'[6]Stat by Mat'!$D$3</f>
        <v>0</v>
      </c>
      <c r="F697" s="25">
        <f>+F351/'[7]Stat by Mat'!$D$3</f>
        <v>0</v>
      </c>
      <c r="G697" s="33">
        <f>+G351/'[8]Stat by Mat'!$D$3</f>
        <v>-3.5400417961662628E-2</v>
      </c>
      <c r="H697" s="25">
        <f>+H351/'[9]Stat by Mat'!$D$3</f>
        <v>0</v>
      </c>
      <c r="I697" s="25">
        <f>+I351/'[10]Stat by Mat'!$D$3</f>
        <v>0</v>
      </c>
      <c r="J697" s="33">
        <f>+J351/'[11]Stat by Mat'!$D$3</f>
        <v>3.1273836106228974E-3</v>
      </c>
      <c r="K697" s="25">
        <f>+K351/'[12]Stat by Mat'!$D$3</f>
        <v>0</v>
      </c>
      <c r="L697" s="25">
        <f>+L351/'[13]Stat by Mat'!$D$3</f>
        <v>0</v>
      </c>
      <c r="M697" s="25">
        <f>+M351/'[14]Stat by Mat'!$D$3</f>
        <v>-7.9404824045005165E-2</v>
      </c>
      <c r="N697" s="33">
        <f>+N351/'[15]Stat by Mat'!$D$3</f>
        <v>0</v>
      </c>
      <c r="O697" s="25">
        <f>+O351/'[16]Stat by Mat'!$D$3</f>
        <v>0</v>
      </c>
      <c r="P697" s="25">
        <f>+P351/'[17]Stat by Mat'!$D$3</f>
        <v>0.13020620149021944</v>
      </c>
      <c r="Q697" s="33">
        <f>+Q351/'[18]Stat by Mat'!$D$3</f>
        <v>0</v>
      </c>
      <c r="R697" s="33">
        <f>+R351/'[19]Stat by Mat'!$D$3</f>
        <v>0</v>
      </c>
      <c r="S697" s="34">
        <f>+S351/'[20]Stat by Mat'!$D$3</f>
        <v>0</v>
      </c>
    </row>
    <row r="698" spans="1:37" ht="15" hidden="1" customHeight="1" outlineLevel="2" x14ac:dyDescent="0.25">
      <c r="A698" s="16" t="s">
        <v>3</v>
      </c>
      <c r="B698" s="25">
        <f>+B352/[21]Pricing_BEL!$L$5</f>
        <v>0</v>
      </c>
      <c r="C698" s="25">
        <f>+C352/[1]Pricing_BEL!$L$5</f>
        <v>0</v>
      </c>
      <c r="D698" s="33">
        <f>+D352/[5]Pricing_BEL!$L$5</f>
        <v>2.4745928332751328E-3</v>
      </c>
      <c r="E698" s="25">
        <f>+E352/[6]Pricing_BEL!$L$5</f>
        <v>0</v>
      </c>
      <c r="F698" s="25">
        <f>+F352/[7]Pricing_BEL!$L$5</f>
        <v>0</v>
      </c>
      <c r="G698" s="33">
        <f>+G352/[8]Pricing_BEL!$L$5</f>
        <v>-9.1226313893799191E-2</v>
      </c>
      <c r="H698" s="25">
        <f>+H352/[9]Pricing_BEL!$L$5</f>
        <v>0</v>
      </c>
      <c r="I698" s="25">
        <f>+I352/[10]Pricing_BEL!$L$5</f>
        <v>0</v>
      </c>
      <c r="J698" s="33">
        <f>+J352/[11]Pricing_BEL!$L$5</f>
        <v>-5.3342346310283312E-2</v>
      </c>
      <c r="K698" s="25">
        <f>+K352/[12]Pricing_BEL!$L$5</f>
        <v>0</v>
      </c>
      <c r="L698" s="25">
        <f>+L352/[13]Pricing_BEL!$L$5</f>
        <v>0</v>
      </c>
      <c r="M698" s="25">
        <f>+M352/[14]Pricing_BEL!$L$5</f>
        <v>-6.188685659708338E-2</v>
      </c>
      <c r="N698" s="33">
        <f>+N352/[15]Pricing_BEL!$L$5</f>
        <v>0</v>
      </c>
      <c r="O698" s="25">
        <f>+O352/[16]Pricing_BEL!$L$5</f>
        <v>0</v>
      </c>
      <c r="P698" s="25">
        <f>+P352/[17]Pricing_BEL!$L$5</f>
        <v>0.17105338137948503</v>
      </c>
      <c r="Q698" s="33">
        <f>+Q352/[18]Pricing_BEL!$L$5</f>
        <v>0</v>
      </c>
      <c r="R698" s="33">
        <f>+R352/[19]Pricing_BEL!$L$5</f>
        <v>0</v>
      </c>
      <c r="S698" s="34">
        <f>+S352/[20]Pricing_BEL!$L$5</f>
        <v>0</v>
      </c>
    </row>
    <row r="699" spans="1:37" hidden="1" outlineLevel="2" x14ac:dyDescent="0.25">
      <c r="A699" s="16" t="s">
        <v>4</v>
      </c>
      <c r="B699" s="25">
        <f>+B353/[21]Pricing_BEL!$L$6</f>
        <v>0</v>
      </c>
      <c r="C699" s="25">
        <f>+C353/[1]Pricing_BEL!$L$6</f>
        <v>0</v>
      </c>
      <c r="D699" s="33">
        <f>+D353/[5]Pricing_BEL!$L$6</f>
        <v>0.18262306605971901</v>
      </c>
      <c r="E699" s="25">
        <f>+E353/[6]Pricing_BEL!$L$6</f>
        <v>0</v>
      </c>
      <c r="F699" s="25">
        <f>+F353/[7]Pricing_BEL!$L$6</f>
        <v>0</v>
      </c>
      <c r="G699" s="33">
        <f>+G353/[8]Pricing_BEL!$L$6</f>
        <v>2.3457962582278571E-2</v>
      </c>
      <c r="H699" s="25">
        <f>+H353/[9]Pricing_BEL!$L$6</f>
        <v>0</v>
      </c>
      <c r="I699" s="25">
        <f>+I353/[10]Pricing_BEL!$L$6</f>
        <v>0</v>
      </c>
      <c r="J699" s="33">
        <f>+J353/[11]Pricing_BEL!$L$6</f>
        <v>3.641984121308018E-2</v>
      </c>
      <c r="K699" s="25">
        <f>+K353/[12]Pricing_BEL!$L$6</f>
        <v>0</v>
      </c>
      <c r="L699" s="25">
        <f>+L353/[13]Pricing_BEL!$L$6</f>
        <v>0</v>
      </c>
      <c r="M699" s="25">
        <f>+M353/[14]Pricing_BEL!$L$6</f>
        <v>-8.4489229618761444E-2</v>
      </c>
      <c r="N699" s="33">
        <f>+N353/[15]Pricing_BEL!$L$6</f>
        <v>0</v>
      </c>
      <c r="O699" s="25">
        <f>+O353/[16]Pricing_BEL!$L$6</f>
        <v>0</v>
      </c>
      <c r="P699" s="25">
        <f>+P353/[17]Pricing_BEL!$L$6</f>
        <v>0.12787435578596459</v>
      </c>
      <c r="Q699" s="33">
        <f>+Q353/[18]Pricing_BEL!$L$6</f>
        <v>0</v>
      </c>
      <c r="R699" s="33">
        <f>+R353/[19]Pricing_BEL!$L$6</f>
        <v>0</v>
      </c>
      <c r="S699" s="34">
        <f>+S353/[20]Pricing_BEL!$L$6</f>
        <v>0</v>
      </c>
    </row>
    <row r="700" spans="1:37" hidden="1" outlineLevel="2" x14ac:dyDescent="0.25">
      <c r="A700" s="16" t="s">
        <v>5</v>
      </c>
      <c r="B700" s="25">
        <f>+B354/[21]Pricing_BEL!$L$7</f>
        <v>0</v>
      </c>
      <c r="C700" s="25">
        <f>+C354/[1]Pricing_BEL!$L$7</f>
        <v>0</v>
      </c>
      <c r="D700" s="33">
        <f>+D354/[5]Pricing_BEL!$L$7</f>
        <v>8.9654652096099012E-3</v>
      </c>
      <c r="E700" s="25">
        <f>+E354/[6]Pricing_BEL!$L$7</f>
        <v>0</v>
      </c>
      <c r="F700" s="25">
        <f>+F354/[7]Pricing_BEL!$L$7</f>
        <v>0</v>
      </c>
      <c r="G700" s="33">
        <f>+G354/[8]Pricing_BEL!$L$7</f>
        <v>-4.5927897959066625E-3</v>
      </c>
      <c r="H700" s="25">
        <f>+H354/[9]Pricing_BEL!$L$7</f>
        <v>0</v>
      </c>
      <c r="I700" s="25">
        <f>+I354/[10]Pricing_BEL!$L$7</f>
        <v>0</v>
      </c>
      <c r="J700" s="33">
        <f>+J354/[11]Pricing_BEL!$L$7</f>
        <v>8.039167857452155E-2</v>
      </c>
      <c r="K700" s="25">
        <f>+K354/[12]Pricing_BEL!$L$7</f>
        <v>0</v>
      </c>
      <c r="L700" s="25">
        <f>+L354/[13]Pricing_BEL!$L$7</f>
        <v>0</v>
      </c>
      <c r="M700" s="25">
        <f>+M354/[14]Pricing_BEL!$L$7</f>
        <v>-7.4609862048251929E-2</v>
      </c>
      <c r="N700" s="33">
        <f>+N354/[15]Pricing_BEL!$L$7</f>
        <v>0</v>
      </c>
      <c r="O700" s="25">
        <f>+O354/[16]Pricing_BEL!$L$7</f>
        <v>0</v>
      </c>
      <c r="P700" s="25">
        <f>+P354/[17]Pricing_BEL!$L$7</f>
        <v>7.0390110075058382E-2</v>
      </c>
      <c r="Q700" s="33">
        <f>+Q354/[18]Pricing_BEL!$L$7</f>
        <v>0</v>
      </c>
      <c r="R700" s="33">
        <f>+R354/[19]Pricing_BEL!$L$7</f>
        <v>0</v>
      </c>
      <c r="S700" s="34">
        <f>+S354/[20]Pricing_BEL!$L$7</f>
        <v>0</v>
      </c>
    </row>
    <row r="701" spans="1:37" hidden="1" outlineLevel="2" x14ac:dyDescent="0.25">
      <c r="A701" s="16" t="s">
        <v>6</v>
      </c>
      <c r="B701" s="25">
        <f>+B355/[21]Pricing_BEL!$L$8</f>
        <v>0</v>
      </c>
      <c r="C701" s="25">
        <f>+C355/[1]Pricing_BEL!$L$8</f>
        <v>0</v>
      </c>
      <c r="D701" s="33">
        <f>+D355/[5]Pricing_BEL!$L$8</f>
        <v>2.3330874610139635E-2</v>
      </c>
      <c r="E701" s="25">
        <f>+E355/[6]Pricing_BEL!$L$8</f>
        <v>0</v>
      </c>
      <c r="F701" s="25">
        <f>+F355/[7]Pricing_BEL!$L$8</f>
        <v>0</v>
      </c>
      <c r="G701" s="33">
        <f>+G355/[8]Pricing_BEL!$L$8</f>
        <v>2.116342818273294E-3</v>
      </c>
      <c r="H701" s="25">
        <f>+H355/[9]Pricing_BEL!$L$8</f>
        <v>0</v>
      </c>
      <c r="I701" s="25">
        <f>+I355/[10]Pricing_BEL!$L$8</f>
        <v>0</v>
      </c>
      <c r="J701" s="33">
        <f>+J355/[11]Pricing_BEL!$L$8</f>
        <v>4.5482770356070026E-2</v>
      </c>
      <c r="K701" s="25">
        <f>+K355/[12]Pricing_BEL!$L$8</f>
        <v>0</v>
      </c>
      <c r="L701" s="25">
        <f>+L355/[13]Pricing_BEL!$L$8</f>
        <v>0</v>
      </c>
      <c r="M701" s="25">
        <f>+M355/[14]Pricing_BEL!$L$8</f>
        <v>-0.10942117736464917</v>
      </c>
      <c r="N701" s="33">
        <f>+N355/[15]Pricing_BEL!$L$8</f>
        <v>0</v>
      </c>
      <c r="O701" s="25">
        <f>+O355/[16]Pricing_BEL!$L$8</f>
        <v>0</v>
      </c>
      <c r="P701" s="25">
        <f>+P355/[17]Pricing_BEL!$L$8</f>
        <v>5.9422449474227305E-2</v>
      </c>
      <c r="Q701" s="33">
        <f>+Q355/[18]Pricing_BEL!$L$8</f>
        <v>0</v>
      </c>
      <c r="R701" s="33">
        <f>+R355/[19]Pricing_BEL!$L$8</f>
        <v>0</v>
      </c>
      <c r="S701" s="34">
        <f>+S355/[20]Pricing_BEL!$L$8</f>
        <v>0</v>
      </c>
    </row>
    <row r="702" spans="1:37" hidden="1" outlineLevel="2" x14ac:dyDescent="0.25">
      <c r="A702" s="16" t="s">
        <v>7</v>
      </c>
      <c r="B702" s="25">
        <f>+B356/[21]Pricing_BEL!$L$9</f>
        <v>0</v>
      </c>
      <c r="C702" s="25">
        <f>+C356/[1]Pricing_BEL!$L$9</f>
        <v>0</v>
      </c>
      <c r="D702" s="33">
        <f>+D356/[5]Pricing_BEL!$L$9</f>
        <v>-4.2950325793409735E-3</v>
      </c>
      <c r="E702" s="25">
        <f>+E356/[6]Pricing_BEL!$L$9</f>
        <v>0</v>
      </c>
      <c r="F702" s="25">
        <f>+F356/[7]Pricing_BEL!$L$9</f>
        <v>0</v>
      </c>
      <c r="G702" s="33">
        <f>+G356/[8]Pricing_BEL!$L$9</f>
        <v>4.6725205676298029E-3</v>
      </c>
      <c r="H702" s="25">
        <f>+H356/[9]Pricing_BEL!$L$9</f>
        <v>0</v>
      </c>
      <c r="I702" s="25">
        <f>+I356/[10]Pricing_BEL!$L$9</f>
        <v>0</v>
      </c>
      <c r="J702" s="33">
        <f>+J356/[11]Pricing_BEL!$L$9</f>
        <v>2.4973854472984568E-2</v>
      </c>
      <c r="K702" s="25">
        <f>+K356/[12]Pricing_BEL!$L$9</f>
        <v>0</v>
      </c>
      <c r="L702" s="25">
        <f>+L356/[13]Pricing_BEL!$L$9</f>
        <v>0</v>
      </c>
      <c r="M702" s="25">
        <f>+M356/[14]Pricing_BEL!$L$9</f>
        <v>-0.1534027345116914</v>
      </c>
      <c r="N702" s="33">
        <f>+N356/[15]Pricing_BEL!$L$9</f>
        <v>0</v>
      </c>
      <c r="O702" s="25">
        <f>+O356/[16]Pricing_BEL!$L$9</f>
        <v>0</v>
      </c>
      <c r="P702" s="25">
        <f>+P356/[17]Pricing_BEL!$L$9</f>
        <v>7.3505174314252991E-2</v>
      </c>
      <c r="Q702" s="33">
        <f>+Q356/[18]Pricing_BEL!$L$9</f>
        <v>0</v>
      </c>
      <c r="R702" s="33">
        <f>+R356/[19]Pricing_BEL!$L$9</f>
        <v>0</v>
      </c>
      <c r="S702" s="34">
        <f>+S356/[20]Pricing_BEL!$L$9</f>
        <v>0</v>
      </c>
    </row>
    <row r="703" spans="1:37" hidden="1" outlineLevel="1" x14ac:dyDescent="0.25">
      <c r="A703" s="15" t="s">
        <v>8</v>
      </c>
      <c r="B703" s="25">
        <f>+B357/'[21]Stat by Mat'!$D$4</f>
        <v>0</v>
      </c>
      <c r="C703" s="25">
        <f>+C357/'[1]Stat by Mat'!$D$4</f>
        <v>0</v>
      </c>
      <c r="D703" s="33">
        <f>+D357/'[5]Stat by Mat'!$D$4</f>
        <v>-2.2566664818976304E-2</v>
      </c>
      <c r="E703" s="25">
        <f>+E357/'[6]Stat by Mat'!$D$4</f>
        <v>0</v>
      </c>
      <c r="F703" s="25">
        <f>+F357/'[7]Stat by Mat'!$D$4</f>
        <v>0</v>
      </c>
      <c r="G703" s="33">
        <f>+G357/'[8]Stat by Mat'!$D$4</f>
        <v>6.6379177234641732E-3</v>
      </c>
      <c r="H703" s="25">
        <f>+H357/'[9]Stat by Mat'!$D$4</f>
        <v>0</v>
      </c>
      <c r="I703" s="25">
        <f>+I357/'[10]Stat by Mat'!$D$4</f>
        <v>0</v>
      </c>
      <c r="J703" s="33">
        <f>+J357/'[11]Stat by Mat'!$D$4</f>
        <v>4.6931645853270599E-3</v>
      </c>
      <c r="K703" s="25">
        <f>+K357/'[12]Stat by Mat'!$D$4</f>
        <v>0</v>
      </c>
      <c r="L703" s="25">
        <f>+L357/'[13]Stat by Mat'!$D$4</f>
        <v>0</v>
      </c>
      <c r="M703" s="25">
        <f>+M357/'[14]Stat by Mat'!$D$4</f>
        <v>-0.20470749184236156</v>
      </c>
      <c r="N703" s="33">
        <f>+N357/'[15]Stat by Mat'!$D$4</f>
        <v>0</v>
      </c>
      <c r="O703" s="25">
        <f>+O357/'[16]Stat by Mat'!$D$4</f>
        <v>0</v>
      </c>
      <c r="P703" s="25">
        <f>+P357/'[17]Stat by Mat'!$D$4</f>
        <v>6.9452523860717222E-2</v>
      </c>
      <c r="Q703" s="33">
        <f>+Q357/'[18]Stat by Mat'!$D$4</f>
        <v>0</v>
      </c>
      <c r="R703" s="33">
        <f>+R357/'[19]Stat by Mat'!$D$4</f>
        <v>0</v>
      </c>
      <c r="S703" s="34">
        <f>+S357/'[20]Stat by Mat'!$D$4</f>
        <v>0</v>
      </c>
    </row>
    <row r="704" spans="1:37" hidden="1" outlineLevel="2" x14ac:dyDescent="0.25">
      <c r="A704" s="16" t="s">
        <v>9</v>
      </c>
      <c r="B704" s="25">
        <f>+B358/[21]Pricing_BEL!$L$10</f>
        <v>0</v>
      </c>
      <c r="C704" s="25">
        <f>+C358/[1]Pricing_BEL!$L$10</f>
        <v>0</v>
      </c>
      <c r="D704" s="33">
        <f>+D358/[5]Pricing_BEL!$L$10</f>
        <v>-1.2878102295031359E-2</v>
      </c>
      <c r="E704" s="25">
        <f>+E358/[6]Pricing_BEL!$L$10</f>
        <v>0</v>
      </c>
      <c r="F704" s="25">
        <f>+F358/[7]Pricing_BEL!$L$10</f>
        <v>0</v>
      </c>
      <c r="G704" s="33">
        <f>+G358/[8]Pricing_BEL!$L$10</f>
        <v>1.0078405525933937E-3</v>
      </c>
      <c r="H704" s="25">
        <f>+H358/[9]Pricing_BEL!$L$10</f>
        <v>0</v>
      </c>
      <c r="I704" s="25">
        <f>+I358/[10]Pricing_BEL!$L$10</f>
        <v>0</v>
      </c>
      <c r="J704" s="33">
        <f>+J358/[11]Pricing_BEL!$L$10</f>
        <v>1.028682092886693E-2</v>
      </c>
      <c r="K704" s="25">
        <f>+K358/[12]Pricing_BEL!$L$10</f>
        <v>0</v>
      </c>
      <c r="L704" s="25">
        <f>+L358/[13]Pricing_BEL!$L$10</f>
        <v>0</v>
      </c>
      <c r="M704" s="25">
        <f>+M358/[14]Pricing_BEL!$L$10</f>
        <v>-0.16728274948798588</v>
      </c>
      <c r="N704" s="33">
        <f>+N358/[15]Pricing_BEL!$L$10</f>
        <v>0</v>
      </c>
      <c r="O704" s="25">
        <f>+O358/[16]Pricing_BEL!$L$10</f>
        <v>0</v>
      </c>
      <c r="P704" s="25">
        <f>+P358/[17]Pricing_BEL!$L$10</f>
        <v>6.5531060223514431E-2</v>
      </c>
      <c r="Q704" s="33">
        <f>+Q358/[18]Pricing_BEL!$L$10</f>
        <v>0</v>
      </c>
      <c r="R704" s="33">
        <f>+R358/[19]Pricing_BEL!$L$10</f>
        <v>0</v>
      </c>
      <c r="S704" s="34">
        <f>+S358/[20]Pricing_BEL!$L$10</f>
        <v>0</v>
      </c>
    </row>
    <row r="705" spans="1:19" hidden="1" outlineLevel="2" x14ac:dyDescent="0.25">
      <c r="A705" s="16" t="s">
        <v>10</v>
      </c>
      <c r="B705" s="25">
        <f>+B359/[21]Pricing_BEL!$L$11</f>
        <v>0</v>
      </c>
      <c r="C705" s="25">
        <f>+C359/[1]Pricing_BEL!$L$11</f>
        <v>0</v>
      </c>
      <c r="D705" s="33">
        <f>+D359/[5]Pricing_BEL!$L$11</f>
        <v>-1.3428435225630118E-2</v>
      </c>
      <c r="E705" s="25">
        <f>+E359/[6]Pricing_BEL!$L$11</f>
        <v>0</v>
      </c>
      <c r="F705" s="25">
        <f>+F359/[7]Pricing_BEL!$L$11</f>
        <v>0</v>
      </c>
      <c r="G705" s="33">
        <f>+G359/[8]Pricing_BEL!$L$11</f>
        <v>6.4663061617145096E-3</v>
      </c>
      <c r="H705" s="25">
        <f>+H359/[9]Pricing_BEL!$L$11</f>
        <v>0</v>
      </c>
      <c r="I705" s="25">
        <f>+I359/[10]Pricing_BEL!$L$11</f>
        <v>0</v>
      </c>
      <c r="J705" s="33">
        <f>+J359/[11]Pricing_BEL!$L$11</f>
        <v>7.2330214889375129E-3</v>
      </c>
      <c r="K705" s="25">
        <f>+K359/[12]Pricing_BEL!$L$11</f>
        <v>0</v>
      </c>
      <c r="L705" s="25">
        <f>+L359/[13]Pricing_BEL!$L$11</f>
        <v>0</v>
      </c>
      <c r="M705" s="25">
        <f>+M359/[14]Pricing_BEL!$L$11</f>
        <v>-0.18247546930700487</v>
      </c>
      <c r="N705" s="33">
        <f>+N359/[15]Pricing_BEL!$L$11</f>
        <v>0</v>
      </c>
      <c r="O705" s="25">
        <f>+O359/[16]Pricing_BEL!$L$11</f>
        <v>0</v>
      </c>
      <c r="P705" s="25">
        <f>+P359/[17]Pricing_BEL!$L$11</f>
        <v>7.0535921918712927E-2</v>
      </c>
      <c r="Q705" s="33">
        <f>+Q359/[18]Pricing_BEL!$L$11</f>
        <v>0</v>
      </c>
      <c r="R705" s="33">
        <f>+R359/[19]Pricing_BEL!$L$11</f>
        <v>0</v>
      </c>
      <c r="S705" s="34">
        <f>+S359/[20]Pricing_BEL!$L$11</f>
        <v>0</v>
      </c>
    </row>
    <row r="706" spans="1:19" hidden="1" outlineLevel="2" x14ac:dyDescent="0.25">
      <c r="A706" s="16" t="s">
        <v>11</v>
      </c>
      <c r="B706" s="25">
        <f>+B360/[21]Pricing_BEL!$L$12</f>
        <v>0</v>
      </c>
      <c r="C706" s="25">
        <f>+C360/[1]Pricing_BEL!$L$12</f>
        <v>0</v>
      </c>
      <c r="D706" s="33">
        <f>+D360/[5]Pricing_BEL!$L$12</f>
        <v>-1.5761221679329085E-2</v>
      </c>
      <c r="E706" s="25">
        <f>+E360/[6]Pricing_BEL!$L$12</f>
        <v>0</v>
      </c>
      <c r="F706" s="25">
        <f>+F360/[7]Pricing_BEL!$L$12</f>
        <v>0</v>
      </c>
      <c r="G706" s="33">
        <f>+G360/[8]Pricing_BEL!$L$12</f>
        <v>1.1009115206184677E-2</v>
      </c>
      <c r="H706" s="25">
        <f>+H360/[9]Pricing_BEL!$L$12</f>
        <v>0</v>
      </c>
      <c r="I706" s="25">
        <f>+I360/[10]Pricing_BEL!$L$12</f>
        <v>0</v>
      </c>
      <c r="J706" s="33">
        <f>+J360/[11]Pricing_BEL!$L$12</f>
        <v>5.1697711869956847E-3</v>
      </c>
      <c r="K706" s="25">
        <f>+K360/[12]Pricing_BEL!$L$12</f>
        <v>0</v>
      </c>
      <c r="L706" s="25">
        <f>+L360/[13]Pricing_BEL!$L$12</f>
        <v>0</v>
      </c>
      <c r="M706" s="25">
        <f>+M360/[14]Pricing_BEL!$L$12</f>
        <v>-0.19889505867936011</v>
      </c>
      <c r="N706" s="33">
        <f>+N360/[15]Pricing_BEL!$L$12</f>
        <v>0</v>
      </c>
      <c r="O706" s="25">
        <f>+O360/[16]Pricing_BEL!$L$12</f>
        <v>0</v>
      </c>
      <c r="P706" s="25">
        <f>+P360/[17]Pricing_BEL!$L$12</f>
        <v>7.0204211504900527E-2</v>
      </c>
      <c r="Q706" s="33">
        <f>+Q360/[18]Pricing_BEL!$L$12</f>
        <v>6.5598892949767715E-2</v>
      </c>
      <c r="R706" s="33">
        <f>+R360/[19]Pricing_BEL!$L$12</f>
        <v>6.5598892949767715E-2</v>
      </c>
      <c r="S706" s="34">
        <f>+S360/[20]Pricing_BEL!$L$12</f>
        <v>6.5598892949767715E-2</v>
      </c>
    </row>
    <row r="707" spans="1:19" hidden="1" outlineLevel="2" x14ac:dyDescent="0.25">
      <c r="A707" s="16" t="s">
        <v>12</v>
      </c>
      <c r="B707" s="25">
        <f>+B361/[21]Pricing_BEL!$L$13</f>
        <v>0</v>
      </c>
      <c r="C707" s="25">
        <f>+C361/[1]Pricing_BEL!$L$13</f>
        <v>0</v>
      </c>
      <c r="D707" s="33">
        <f>+D361/[5]Pricing_BEL!$L$13</f>
        <v>-5.1854593946481453E-2</v>
      </c>
      <c r="E707" s="25">
        <f>+E361/[6]Pricing_BEL!$L$13</f>
        <v>0</v>
      </c>
      <c r="F707" s="25">
        <f>+F361/[7]Pricing_BEL!$L$13</f>
        <v>0</v>
      </c>
      <c r="G707" s="33">
        <f>+G361/[8]Pricing_BEL!$L$13</f>
        <v>3.9871943048375548E-3</v>
      </c>
      <c r="H707" s="25">
        <f>+H361/[9]Pricing_BEL!$L$13</f>
        <v>0</v>
      </c>
      <c r="I707" s="25">
        <f>+I361/[10]Pricing_BEL!$L$13</f>
        <v>0</v>
      </c>
      <c r="J707" s="33">
        <f>+J361/[11]Pricing_BEL!$L$13</f>
        <v>-6.955505085528401E-4</v>
      </c>
      <c r="K707" s="25">
        <f>+K361/[12]Pricing_BEL!$L$13</f>
        <v>0</v>
      </c>
      <c r="L707" s="25">
        <f>+L361/[13]Pricing_BEL!$L$13</f>
        <v>0</v>
      </c>
      <c r="M707" s="25">
        <f>+M361/[14]Pricing_BEL!$L$13</f>
        <v>-0.20536402759374298</v>
      </c>
      <c r="N707" s="33">
        <f>+N361/[15]Pricing_BEL!$L$13</f>
        <v>0</v>
      </c>
      <c r="O707" s="25">
        <f>+O361/[16]Pricing_BEL!$L$13</f>
        <v>0</v>
      </c>
      <c r="P707" s="25">
        <f>+P361/[17]Pricing_BEL!$L$13</f>
        <v>7.1537551825081411E-2</v>
      </c>
      <c r="Q707" s="33">
        <f>+Q361/[18]Pricing_BEL!$L$13</f>
        <v>0</v>
      </c>
      <c r="R707" s="33">
        <f>+R361/[19]Pricing_BEL!$L$13</f>
        <v>0</v>
      </c>
      <c r="S707" s="34">
        <f>+S361/[20]Pricing_BEL!$L$13</f>
        <v>0</v>
      </c>
    </row>
    <row r="708" spans="1:19" hidden="1" outlineLevel="2" x14ac:dyDescent="0.25">
      <c r="A708" s="16" t="s">
        <v>13</v>
      </c>
      <c r="B708" s="25">
        <f>+B362/[21]Pricing_BEL!$L$14</f>
        <v>0</v>
      </c>
      <c r="C708" s="25">
        <f>+C362/[1]Pricing_BEL!$L$14</f>
        <v>0</v>
      </c>
      <c r="D708" s="33">
        <f>+D362/[5]Pricing_BEL!$L$14</f>
        <v>-3.7580610384024944E-2</v>
      </c>
      <c r="E708" s="25">
        <f>+E362/[6]Pricing_BEL!$L$14</f>
        <v>0</v>
      </c>
      <c r="F708" s="25">
        <f>+F362/[7]Pricing_BEL!$L$14</f>
        <v>0</v>
      </c>
      <c r="G708" s="33">
        <f>+G362/[8]Pricing_BEL!$L$14</f>
        <v>1.6835936014922784E-2</v>
      </c>
      <c r="H708" s="25">
        <f>+H362/[9]Pricing_BEL!$L$14</f>
        <v>0</v>
      </c>
      <c r="I708" s="25">
        <f>+I362/[10]Pricing_BEL!$L$14</f>
        <v>0</v>
      </c>
      <c r="J708" s="33">
        <f>+J362/[11]Pricing_BEL!$L$14</f>
        <v>-7.6831247478670386E-3</v>
      </c>
      <c r="K708" s="25">
        <f>+K362/[12]Pricing_BEL!$L$14</f>
        <v>0</v>
      </c>
      <c r="L708" s="25">
        <f>+L362/[13]Pricing_BEL!$L$14</f>
        <v>0</v>
      </c>
      <c r="M708" s="25">
        <f>+M362/[14]Pricing_BEL!$L$14</f>
        <v>-0.34313652456645977</v>
      </c>
      <c r="N708" s="33">
        <f>+N362/[15]Pricing_BEL!$L$14</f>
        <v>0</v>
      </c>
      <c r="O708" s="25">
        <f>+O362/[16]Pricing_BEL!$L$14</f>
        <v>0</v>
      </c>
      <c r="P708" s="25">
        <f>+P362/[17]Pricing_BEL!$L$14</f>
        <v>7.4504293567343879E-2</v>
      </c>
      <c r="Q708" s="33">
        <f>+Q362/[18]Pricing_BEL!$L$14</f>
        <v>0</v>
      </c>
      <c r="R708" s="33">
        <f>+R362/[19]Pricing_BEL!$L$14</f>
        <v>0</v>
      </c>
      <c r="S708" s="34">
        <f>+S362/[20]Pricing_BEL!$L$14</f>
        <v>0</v>
      </c>
    </row>
    <row r="709" spans="1:19" hidden="1" outlineLevel="1" x14ac:dyDescent="0.25">
      <c r="A709" s="15" t="s">
        <v>14</v>
      </c>
      <c r="B709" s="25">
        <f>+B363/'[21]Stat by Mat'!$D$5</f>
        <v>0</v>
      </c>
      <c r="C709" s="25">
        <f>+C363/'[1]Stat by Mat'!$D$5</f>
        <v>0</v>
      </c>
      <c r="D709" s="33">
        <f>+D363/'[5]Stat by Mat'!$D$5</f>
        <v>-7.6472134453866011E-2</v>
      </c>
      <c r="E709" s="25">
        <f>+E363/'[6]Stat by Mat'!$D$5</f>
        <v>0</v>
      </c>
      <c r="F709" s="25">
        <f>+F363/'[7]Stat by Mat'!$D$5</f>
        <v>0</v>
      </c>
      <c r="G709" s="33">
        <f>+G363/'[8]Stat by Mat'!$D$5</f>
        <v>-4.2452445591570435E-4</v>
      </c>
      <c r="H709" s="25">
        <f>+H363/'[9]Stat by Mat'!$D$5</f>
        <v>0</v>
      </c>
      <c r="I709" s="25">
        <f>+I363/'[10]Stat by Mat'!$D$5</f>
        <v>0</v>
      </c>
      <c r="J709" s="33">
        <f>+J363/'[11]Stat by Mat'!$D$5</f>
        <v>7.7088523461417242E-3</v>
      </c>
      <c r="K709" s="25">
        <f>+K363/'[12]Stat by Mat'!$D$5</f>
        <v>0</v>
      </c>
      <c r="L709" s="25">
        <f>+L363/'[13]Stat by Mat'!$D$5</f>
        <v>0</v>
      </c>
      <c r="M709" s="25">
        <f>+M363/'[14]Stat by Mat'!$D$5</f>
        <v>-0.24156775139282108</v>
      </c>
      <c r="N709" s="33">
        <f>+N363/'[15]Stat by Mat'!$D$5</f>
        <v>0</v>
      </c>
      <c r="O709" s="25">
        <f>+O363/'[16]Stat by Mat'!$D$5</f>
        <v>0</v>
      </c>
      <c r="P709" s="25">
        <f>+P363/'[17]Stat by Mat'!$D$5</f>
        <v>4.6746766568708409E-2</v>
      </c>
      <c r="Q709" s="33">
        <f>+Q363/'[18]Stat by Mat'!$D$5</f>
        <v>0</v>
      </c>
      <c r="R709" s="33">
        <f>+R363/'[19]Stat by Mat'!$D$5</f>
        <v>0</v>
      </c>
      <c r="S709" s="34">
        <f>+S363/'[20]Stat by Mat'!$D$5</f>
        <v>0</v>
      </c>
    </row>
    <row r="710" spans="1:19" hidden="1" outlineLevel="2" x14ac:dyDescent="0.25">
      <c r="A710" s="16" t="s">
        <v>15</v>
      </c>
      <c r="B710" s="25">
        <f>+B364/[21]Pricing_BEL!$L$15</f>
        <v>0</v>
      </c>
      <c r="C710" s="25">
        <f>+C364/[1]Pricing_BEL!$L$15</f>
        <v>0</v>
      </c>
      <c r="D710" s="33">
        <f>+D364/[5]Pricing_BEL!$L$15</f>
        <v>-5.9350745429459811E-2</v>
      </c>
      <c r="E710" s="25">
        <f>+E364/[6]Pricing_BEL!$L$15</f>
        <v>0</v>
      </c>
      <c r="F710" s="25">
        <f>+F364/[7]Pricing_BEL!$L$15</f>
        <v>0</v>
      </c>
      <c r="G710" s="33">
        <f>+G364/[8]Pricing_BEL!$L$15</f>
        <v>1.4243420902638341E-2</v>
      </c>
      <c r="H710" s="25">
        <f>+H364/[9]Pricing_BEL!$L$15</f>
        <v>0</v>
      </c>
      <c r="I710" s="25">
        <f>+I364/[10]Pricing_BEL!$L$15</f>
        <v>0</v>
      </c>
      <c r="J710" s="33">
        <f>+J364/[11]Pricing_BEL!$L$15</f>
        <v>-8.7692270758445504E-4</v>
      </c>
      <c r="K710" s="25">
        <f>+K364/[12]Pricing_BEL!$L$15</f>
        <v>0</v>
      </c>
      <c r="L710" s="25">
        <f>+L364/[13]Pricing_BEL!$L$15</f>
        <v>0</v>
      </c>
      <c r="M710" s="25">
        <f>+M364/[14]Pricing_BEL!$L$15</f>
        <v>-0.37452113207387555</v>
      </c>
      <c r="N710" s="33">
        <f>+N364/[15]Pricing_BEL!$L$15</f>
        <v>0</v>
      </c>
      <c r="O710" s="25">
        <f>+O364/[16]Pricing_BEL!$L$15</f>
        <v>0</v>
      </c>
      <c r="P710" s="25">
        <f>+P364/[17]Pricing_BEL!$L$15</f>
        <v>7.4748151703066465E-2</v>
      </c>
      <c r="Q710" s="33">
        <f>+Q364/[18]Pricing_BEL!$L$15</f>
        <v>0</v>
      </c>
      <c r="R710" s="33">
        <f>+R364/[19]Pricing_BEL!$L$15</f>
        <v>0</v>
      </c>
      <c r="S710" s="34">
        <f>+S364/[20]Pricing_BEL!$L$15</f>
        <v>0</v>
      </c>
    </row>
    <row r="711" spans="1:19" hidden="1" outlineLevel="2" x14ac:dyDescent="0.25">
      <c r="A711" s="16" t="s">
        <v>16</v>
      </c>
      <c r="B711" s="25">
        <f>+B365/[21]Pricing_BEL!$L$16</f>
        <v>0</v>
      </c>
      <c r="C711" s="25">
        <f>+C365/[1]Pricing_BEL!$L$16</f>
        <v>0</v>
      </c>
      <c r="D711" s="33">
        <f>+D365/[5]Pricing_BEL!$L$16</f>
        <v>-9.5745464227769056E-2</v>
      </c>
      <c r="E711" s="25">
        <f>+E365/[6]Pricing_BEL!$L$16</f>
        <v>0</v>
      </c>
      <c r="F711" s="25">
        <f>+F365/[7]Pricing_BEL!$L$16</f>
        <v>0</v>
      </c>
      <c r="G711" s="33">
        <f>+G365/[8]Pricing_BEL!$L$16</f>
        <v>2.1496316014100324E-3</v>
      </c>
      <c r="H711" s="25">
        <f>+H365/[9]Pricing_BEL!$L$16</f>
        <v>0</v>
      </c>
      <c r="I711" s="25">
        <f>+I365/[10]Pricing_BEL!$L$16</f>
        <v>0</v>
      </c>
      <c r="J711" s="33">
        <f>+J365/[11]Pricing_BEL!$L$16</f>
        <v>7.4087696938545623E-3</v>
      </c>
      <c r="K711" s="25">
        <f>+K365/[12]Pricing_BEL!$L$16</f>
        <v>0</v>
      </c>
      <c r="L711" s="25">
        <f>+L365/[13]Pricing_BEL!$L$16</f>
        <v>0</v>
      </c>
      <c r="M711" s="25">
        <f>+M365/[14]Pricing_BEL!$L$16</f>
        <v>-0.26386723470627316</v>
      </c>
      <c r="N711" s="33">
        <f>+N365/[15]Pricing_BEL!$L$16</f>
        <v>0</v>
      </c>
      <c r="O711" s="25">
        <f>+O365/[16]Pricing_BEL!$L$16</f>
        <v>0</v>
      </c>
      <c r="P711" s="25">
        <f>+P365/[17]Pricing_BEL!$L$16</f>
        <v>4.214969804524836E-2</v>
      </c>
      <c r="Q711" s="33">
        <f>+Q365/[18]Pricing_BEL!$L$16</f>
        <v>0</v>
      </c>
      <c r="R711" s="33">
        <f>+R365/[19]Pricing_BEL!$L$16</f>
        <v>0</v>
      </c>
      <c r="S711" s="34">
        <f>+S365/[20]Pricing_BEL!$L$16</f>
        <v>0</v>
      </c>
    </row>
    <row r="712" spans="1:19" hidden="1" outlineLevel="2" x14ac:dyDescent="0.25">
      <c r="A712" s="16" t="s">
        <v>17</v>
      </c>
      <c r="B712" s="25">
        <f>+B366/[21]Pricing_BEL!$L$17</f>
        <v>0</v>
      </c>
      <c r="C712" s="25">
        <f>+C366/[1]Pricing_BEL!$L$17</f>
        <v>0</v>
      </c>
      <c r="D712" s="33">
        <f>+D366/[5]Pricing_BEL!$L$17</f>
        <v>-9.3111236565106281E-2</v>
      </c>
      <c r="E712" s="25">
        <f>+E366/[6]Pricing_BEL!$L$17</f>
        <v>0</v>
      </c>
      <c r="F712" s="25">
        <f>+F366/[7]Pricing_BEL!$L$17</f>
        <v>0</v>
      </c>
      <c r="G712" s="33">
        <f>+G366/[8]Pricing_BEL!$L$17</f>
        <v>-1.6024604204655337E-3</v>
      </c>
      <c r="H712" s="25">
        <f>+H366/[9]Pricing_BEL!$L$17</f>
        <v>0</v>
      </c>
      <c r="I712" s="25">
        <f>+I366/[10]Pricing_BEL!$L$17</f>
        <v>0</v>
      </c>
      <c r="J712" s="33">
        <f>+J366/[11]Pricing_BEL!$L$17</f>
        <v>5.5519389629360132E-3</v>
      </c>
      <c r="K712" s="25">
        <f>+K366/[12]Pricing_BEL!$L$17</f>
        <v>0</v>
      </c>
      <c r="L712" s="25">
        <f>+L366/[13]Pricing_BEL!$L$17</f>
        <v>0</v>
      </c>
      <c r="M712" s="25">
        <f>+M366/[14]Pricing_BEL!$L$17</f>
        <v>-0.2406388025644291</v>
      </c>
      <c r="N712" s="33">
        <f>+N366/[15]Pricing_BEL!$L$17</f>
        <v>0</v>
      </c>
      <c r="O712" s="25">
        <f>+O366/[16]Pricing_BEL!$L$17</f>
        <v>0</v>
      </c>
      <c r="P712" s="25">
        <f>+P366/[17]Pricing_BEL!$L$17</f>
        <v>4.5894758294067986E-2</v>
      </c>
      <c r="Q712" s="33">
        <f>+Q366/[18]Pricing_BEL!$L$17</f>
        <v>0</v>
      </c>
      <c r="R712" s="33">
        <f>+R366/[19]Pricing_BEL!$L$17</f>
        <v>0</v>
      </c>
      <c r="S712" s="34">
        <f>+S366/[20]Pricing_BEL!$L$17</f>
        <v>0</v>
      </c>
    </row>
    <row r="713" spans="1:19" hidden="1" outlineLevel="2" x14ac:dyDescent="0.25">
      <c r="A713" s="16" t="s">
        <v>18</v>
      </c>
      <c r="B713" s="25">
        <f>+B367/[21]Pricing_BEL!$L$18</f>
        <v>0</v>
      </c>
      <c r="C713" s="25">
        <f>+C367/[1]Pricing_BEL!$L$18</f>
        <v>0</v>
      </c>
      <c r="D713" s="33">
        <f>+D367/[5]Pricing_BEL!$L$18</f>
        <v>-8.6506855101543281E-2</v>
      </c>
      <c r="E713" s="25">
        <f>+E367/[6]Pricing_BEL!$L$18</f>
        <v>0</v>
      </c>
      <c r="F713" s="25">
        <f>+F367/[7]Pricing_BEL!$L$18</f>
        <v>0</v>
      </c>
      <c r="G713" s="33">
        <f>+G367/[8]Pricing_BEL!$L$18</f>
        <v>3.8294092535782055E-3</v>
      </c>
      <c r="H713" s="25">
        <f>+H367/[9]Pricing_BEL!$L$18</f>
        <v>0</v>
      </c>
      <c r="I713" s="25">
        <f>+I367/[10]Pricing_BEL!$L$18</f>
        <v>0</v>
      </c>
      <c r="J713" s="33">
        <f>+J367/[11]Pricing_BEL!$L$18</f>
        <v>6.9351652936637982E-3</v>
      </c>
      <c r="K713" s="25">
        <f>+K367/[12]Pricing_BEL!$L$18</f>
        <v>0</v>
      </c>
      <c r="L713" s="25">
        <f>+L367/[13]Pricing_BEL!$L$18</f>
        <v>0</v>
      </c>
      <c r="M713" s="25">
        <f>+M367/[14]Pricing_BEL!$L$18</f>
        <v>-0.21601487899691191</v>
      </c>
      <c r="N713" s="33">
        <f>+N367/[15]Pricing_BEL!$L$18</f>
        <v>0</v>
      </c>
      <c r="O713" s="25">
        <f>+O367/[16]Pricing_BEL!$L$18</f>
        <v>0</v>
      </c>
      <c r="P713" s="25">
        <f>+P367/[17]Pricing_BEL!$L$18</f>
        <v>4.6457335449930505E-2</v>
      </c>
      <c r="Q713" s="33">
        <f>+Q367/[18]Pricing_BEL!$L$18</f>
        <v>0</v>
      </c>
      <c r="R713" s="33">
        <f>+R367/[19]Pricing_BEL!$L$18</f>
        <v>0</v>
      </c>
      <c r="S713" s="34">
        <f>+S367/[20]Pricing_BEL!$L$18</f>
        <v>0</v>
      </c>
    </row>
    <row r="714" spans="1:19" hidden="1" outlineLevel="2" x14ac:dyDescent="0.25">
      <c r="A714" s="16" t="s">
        <v>19</v>
      </c>
      <c r="B714" s="25">
        <f>+B368/[21]Pricing_BEL!$L$19</f>
        <v>0</v>
      </c>
      <c r="C714" s="25">
        <f>+C368/[1]Pricing_BEL!$L$19</f>
        <v>0</v>
      </c>
      <c r="D714" s="33">
        <f>+D368/[5]Pricing_BEL!$L$19</f>
        <v>-8.0364086125771686E-2</v>
      </c>
      <c r="E714" s="25">
        <f>+E368/[6]Pricing_BEL!$L$19</f>
        <v>0</v>
      </c>
      <c r="F714" s="25">
        <f>+F368/[7]Pricing_BEL!$L$19</f>
        <v>0</v>
      </c>
      <c r="G714" s="33">
        <f>+G368/[8]Pricing_BEL!$L$19</f>
        <v>-3.6954001473467456E-3</v>
      </c>
      <c r="H714" s="25">
        <f>+H368/[9]Pricing_BEL!$L$19</f>
        <v>0</v>
      </c>
      <c r="I714" s="25">
        <f>+I368/[10]Pricing_BEL!$L$19</f>
        <v>0</v>
      </c>
      <c r="J714" s="33">
        <f>+J368/[11]Pricing_BEL!$L$19</f>
        <v>-6.9870397820842871E-4</v>
      </c>
      <c r="K714" s="25">
        <f>+K368/[12]Pricing_BEL!$L$19</f>
        <v>0</v>
      </c>
      <c r="L714" s="25">
        <f>+L368/[13]Pricing_BEL!$L$19</f>
        <v>0</v>
      </c>
      <c r="M714" s="25">
        <f>+M368/[14]Pricing_BEL!$L$19</f>
        <v>-0.19984712617384559</v>
      </c>
      <c r="N714" s="33">
        <f>+N368/[15]Pricing_BEL!$L$19</f>
        <v>0</v>
      </c>
      <c r="O714" s="25">
        <f>+O368/[16]Pricing_BEL!$L$19</f>
        <v>0</v>
      </c>
      <c r="P714" s="25">
        <f>+P368/[17]Pricing_BEL!$L$19</f>
        <v>3.6178800806021455E-2</v>
      </c>
      <c r="Q714" s="33">
        <f>+Q368/[18]Pricing_BEL!$L$19</f>
        <v>0</v>
      </c>
      <c r="R714" s="33">
        <f>+R368/[19]Pricing_BEL!$L$19</f>
        <v>0</v>
      </c>
      <c r="S714" s="34">
        <f>+S368/[20]Pricing_BEL!$L$19</f>
        <v>0</v>
      </c>
    </row>
    <row r="715" spans="1:19" hidden="1" outlineLevel="2" x14ac:dyDescent="0.25">
      <c r="A715" s="16" t="s">
        <v>20</v>
      </c>
      <c r="B715" s="25">
        <f>+B369/[21]Pricing_BEL!$L$20</f>
        <v>0</v>
      </c>
      <c r="C715" s="25">
        <f>+C369/[1]Pricing_BEL!$L$20</f>
        <v>0</v>
      </c>
      <c r="D715" s="33">
        <f>+D369/[5]Pricing_BEL!$L$20</f>
        <v>-7.8187917184037961E-2</v>
      </c>
      <c r="E715" s="25">
        <f>+E369/[6]Pricing_BEL!$L$20</f>
        <v>0</v>
      </c>
      <c r="F715" s="25">
        <f>+F369/[7]Pricing_BEL!$L$20</f>
        <v>0</v>
      </c>
      <c r="G715" s="33">
        <f>+G369/[8]Pricing_BEL!$L$20</f>
        <v>-9.5051492287883798E-3</v>
      </c>
      <c r="H715" s="25">
        <f>+H369/[9]Pricing_BEL!$L$20</f>
        <v>0</v>
      </c>
      <c r="I715" s="25">
        <f>+I369/[10]Pricing_BEL!$L$20</f>
        <v>0</v>
      </c>
      <c r="J715" s="33">
        <f>+J369/[11]Pricing_BEL!$L$20</f>
        <v>3.9956683870828978E-3</v>
      </c>
      <c r="K715" s="25">
        <f>+K369/[12]Pricing_BEL!$L$20</f>
        <v>0</v>
      </c>
      <c r="L715" s="25">
        <f>+L369/[13]Pricing_BEL!$L$20</f>
        <v>0</v>
      </c>
      <c r="M715" s="25">
        <f>+M369/[14]Pricing_BEL!$L$20</f>
        <v>-0.18927084159006341</v>
      </c>
      <c r="N715" s="33">
        <f>+N369/[15]Pricing_BEL!$L$20</f>
        <v>0</v>
      </c>
      <c r="O715" s="25">
        <f>+O369/[16]Pricing_BEL!$L$20</f>
        <v>0</v>
      </c>
      <c r="P715" s="25">
        <f>+P369/[17]Pricing_BEL!$L$20</f>
        <v>3.5208099461213269E-2</v>
      </c>
      <c r="Q715" s="33">
        <f>+Q369/[18]Pricing_BEL!$L$20</f>
        <v>0</v>
      </c>
      <c r="R715" s="33">
        <f>+R369/[19]Pricing_BEL!$L$20</f>
        <v>0</v>
      </c>
      <c r="S715" s="34">
        <f>+S369/[20]Pricing_BEL!$L$20</f>
        <v>0</v>
      </c>
    </row>
    <row r="716" spans="1:19" hidden="1" outlineLevel="2" x14ac:dyDescent="0.25">
      <c r="A716" s="16" t="s">
        <v>21</v>
      </c>
      <c r="B716" s="25">
        <f>+B370/[21]Pricing_BEL!$L$21</f>
        <v>0</v>
      </c>
      <c r="C716" s="25">
        <f>+C370/[1]Pricing_BEL!$L$21</f>
        <v>0</v>
      </c>
      <c r="D716" s="33">
        <f>+D370/[5]Pricing_BEL!$L$21</f>
        <v>-7.4707597789151273E-2</v>
      </c>
      <c r="E716" s="25">
        <f>+E370/[6]Pricing_BEL!$L$21</f>
        <v>0</v>
      </c>
      <c r="F716" s="25">
        <f>+F370/[7]Pricing_BEL!$L$21</f>
        <v>0</v>
      </c>
      <c r="G716" s="33">
        <f>+G370/[8]Pricing_BEL!$L$21</f>
        <v>-1.1232026785448938E-2</v>
      </c>
      <c r="H716" s="25">
        <f>+H370/[9]Pricing_BEL!$L$21</f>
        <v>0</v>
      </c>
      <c r="I716" s="25">
        <f>+I370/[10]Pricing_BEL!$L$21</f>
        <v>0</v>
      </c>
      <c r="J716" s="33">
        <f>+J370/[11]Pricing_BEL!$L$21</f>
        <v>8.7692859830422274E-3</v>
      </c>
      <c r="K716" s="25">
        <f>+K370/[12]Pricing_BEL!$L$21</f>
        <v>0</v>
      </c>
      <c r="L716" s="25">
        <f>+L370/[13]Pricing_BEL!$L$21</f>
        <v>0</v>
      </c>
      <c r="M716" s="25">
        <f>+M370/[14]Pricing_BEL!$L$21</f>
        <v>-0.18237838495668415</v>
      </c>
      <c r="N716" s="33">
        <f>+N370/[15]Pricing_BEL!$L$21</f>
        <v>0</v>
      </c>
      <c r="O716" s="25">
        <f>+O370/[16]Pricing_BEL!$L$21</f>
        <v>0</v>
      </c>
      <c r="P716" s="25">
        <f>+P370/[17]Pricing_BEL!$L$21</f>
        <v>3.6052956027917443E-2</v>
      </c>
      <c r="Q716" s="33">
        <f>+Q370/[18]Pricing_BEL!$L$21</f>
        <v>0</v>
      </c>
      <c r="R716" s="33">
        <f>+R370/[19]Pricing_BEL!$L$21</f>
        <v>0</v>
      </c>
      <c r="S716" s="34">
        <f>+S370/[20]Pricing_BEL!$L$21</f>
        <v>0</v>
      </c>
    </row>
    <row r="717" spans="1:19" hidden="1" outlineLevel="2" x14ac:dyDescent="0.25">
      <c r="A717" s="16" t="s">
        <v>22</v>
      </c>
      <c r="B717" s="25">
        <f>+B371/[21]Pricing_BEL!$L$22</f>
        <v>0</v>
      </c>
      <c r="C717" s="25">
        <f>+C371/[1]Pricing_BEL!$L$22</f>
        <v>0</v>
      </c>
      <c r="D717" s="33">
        <f>+D371/[5]Pricing_BEL!$L$22</f>
        <v>-6.5947408649753042E-2</v>
      </c>
      <c r="E717" s="25">
        <f>+E371/[6]Pricing_BEL!$L$22</f>
        <v>0</v>
      </c>
      <c r="F717" s="25">
        <f>+F371/[7]Pricing_BEL!$L$22</f>
        <v>0</v>
      </c>
      <c r="G717" s="33">
        <f>+G371/[8]Pricing_BEL!$L$22</f>
        <v>-1.2542924545044448E-2</v>
      </c>
      <c r="H717" s="25">
        <f>+H371/[9]Pricing_BEL!$L$22</f>
        <v>0</v>
      </c>
      <c r="I717" s="25">
        <f>+I371/[10]Pricing_BEL!$L$22</f>
        <v>0</v>
      </c>
      <c r="J717" s="33">
        <f>+J371/[11]Pricing_BEL!$L$22</f>
        <v>2.0758468099655238E-2</v>
      </c>
      <c r="K717" s="25">
        <f>+K371/[12]Pricing_BEL!$L$22</f>
        <v>0</v>
      </c>
      <c r="L717" s="25">
        <f>+L371/[13]Pricing_BEL!$L$22</f>
        <v>0</v>
      </c>
      <c r="M717" s="25">
        <f>+M371/[14]Pricing_BEL!$L$22</f>
        <v>-0.17061737808768856</v>
      </c>
      <c r="N717" s="33">
        <f>+N371/[15]Pricing_BEL!$L$22</f>
        <v>0</v>
      </c>
      <c r="O717" s="25">
        <f>+O371/[16]Pricing_BEL!$L$22</f>
        <v>0</v>
      </c>
      <c r="P717" s="25">
        <f>+P371/[17]Pricing_BEL!$L$22</f>
        <v>4.2489677728128519E-2</v>
      </c>
      <c r="Q717" s="33">
        <f>+Q371/[18]Pricing_BEL!$L$22</f>
        <v>0</v>
      </c>
      <c r="R717" s="33">
        <f>+R371/[19]Pricing_BEL!$L$22</f>
        <v>0</v>
      </c>
      <c r="S717" s="34">
        <f>+S371/[20]Pricing_BEL!$L$22</f>
        <v>0</v>
      </c>
    </row>
    <row r="718" spans="1:19" hidden="1" outlineLevel="2" x14ac:dyDescent="0.25">
      <c r="A718" s="16" t="s">
        <v>23</v>
      </c>
      <c r="B718" s="25">
        <f>+B372/[21]Pricing_BEL!$L$23</f>
        <v>0</v>
      </c>
      <c r="C718" s="25">
        <f>+C372/[1]Pricing_BEL!$L$23</f>
        <v>0</v>
      </c>
      <c r="D718" s="33">
        <f>+D372/[5]Pricing_BEL!$L$23</f>
        <v>-5.1262609281380871E-2</v>
      </c>
      <c r="E718" s="25">
        <f>+E372/[6]Pricing_BEL!$L$23</f>
        <v>0</v>
      </c>
      <c r="F718" s="25">
        <f>+F372/[7]Pricing_BEL!$L$23</f>
        <v>0</v>
      </c>
      <c r="G718" s="33">
        <f>+G372/[8]Pricing_BEL!$L$23</f>
        <v>-6.9487597360553405E-3</v>
      </c>
      <c r="H718" s="25">
        <f>+H372/[9]Pricing_BEL!$L$23</f>
        <v>0</v>
      </c>
      <c r="I718" s="25">
        <f>+I372/[10]Pricing_BEL!$L$23</f>
        <v>0</v>
      </c>
      <c r="J718" s="33">
        <f>+J372/[11]Pricing_BEL!$L$23</f>
        <v>3.4051704188092925E-2</v>
      </c>
      <c r="K718" s="25">
        <f>+K372/[12]Pricing_BEL!$L$23</f>
        <v>0</v>
      </c>
      <c r="L718" s="25">
        <f>+L372/[13]Pricing_BEL!$L$23</f>
        <v>0</v>
      </c>
      <c r="M718" s="25">
        <f>+M372/[14]Pricing_BEL!$L$23</f>
        <v>-0.15359050722157824</v>
      </c>
      <c r="N718" s="33">
        <f>+N372/[15]Pricing_BEL!$L$23</f>
        <v>0</v>
      </c>
      <c r="O718" s="25">
        <f>+O372/[16]Pricing_BEL!$L$23</f>
        <v>0</v>
      </c>
      <c r="P718" s="25">
        <f>+P372/[17]Pricing_BEL!$L$23</f>
        <v>4.4942047758944191E-2</v>
      </c>
      <c r="Q718" s="33">
        <f>+Q372/[18]Pricing_BEL!$L$23</f>
        <v>0</v>
      </c>
      <c r="R718" s="33">
        <f>+R372/[19]Pricing_BEL!$L$23</f>
        <v>0</v>
      </c>
      <c r="S718" s="34">
        <f>+S372/[20]Pricing_BEL!$L$23</f>
        <v>0</v>
      </c>
    </row>
    <row r="719" spans="1:19" hidden="1" outlineLevel="2" x14ac:dyDescent="0.25">
      <c r="A719" s="16" t="s">
        <v>24</v>
      </c>
      <c r="B719" s="25">
        <f>+B373/[21]Pricing_BEL!$L$24</f>
        <v>0</v>
      </c>
      <c r="C719" s="25">
        <f>+C373/[1]Pricing_BEL!$L$24</f>
        <v>0</v>
      </c>
      <c r="D719" s="33">
        <f>+D373/[5]Pricing_BEL!$L$24</f>
        <v>-5.220188757481805E-2</v>
      </c>
      <c r="E719" s="25">
        <f>+E373/[6]Pricing_BEL!$L$24</f>
        <v>0</v>
      </c>
      <c r="F719" s="25">
        <f>+F373/[7]Pricing_BEL!$L$24</f>
        <v>0</v>
      </c>
      <c r="G719" s="33">
        <f>+G373/[8]Pricing_BEL!$L$24</f>
        <v>-1.2309664809423373E-2</v>
      </c>
      <c r="H719" s="25">
        <f>+H373/[9]Pricing_BEL!$L$24</f>
        <v>0</v>
      </c>
      <c r="I719" s="25">
        <f>+I373/[10]Pricing_BEL!$L$24</f>
        <v>0</v>
      </c>
      <c r="J719" s="33">
        <f>+J373/[11]Pricing_BEL!$L$24</f>
        <v>2.8209893601616166E-2</v>
      </c>
      <c r="K719" s="25">
        <f>+K373/[12]Pricing_BEL!$L$24</f>
        <v>0</v>
      </c>
      <c r="L719" s="25">
        <f>+L373/[13]Pricing_BEL!$L$24</f>
        <v>0</v>
      </c>
      <c r="M719" s="25">
        <f>+M373/[14]Pricing_BEL!$L$24</f>
        <v>-0.1481720259246849</v>
      </c>
      <c r="N719" s="33">
        <f>+N373/[15]Pricing_BEL!$L$24</f>
        <v>0</v>
      </c>
      <c r="O719" s="25">
        <f>+O373/[16]Pricing_BEL!$L$24</f>
        <v>0</v>
      </c>
      <c r="P719" s="25">
        <f>+P373/[17]Pricing_BEL!$L$24</f>
        <v>3.9044879441012474E-2</v>
      </c>
      <c r="Q719" s="33">
        <f>+Q373/[18]Pricing_BEL!$L$24</f>
        <v>0</v>
      </c>
      <c r="R719" s="33">
        <f>+R373/[19]Pricing_BEL!$L$24</f>
        <v>0</v>
      </c>
      <c r="S719" s="34">
        <f>+S373/[20]Pricing_BEL!$L$24</f>
        <v>0</v>
      </c>
    </row>
    <row r="720" spans="1:19" hidden="1" outlineLevel="1" x14ac:dyDescent="0.25">
      <c r="A720" s="15" t="s">
        <v>25</v>
      </c>
      <c r="B720" s="25">
        <f>+B374/'[21]Stat by Mat'!$D$6</f>
        <v>0</v>
      </c>
      <c r="C720" s="25">
        <f>+C374/'[1]Stat by Mat'!$D$6</f>
        <v>0</v>
      </c>
      <c r="D720" s="33">
        <f>+D374/'[5]Stat by Mat'!$D$6</f>
        <v>-3.9807497455581035E-2</v>
      </c>
      <c r="E720" s="25">
        <f>+E374/'[6]Stat by Mat'!$D$6</f>
        <v>0</v>
      </c>
      <c r="F720" s="25">
        <f>+F374/'[7]Stat by Mat'!$D$6</f>
        <v>0</v>
      </c>
      <c r="G720" s="33">
        <f>+G374/'[8]Stat by Mat'!$D$6</f>
        <v>-5.5718286466071296E-4</v>
      </c>
      <c r="H720" s="25">
        <f>+H374/'[9]Stat by Mat'!$D$6</f>
        <v>0</v>
      </c>
      <c r="I720" s="25">
        <f>+I374/'[10]Stat by Mat'!$D$6</f>
        <v>0</v>
      </c>
      <c r="J720" s="33">
        <f>+J374/'[11]Stat by Mat'!$D$6</f>
        <v>6.0161983543967193E-2</v>
      </c>
      <c r="K720" s="25">
        <f>+K374/'[12]Stat by Mat'!$D$6</f>
        <v>0</v>
      </c>
      <c r="L720" s="25">
        <f>+L374/'[13]Stat by Mat'!$D$6</f>
        <v>0</v>
      </c>
      <c r="M720" s="25">
        <f>+M374/'[14]Stat by Mat'!$D$6</f>
        <v>-0.25119759016167631</v>
      </c>
      <c r="N720" s="33">
        <f>+N374/'[15]Stat by Mat'!$D$6</f>
        <v>0</v>
      </c>
      <c r="O720" s="25">
        <f>+O374/'[16]Stat by Mat'!$D$6</f>
        <v>0</v>
      </c>
      <c r="P720" s="25">
        <f>+P374/'[17]Stat by Mat'!$D$6</f>
        <v>5.035245550261256E-2</v>
      </c>
      <c r="Q720" s="33">
        <f>+Q374/'[18]Stat by Mat'!$D$6</f>
        <v>0</v>
      </c>
      <c r="R720" s="33">
        <f>+R374/'[19]Stat by Mat'!$D$6</f>
        <v>0</v>
      </c>
      <c r="S720" s="34">
        <f>+S374/'[20]Stat by Mat'!$D$6</f>
        <v>0</v>
      </c>
    </row>
    <row r="721" spans="1:19" hidden="1" outlineLevel="2" x14ac:dyDescent="0.25">
      <c r="A721" s="16" t="s">
        <v>26</v>
      </c>
      <c r="B721" s="25">
        <f>+B375/[21]Pricing_BEL!$L$25</f>
        <v>0</v>
      </c>
      <c r="C721" s="25">
        <f>+C375/[1]Pricing_BEL!$L$25</f>
        <v>0</v>
      </c>
      <c r="D721" s="33">
        <f>+D375/[5]Pricing_BEL!$L$25</f>
        <v>-5.3887262363012819E-2</v>
      </c>
      <c r="E721" s="25">
        <f>+E375/[6]Pricing_BEL!$L$25</f>
        <v>0</v>
      </c>
      <c r="F721" s="25">
        <f>+F375/[7]Pricing_BEL!$L$25</f>
        <v>0</v>
      </c>
      <c r="G721" s="33">
        <f>+G375/[8]Pricing_BEL!$L$25</f>
        <v>-1.4506817309299869E-2</v>
      </c>
      <c r="H721" s="25">
        <f>+H375/[9]Pricing_BEL!$L$25</f>
        <v>0</v>
      </c>
      <c r="I721" s="25">
        <f>+I375/[10]Pricing_BEL!$L$25</f>
        <v>0</v>
      </c>
      <c r="J721" s="33">
        <f>+J375/[11]Pricing_BEL!$L$25</f>
        <v>3.4129548048253924E-2</v>
      </c>
      <c r="K721" s="25">
        <f>+K375/[12]Pricing_BEL!$L$25</f>
        <v>0</v>
      </c>
      <c r="L721" s="25">
        <f>+L375/[13]Pricing_BEL!$L$25</f>
        <v>0</v>
      </c>
      <c r="M721" s="25">
        <f>+M375/[14]Pricing_BEL!$L$25</f>
        <v>-0.16457141005732409</v>
      </c>
      <c r="N721" s="33">
        <f>+N375/[15]Pricing_BEL!$L$25</f>
        <v>0</v>
      </c>
      <c r="O721" s="25">
        <f>+O375/[16]Pricing_BEL!$L$25</f>
        <v>0</v>
      </c>
      <c r="P721" s="25">
        <f>+P375/[17]Pricing_BEL!$L$25</f>
        <v>3.7694443963204614E-2</v>
      </c>
      <c r="Q721" s="33">
        <f>+Q375/[18]Pricing_BEL!$L$25</f>
        <v>0</v>
      </c>
      <c r="R721" s="33">
        <f>+R375/[19]Pricing_BEL!$L$25</f>
        <v>0</v>
      </c>
      <c r="S721" s="34">
        <f>+S375/[20]Pricing_BEL!$L$25</f>
        <v>0</v>
      </c>
    </row>
    <row r="722" spans="1:19" hidden="1" outlineLevel="2" x14ac:dyDescent="0.25">
      <c r="A722" s="16" t="s">
        <v>27</v>
      </c>
      <c r="B722" s="25">
        <f>+B376/[21]Pricing_BEL!$L$26</f>
        <v>0</v>
      </c>
      <c r="C722" s="25">
        <f>+C376/[1]Pricing_BEL!$L$26</f>
        <v>0</v>
      </c>
      <c r="D722" s="33">
        <f>+D376/[5]Pricing_BEL!$L$26</f>
        <v>-5.5239795898628312E-2</v>
      </c>
      <c r="E722" s="25">
        <f>+E376/[6]Pricing_BEL!$L$26</f>
        <v>0</v>
      </c>
      <c r="F722" s="25">
        <f>+F376/[7]Pricing_BEL!$L$26</f>
        <v>0</v>
      </c>
      <c r="G722" s="33">
        <f>+G376/[8]Pricing_BEL!$L$26</f>
        <v>-1.56893578215293E-2</v>
      </c>
      <c r="H722" s="25">
        <f>+H376/[9]Pricing_BEL!$L$26</f>
        <v>0</v>
      </c>
      <c r="I722" s="25">
        <f>+I376/[10]Pricing_BEL!$L$26</f>
        <v>0</v>
      </c>
      <c r="J722" s="33">
        <f>+J376/[11]Pricing_BEL!$L$26</f>
        <v>4.204924926610544E-2</v>
      </c>
      <c r="K722" s="25">
        <f>+K376/[12]Pricing_BEL!$L$26</f>
        <v>0</v>
      </c>
      <c r="L722" s="25">
        <f>+L376/[13]Pricing_BEL!$L$26</f>
        <v>0</v>
      </c>
      <c r="M722" s="25">
        <f>+M376/[14]Pricing_BEL!$L$26</f>
        <v>-0.18613315602771466</v>
      </c>
      <c r="N722" s="33">
        <f>+N376/[15]Pricing_BEL!$L$26</f>
        <v>0</v>
      </c>
      <c r="O722" s="25">
        <f>+O376/[16]Pricing_BEL!$L$26</f>
        <v>0</v>
      </c>
      <c r="P722" s="25">
        <f>+P376/[17]Pricing_BEL!$L$26</f>
        <v>3.9421313683770984E-2</v>
      </c>
      <c r="Q722" s="33">
        <f>+Q376/[18]Pricing_BEL!$L$26</f>
        <v>0</v>
      </c>
      <c r="R722" s="33">
        <f>+R376/[19]Pricing_BEL!$L$26</f>
        <v>0</v>
      </c>
      <c r="S722" s="34">
        <f>+S376/[20]Pricing_BEL!$L$26</f>
        <v>0</v>
      </c>
    </row>
    <row r="723" spans="1:19" hidden="1" outlineLevel="2" x14ac:dyDescent="0.25">
      <c r="A723" s="16" t="s">
        <v>28</v>
      </c>
      <c r="B723" s="25">
        <f>+B377/[21]Pricing_BEL!$L$27</f>
        <v>0</v>
      </c>
      <c r="C723" s="25">
        <f>+C377/[1]Pricing_BEL!$L$27</f>
        <v>0</v>
      </c>
      <c r="D723" s="33">
        <f>+D377/[5]Pricing_BEL!$L$27</f>
        <v>-5.2056118383946033E-2</v>
      </c>
      <c r="E723" s="25">
        <f>+E377/[6]Pricing_BEL!$L$27</f>
        <v>0</v>
      </c>
      <c r="F723" s="25">
        <f>+F377/[7]Pricing_BEL!$L$27</f>
        <v>0</v>
      </c>
      <c r="G723" s="33">
        <f>+G377/[8]Pricing_BEL!$L$27</f>
        <v>-1.3687144850807589E-2</v>
      </c>
      <c r="H723" s="25">
        <f>+H377/[9]Pricing_BEL!$L$27</f>
        <v>0</v>
      </c>
      <c r="I723" s="25">
        <f>+I377/[10]Pricing_BEL!$L$27</f>
        <v>0</v>
      </c>
      <c r="J723" s="33">
        <f>+J377/[11]Pricing_BEL!$L$27</f>
        <v>5.5632877342926129E-2</v>
      </c>
      <c r="K723" s="25">
        <f>+K377/[12]Pricing_BEL!$L$27</f>
        <v>0</v>
      </c>
      <c r="L723" s="25">
        <f>+L377/[13]Pricing_BEL!$L$27</f>
        <v>0</v>
      </c>
      <c r="M723" s="25">
        <f>+M377/[14]Pricing_BEL!$L$27</f>
        <v>-0.20716301917521782</v>
      </c>
      <c r="N723" s="33">
        <f>+N377/[15]Pricing_BEL!$L$27</f>
        <v>0</v>
      </c>
      <c r="O723" s="25">
        <f>+O377/[16]Pricing_BEL!$L$27</f>
        <v>0</v>
      </c>
      <c r="P723" s="25">
        <f>+P377/[17]Pricing_BEL!$L$27</f>
        <v>4.6306846170206133E-2</v>
      </c>
      <c r="Q723" s="33">
        <f>+Q377/[18]Pricing_BEL!$L$27</f>
        <v>0</v>
      </c>
      <c r="R723" s="33">
        <f>+R377/[19]Pricing_BEL!$L$27</f>
        <v>0</v>
      </c>
      <c r="S723" s="34">
        <f>+S377/[20]Pricing_BEL!$L$27</f>
        <v>0</v>
      </c>
    </row>
    <row r="724" spans="1:19" hidden="1" outlineLevel="2" x14ac:dyDescent="0.25">
      <c r="A724" s="16" t="s">
        <v>29</v>
      </c>
      <c r="B724" s="25">
        <f>+B378/[21]Pricing_BEL!$L$28</f>
        <v>0</v>
      </c>
      <c r="C724" s="25">
        <f>+C378/[1]Pricing_BEL!$L$28</f>
        <v>0</v>
      </c>
      <c r="D724" s="33">
        <f>+D378/[5]Pricing_BEL!$L$28</f>
        <v>-4.2314819633929433E-2</v>
      </c>
      <c r="E724" s="25">
        <f>+E378/[6]Pricing_BEL!$L$28</f>
        <v>0</v>
      </c>
      <c r="F724" s="25">
        <f>+F378/[7]Pricing_BEL!$L$28</f>
        <v>0</v>
      </c>
      <c r="G724" s="33">
        <f>+G378/[8]Pricing_BEL!$L$28</f>
        <v>3.3811735501493899E-3</v>
      </c>
      <c r="H724" s="25">
        <f>+H378/[9]Pricing_BEL!$L$28</f>
        <v>0</v>
      </c>
      <c r="I724" s="25">
        <f>+I378/[10]Pricing_BEL!$L$28</f>
        <v>0</v>
      </c>
      <c r="J724" s="33">
        <f>+J378/[11]Pricing_BEL!$L$28</f>
        <v>6.6861995011332317E-2</v>
      </c>
      <c r="K724" s="25">
        <f>+K378/[12]Pricing_BEL!$L$28</f>
        <v>0</v>
      </c>
      <c r="L724" s="25">
        <f>+L378/[13]Pricing_BEL!$L$28</f>
        <v>0</v>
      </c>
      <c r="M724" s="25">
        <f>+M378/[14]Pricing_BEL!$L$28</f>
        <v>-0.22404452391057339</v>
      </c>
      <c r="N724" s="33">
        <f>+N378/[15]Pricing_BEL!$L$28</f>
        <v>0</v>
      </c>
      <c r="O724" s="25">
        <f>+O378/[16]Pricing_BEL!$L$28</f>
        <v>0</v>
      </c>
      <c r="P724" s="25">
        <f>+P378/[17]Pricing_BEL!$L$28</f>
        <v>4.8281498951851826E-2</v>
      </c>
      <c r="Q724" s="33">
        <f>+Q378/[18]Pricing_BEL!$L$28</f>
        <v>0</v>
      </c>
      <c r="R724" s="33">
        <f>+R378/[19]Pricing_BEL!$L$28</f>
        <v>0</v>
      </c>
      <c r="S724" s="34">
        <f>+S378/[20]Pricing_BEL!$L$28</f>
        <v>0</v>
      </c>
    </row>
    <row r="725" spans="1:19" hidden="1" outlineLevel="2" x14ac:dyDescent="0.25">
      <c r="A725" s="16" t="s">
        <v>30</v>
      </c>
      <c r="B725" s="25">
        <f>+B379/[21]Pricing_BEL!$L$29</f>
        <v>0</v>
      </c>
      <c r="C725" s="25">
        <f>+C379/[1]Pricing_BEL!$L$29</f>
        <v>0</v>
      </c>
      <c r="D725" s="33">
        <f>+D379/[5]Pricing_BEL!$L$29</f>
        <v>-3.9653719684638239E-2</v>
      </c>
      <c r="E725" s="25">
        <f>+E379/[6]Pricing_BEL!$L$29</f>
        <v>0</v>
      </c>
      <c r="F725" s="25">
        <f>+F379/[7]Pricing_BEL!$L$29</f>
        <v>0</v>
      </c>
      <c r="G725" s="33">
        <f>+G379/[8]Pricing_BEL!$L$29</f>
        <v>6.9815111407661994E-5</v>
      </c>
      <c r="H725" s="25">
        <f>+H379/[9]Pricing_BEL!$L$29</f>
        <v>0</v>
      </c>
      <c r="I725" s="25">
        <f>+I379/[10]Pricing_BEL!$L$29</f>
        <v>0</v>
      </c>
      <c r="J725" s="33">
        <f>+J379/[11]Pricing_BEL!$L$29</f>
        <v>5.4407433601282577E-2</v>
      </c>
      <c r="K725" s="25">
        <f>+K379/[12]Pricing_BEL!$L$29</f>
        <v>0</v>
      </c>
      <c r="L725" s="25">
        <f>+L379/[13]Pricing_BEL!$L$29</f>
        <v>0</v>
      </c>
      <c r="M725" s="25">
        <f>+M379/[14]Pricing_BEL!$L$29</f>
        <v>-0.25031687842067335</v>
      </c>
      <c r="N725" s="33">
        <f>+N379/[15]Pricing_BEL!$L$29</f>
        <v>0</v>
      </c>
      <c r="O725" s="25">
        <f>+O379/[16]Pricing_BEL!$L$29</f>
        <v>0</v>
      </c>
      <c r="P725" s="25">
        <f>+P379/[17]Pricing_BEL!$L$29</f>
        <v>3.6016954280708162E-2</v>
      </c>
      <c r="Q725" s="33">
        <f>+Q379/[18]Pricing_BEL!$L$29</f>
        <v>0</v>
      </c>
      <c r="R725" s="33">
        <f>+R379/[19]Pricing_BEL!$L$29</f>
        <v>0</v>
      </c>
      <c r="S725" s="34">
        <f>+S379/[20]Pricing_BEL!$L$29</f>
        <v>0</v>
      </c>
    </row>
    <row r="726" spans="1:19" hidden="1" outlineLevel="2" x14ac:dyDescent="0.25">
      <c r="A726" s="16" t="s">
        <v>31</v>
      </c>
      <c r="B726" s="25">
        <f>+B380/[21]Pricing_BEL!$L$30</f>
        <v>0</v>
      </c>
      <c r="C726" s="25">
        <f>+C380/[1]Pricing_BEL!$L$30</f>
        <v>0</v>
      </c>
      <c r="D726" s="33">
        <f>+D380/[5]Pricing_BEL!$L$30</f>
        <v>-4.1814235387041279E-2</v>
      </c>
      <c r="E726" s="25">
        <f>+E380/[6]Pricing_BEL!$L$30</f>
        <v>0</v>
      </c>
      <c r="F726" s="25">
        <f>+F380/[7]Pricing_BEL!$L$30</f>
        <v>0</v>
      </c>
      <c r="G726" s="33">
        <f>+G380/[8]Pricing_BEL!$L$30</f>
        <v>-6.6895870301257494E-3</v>
      </c>
      <c r="H726" s="25">
        <f>+H380/[9]Pricing_BEL!$L$30</f>
        <v>0</v>
      </c>
      <c r="I726" s="25">
        <f>+I380/[10]Pricing_BEL!$L$30</f>
        <v>0</v>
      </c>
      <c r="J726" s="33">
        <f>+J380/[11]Pricing_BEL!$L$30</f>
        <v>6.8669297846215296E-2</v>
      </c>
      <c r="K726" s="25">
        <f>+K380/[12]Pricing_BEL!$L$30</f>
        <v>0</v>
      </c>
      <c r="L726" s="25">
        <f>+L380/[13]Pricing_BEL!$L$30</f>
        <v>0</v>
      </c>
      <c r="M726" s="25">
        <f>+M380/[14]Pricing_BEL!$L$30</f>
        <v>-0.30289757715451215</v>
      </c>
      <c r="N726" s="33">
        <f>+N380/[15]Pricing_BEL!$L$30</f>
        <v>0</v>
      </c>
      <c r="O726" s="25">
        <f>+O380/[16]Pricing_BEL!$L$30</f>
        <v>0</v>
      </c>
      <c r="P726" s="25">
        <f>+P380/[17]Pricing_BEL!$L$30</f>
        <v>3.6588037724804727E-2</v>
      </c>
      <c r="Q726" s="33">
        <f>+Q380/[18]Pricing_BEL!$L$30</f>
        <v>0</v>
      </c>
      <c r="R726" s="33">
        <f>+R380/[19]Pricing_BEL!$L$30</f>
        <v>0</v>
      </c>
      <c r="S726" s="34">
        <f>+S380/[20]Pricing_BEL!$L$30</f>
        <v>0</v>
      </c>
    </row>
    <row r="727" spans="1:19" hidden="1" outlineLevel="2" x14ac:dyDescent="0.25">
      <c r="A727" s="16" t="s">
        <v>32</v>
      </c>
      <c r="B727" s="25">
        <f>+B381/[21]Pricing_BEL!$L$31</f>
        <v>0</v>
      </c>
      <c r="C727" s="25">
        <f>+C381/[1]Pricing_BEL!$L$31</f>
        <v>0</v>
      </c>
      <c r="D727" s="33">
        <f>+D381/[5]Pricing_BEL!$L$31</f>
        <v>-3.5860886626905925E-2</v>
      </c>
      <c r="E727" s="25">
        <f>+E381/[6]Pricing_BEL!$L$31</f>
        <v>0</v>
      </c>
      <c r="F727" s="25">
        <f>+F381/[7]Pricing_BEL!$L$31</f>
        <v>0</v>
      </c>
      <c r="G727" s="33">
        <f>+G381/[8]Pricing_BEL!$L$31</f>
        <v>-6.2388784495931706E-3</v>
      </c>
      <c r="H727" s="25">
        <f>+H381/[9]Pricing_BEL!$L$31</f>
        <v>0</v>
      </c>
      <c r="I727" s="25">
        <f>+I381/[10]Pricing_BEL!$L$31</f>
        <v>0</v>
      </c>
      <c r="J727" s="33">
        <f>+J381/[11]Pricing_BEL!$L$31</f>
        <v>8.8954736646189497E-2</v>
      </c>
      <c r="K727" s="25">
        <f>+K381/[12]Pricing_BEL!$L$31</f>
        <v>0</v>
      </c>
      <c r="L727" s="25">
        <f>+L381/[13]Pricing_BEL!$L$31</f>
        <v>0</v>
      </c>
      <c r="M727" s="25">
        <f>+M381/[14]Pricing_BEL!$L$31</f>
        <v>-0.38105880376782475</v>
      </c>
      <c r="N727" s="33">
        <f>+N381/[15]Pricing_BEL!$L$31</f>
        <v>0</v>
      </c>
      <c r="O727" s="25">
        <f>+O381/[16]Pricing_BEL!$L$31</f>
        <v>0</v>
      </c>
      <c r="P727" s="25">
        <f>+P381/[17]Pricing_BEL!$L$31</f>
        <v>3.398269781989148E-2</v>
      </c>
      <c r="Q727" s="33">
        <f>+Q381/[18]Pricing_BEL!$L$31</f>
        <v>0</v>
      </c>
      <c r="R727" s="33">
        <f>+R381/[19]Pricing_BEL!$L$31</f>
        <v>0</v>
      </c>
      <c r="S727" s="34">
        <f>+S381/[20]Pricing_BEL!$L$31</f>
        <v>0</v>
      </c>
    </row>
    <row r="728" spans="1:19" hidden="1" outlineLevel="2" x14ac:dyDescent="0.25">
      <c r="A728" s="16" t="s">
        <v>33</v>
      </c>
      <c r="B728" s="25">
        <f>+B382/[21]Pricing_BEL!$L$32</f>
        <v>0</v>
      </c>
      <c r="C728" s="25">
        <f>+C382/[1]Pricing_BEL!$L$32</f>
        <v>0</v>
      </c>
      <c r="D728" s="33">
        <f>+D382/[5]Pricing_BEL!$L$32</f>
        <v>-2.9031060003920087E-2</v>
      </c>
      <c r="E728" s="25">
        <f>+E382/[6]Pricing_BEL!$L$32</f>
        <v>0</v>
      </c>
      <c r="F728" s="25">
        <f>+F382/[7]Pricing_BEL!$L$32</f>
        <v>0</v>
      </c>
      <c r="G728" s="33">
        <f>+G382/[8]Pricing_BEL!$L$32</f>
        <v>-2.9842977671654383E-3</v>
      </c>
      <c r="H728" s="25">
        <f>+H382/[9]Pricing_BEL!$L$32</f>
        <v>0</v>
      </c>
      <c r="I728" s="25">
        <f>+I382/[10]Pricing_BEL!$L$32</f>
        <v>0</v>
      </c>
      <c r="J728" s="33">
        <f>+J382/[11]Pricing_BEL!$L$32</f>
        <v>0.13907446006365282</v>
      </c>
      <c r="K728" s="25">
        <f>+K382/[12]Pricing_BEL!$L$32</f>
        <v>0</v>
      </c>
      <c r="L728" s="25">
        <f>+L382/[13]Pricing_BEL!$L$32</f>
        <v>0</v>
      </c>
      <c r="M728" s="25">
        <f>+M382/[14]Pricing_BEL!$L$32</f>
        <v>0</v>
      </c>
      <c r="N728" s="33">
        <f>+N382/[15]Pricing_BEL!$L$32</f>
        <v>0</v>
      </c>
      <c r="O728" s="25">
        <f>+O382/[16]Pricing_BEL!$L$32</f>
        <v>0</v>
      </c>
      <c r="P728" s="25">
        <f>+P382/[17]Pricing_BEL!$L$32</f>
        <v>0</v>
      </c>
      <c r="Q728" s="33">
        <f>+Q382/[18]Pricing_BEL!$L$32</f>
        <v>0</v>
      </c>
      <c r="R728" s="33">
        <f>+R382/[19]Pricing_BEL!$L$32</f>
        <v>0</v>
      </c>
      <c r="S728" s="34">
        <f>+S382/[20]Pricing_BEL!$L$32</f>
        <v>0</v>
      </c>
    </row>
    <row r="729" spans="1:19" hidden="1" outlineLevel="2" x14ac:dyDescent="0.25">
      <c r="A729" s="16" t="s">
        <v>34</v>
      </c>
      <c r="B729" s="25">
        <f>+B383/[21]Pricing_BEL!$L$33</f>
        <v>0</v>
      </c>
      <c r="C729" s="25">
        <f>+C383/[1]Pricing_BEL!$L$33</f>
        <v>0</v>
      </c>
      <c r="D729" s="33">
        <f>+D383/[5]Pricing_BEL!$L$33</f>
        <v>5.5637105028411189E-2</v>
      </c>
      <c r="E729" s="25">
        <f>+E383/[6]Pricing_BEL!$L$33</f>
        <v>0</v>
      </c>
      <c r="F729" s="25">
        <f>+F383/[7]Pricing_BEL!$L$33</f>
        <v>0</v>
      </c>
      <c r="G729" s="33">
        <f>+G383/[8]Pricing_BEL!$L$33</f>
        <v>9.6826038419332738E-2</v>
      </c>
      <c r="H729" s="25">
        <f>+H383/[9]Pricing_BEL!$L$33</f>
        <v>0</v>
      </c>
      <c r="I729" s="25">
        <f>+I383/[10]Pricing_BEL!$L$33</f>
        <v>0</v>
      </c>
      <c r="J729" s="33">
        <f>+J383/[11]Pricing_BEL!$L$33</f>
        <v>0.15994476644780284</v>
      </c>
      <c r="K729" s="25">
        <f>+K383/[12]Pricing_BEL!$L$33</f>
        <v>0</v>
      </c>
      <c r="L729" s="25">
        <f>+L383/[13]Pricing_BEL!$L$33</f>
        <v>0</v>
      </c>
      <c r="M729" s="25">
        <f>+M383/[14]Pricing_BEL!$L$33</f>
        <v>-0.42808399638452554</v>
      </c>
      <c r="N729" s="33">
        <f>+N383/[15]Pricing_BEL!$L$33</f>
        <v>0</v>
      </c>
      <c r="O729" s="25">
        <f>+O383/[16]Pricing_BEL!$L$33</f>
        <v>0</v>
      </c>
      <c r="P729" s="25">
        <f>+P383/[17]Pricing_BEL!$L$33</f>
        <v>0.17342950979017341</v>
      </c>
      <c r="Q729" s="33">
        <f>+Q383/[18]Pricing_BEL!$L$33</f>
        <v>0</v>
      </c>
      <c r="R729" s="33">
        <f>+R383/[19]Pricing_BEL!$L$33</f>
        <v>0</v>
      </c>
      <c r="S729" s="34">
        <f>+S383/[20]Pricing_BEL!$L$33</f>
        <v>0</v>
      </c>
    </row>
    <row r="730" spans="1:19" hidden="1" outlineLevel="2" x14ac:dyDescent="0.25">
      <c r="A730" s="16" t="s">
        <v>35</v>
      </c>
      <c r="B730" s="25">
        <f>+B384/[21]Pricing_BEL!$L$34</f>
        <v>0</v>
      </c>
      <c r="C730" s="25">
        <f>+C384/[1]Pricing_BEL!$L$34</f>
        <v>0</v>
      </c>
      <c r="D730" s="33">
        <f>+D384/[5]Pricing_BEL!$L$34</f>
        <v>5.0825956923689977E-2</v>
      </c>
      <c r="E730" s="25">
        <f>+E384/[6]Pricing_BEL!$L$34</f>
        <v>0</v>
      </c>
      <c r="F730" s="25">
        <f>+F384/[7]Pricing_BEL!$L$34</f>
        <v>0</v>
      </c>
      <c r="G730" s="33">
        <f>+G384/[8]Pricing_BEL!$L$34</f>
        <v>9.011415682458597E-2</v>
      </c>
      <c r="H730" s="25">
        <f>+H384/[9]Pricing_BEL!$L$34</f>
        <v>0</v>
      </c>
      <c r="I730" s="25">
        <f>+I384/[10]Pricing_BEL!$L$34</f>
        <v>0</v>
      </c>
      <c r="J730" s="33">
        <f>+J384/[11]Pricing_BEL!$L$34</f>
        <v>6.3131360483690844E-3</v>
      </c>
      <c r="K730" s="25">
        <f>+K384/[12]Pricing_BEL!$L$34</f>
        <v>0</v>
      </c>
      <c r="L730" s="25">
        <f>+L384/[13]Pricing_BEL!$L$34</f>
        <v>0</v>
      </c>
      <c r="M730" s="25">
        <f>+M384/[14]Pricing_BEL!$L$34</f>
        <v>-0.34226852461492252</v>
      </c>
      <c r="N730" s="33">
        <f>+N384/[15]Pricing_BEL!$L$34</f>
        <v>0</v>
      </c>
      <c r="O730" s="25">
        <f>+O384/[16]Pricing_BEL!$L$34</f>
        <v>0</v>
      </c>
      <c r="P730" s="25">
        <f>+P384/[17]Pricing_BEL!$L$34</f>
        <v>0.11208320291749214</v>
      </c>
      <c r="Q730" s="33">
        <f>+Q384/[18]Pricing_BEL!$L$34</f>
        <v>0</v>
      </c>
      <c r="R730" s="33">
        <f>+R384/[19]Pricing_BEL!$L$34</f>
        <v>0</v>
      </c>
      <c r="S730" s="34">
        <f>+S384/[20]Pricing_BEL!$L$34</f>
        <v>0</v>
      </c>
    </row>
    <row r="731" spans="1:19" hidden="1" outlineLevel="1" x14ac:dyDescent="0.25">
      <c r="A731" s="15" t="s">
        <v>36</v>
      </c>
      <c r="B731" s="25">
        <f>+B385/'[21]Stat by Mat'!$D$7</f>
        <v>0</v>
      </c>
      <c r="C731" s="25">
        <f>+C385/'[1]Stat by Mat'!$D$7</f>
        <v>0</v>
      </c>
      <c r="D731" s="33">
        <f>+D385/'[5]Stat by Mat'!$D$7</f>
        <v>3.3301432059273502E-2</v>
      </c>
      <c r="E731" s="25">
        <f>+E385/'[6]Stat by Mat'!$D$7</f>
        <v>0</v>
      </c>
      <c r="F731" s="25">
        <f>+F385/'[7]Stat by Mat'!$D$7</f>
        <v>0</v>
      </c>
      <c r="G731" s="33">
        <f>+G385/'[8]Stat by Mat'!$D$7</f>
        <v>6.1395658411951458E-2</v>
      </c>
      <c r="H731" s="25">
        <f>+H385/'[9]Stat by Mat'!$D$7</f>
        <v>0</v>
      </c>
      <c r="I731" s="25">
        <f>+I385/'[10]Stat by Mat'!$D$7</f>
        <v>0</v>
      </c>
      <c r="J731" s="33">
        <f>+J385/'[11]Stat by Mat'!$D$7</f>
        <v>3.6210110020573442E-2</v>
      </c>
      <c r="K731" s="25">
        <f>+K385/'[12]Stat by Mat'!$D$7</f>
        <v>0</v>
      </c>
      <c r="L731" s="25">
        <f>+L385/'[13]Stat by Mat'!$D$7</f>
        <v>0</v>
      </c>
      <c r="M731" s="25">
        <f>+M385/'[14]Stat by Mat'!$D$7</f>
        <v>-0.51752513155001301</v>
      </c>
      <c r="N731" s="33">
        <f>+N385/'[15]Stat by Mat'!$D$7</f>
        <v>0</v>
      </c>
      <c r="O731" s="25">
        <f>+O385/'[16]Stat by Mat'!$D$7</f>
        <v>0</v>
      </c>
      <c r="P731" s="25">
        <f>+P385/'[17]Stat by Mat'!$D$7</f>
        <v>0.40528720252056166</v>
      </c>
      <c r="Q731" s="33">
        <f>+Q385/'[18]Stat by Mat'!$D$7</f>
        <v>0</v>
      </c>
      <c r="R731" s="33">
        <f>+R385/'[19]Stat by Mat'!$D$7</f>
        <v>0</v>
      </c>
      <c r="S731" s="34">
        <f>+S385/'[20]Stat by Mat'!$D$7</f>
        <v>0</v>
      </c>
    </row>
    <row r="732" spans="1:19" hidden="1" outlineLevel="2" x14ac:dyDescent="0.25">
      <c r="A732" s="16" t="s">
        <v>37</v>
      </c>
      <c r="B732" s="25">
        <f>+B386/[21]Pricing_BEL!$L$35</f>
        <v>0</v>
      </c>
      <c r="C732" s="26">
        <f>+C386/[1]Pricing_BEL!$L$35</f>
        <v>0</v>
      </c>
      <c r="D732" s="35">
        <f>+D386/[5]Pricing_BEL!$L$35</f>
        <v>4.1895272865686166E-2</v>
      </c>
      <c r="E732" s="26">
        <f>+E386/[6]Pricing_BEL!$L$35</f>
        <v>0</v>
      </c>
      <c r="F732" s="26">
        <f>+F386/[7]Pricing_BEL!$L$35</f>
        <v>0</v>
      </c>
      <c r="G732" s="35">
        <f>+G386/[8]Pricing_BEL!$L$35</f>
        <v>6.8601852457200449E-2</v>
      </c>
      <c r="H732" s="25">
        <f>+H386/[9]Pricing_BEL!$L$35</f>
        <v>0</v>
      </c>
      <c r="I732" s="25">
        <f>+I386/[10]Pricing_BEL!$L$35</f>
        <v>0</v>
      </c>
      <c r="J732" s="35">
        <f>+J386/[11]Pricing_BEL!$L$35</f>
        <v>1.3858525049755018E-2</v>
      </c>
      <c r="K732" s="25">
        <f>+K386/[12]Pricing_BEL!$L$35</f>
        <v>0</v>
      </c>
      <c r="L732" s="25">
        <f>+L386/[13]Pricing_BEL!$L$35</f>
        <v>0</v>
      </c>
      <c r="M732" s="25">
        <f>+M386/[14]Pricing_BEL!$L$35</f>
        <v>-0.38664893319266996</v>
      </c>
      <c r="N732" s="33">
        <f>+N386/[15]Pricing_BEL!$L$35</f>
        <v>0</v>
      </c>
      <c r="O732" s="25">
        <f>+O386/[16]Pricing_BEL!$L$35</f>
        <v>0</v>
      </c>
      <c r="P732" s="25">
        <f>+P386/[17]Pricing_BEL!$L$35</f>
        <v>0.15204775704255366</v>
      </c>
      <c r="Q732" s="33">
        <f>+Q386/[18]Pricing_BEL!$L$35</f>
        <v>0</v>
      </c>
      <c r="R732" s="33">
        <f>+R386/[19]Pricing_BEL!$L$35</f>
        <v>0</v>
      </c>
      <c r="S732" s="34">
        <f>+S386/[20]Pricing_BEL!$L$35</f>
        <v>0</v>
      </c>
    </row>
    <row r="733" spans="1:19" hidden="1" outlineLevel="2" x14ac:dyDescent="0.25">
      <c r="A733" s="16" t="s">
        <v>38</v>
      </c>
      <c r="B733" s="25">
        <f>+B387/[21]Pricing_BEL!$L$36</f>
        <v>0</v>
      </c>
      <c r="C733" s="25">
        <f>+C387/[1]Pricing_BEL!$L$36</f>
        <v>0</v>
      </c>
      <c r="D733" s="33">
        <f>+D387/[5]Pricing_BEL!$L$36</f>
        <v>2.7120789376736117E-2</v>
      </c>
      <c r="E733" s="25">
        <f>+E387/[6]Pricing_BEL!$L$36</f>
        <v>0</v>
      </c>
      <c r="F733" s="25">
        <f>+F387/[7]Pricing_BEL!$L$36</f>
        <v>0</v>
      </c>
      <c r="G733" s="33">
        <f>+G387/[8]Pricing_BEL!$L$36</f>
        <v>5.1925001284642933E-2</v>
      </c>
      <c r="H733" s="25">
        <f>+H387/[9]Pricing_BEL!$L$36</f>
        <v>0</v>
      </c>
      <c r="I733" s="25">
        <f>+I387/[10]Pricing_BEL!$L$36</f>
        <v>0</v>
      </c>
      <c r="J733" s="33">
        <f>+J387/[11]Pricing_BEL!$L$36</f>
        <v>4.1504147995944915E-2</v>
      </c>
      <c r="K733" s="25">
        <f>+K387/[12]Pricing_BEL!$L$36</f>
        <v>0</v>
      </c>
      <c r="L733" s="25">
        <f>+L387/[13]Pricing_BEL!$L$36</f>
        <v>0</v>
      </c>
      <c r="M733" s="25">
        <f>+M387/[14]Pricing_BEL!$L$36</f>
        <v>-0.49450953831138295</v>
      </c>
      <c r="N733" s="33">
        <f>+N387/[15]Pricing_BEL!$L$36</f>
        <v>0</v>
      </c>
      <c r="O733" s="25">
        <f>+O387/[16]Pricing_BEL!$L$36</f>
        <v>0</v>
      </c>
      <c r="P733" s="25">
        <f>+P387/[17]Pricing_BEL!$L$36</f>
        <v>0.25548088946161313</v>
      </c>
      <c r="Q733" s="33">
        <f>+Q387/[18]Pricing_BEL!$L$36</f>
        <v>0</v>
      </c>
      <c r="R733" s="33">
        <f>+R387/[19]Pricing_BEL!$L$36</f>
        <v>0</v>
      </c>
      <c r="S733" s="34">
        <f>+S387/[20]Pricing_BEL!$L$36</f>
        <v>0</v>
      </c>
    </row>
    <row r="734" spans="1:19" hidden="1" outlineLevel="2" x14ac:dyDescent="0.25">
      <c r="A734" s="16" t="s">
        <v>39</v>
      </c>
      <c r="B734" s="25">
        <f>+B388/[21]Pricing_BEL!$L$37</f>
        <v>0</v>
      </c>
      <c r="C734" s="25">
        <f>+C388/[1]Pricing_BEL!$L$37</f>
        <v>0</v>
      </c>
      <c r="D734" s="33">
        <f>+D388/[5]Pricing_BEL!$L$37</f>
        <v>3.2027251488500157E-2</v>
      </c>
      <c r="E734" s="25">
        <f>+E388/[6]Pricing_BEL!$L$37</f>
        <v>0</v>
      </c>
      <c r="F734" s="25">
        <f>+F388/[7]Pricing_BEL!$L$37</f>
        <v>0</v>
      </c>
      <c r="G734" s="33">
        <f>+G388/[8]Pricing_BEL!$L$37</f>
        <v>5.2113468352087612E-2</v>
      </c>
      <c r="H734" s="25">
        <f>+H388/[9]Pricing_BEL!$L$37</f>
        <v>0</v>
      </c>
      <c r="I734" s="25">
        <f>+I388/[10]Pricing_BEL!$L$37</f>
        <v>0</v>
      </c>
      <c r="J734" s="33">
        <f>+J388/[11]Pricing_BEL!$L$37</f>
        <v>7.649426010358204E-2</v>
      </c>
      <c r="K734" s="25">
        <f>+K388/[12]Pricing_BEL!$L$37</f>
        <v>0</v>
      </c>
      <c r="L734" s="25">
        <f>+L388/[13]Pricing_BEL!$L$37</f>
        <v>0</v>
      </c>
      <c r="M734" s="25">
        <f>+M388/[14]Pricing_BEL!$L$37</f>
        <v>-0.57967854800900287</v>
      </c>
      <c r="N734" s="33">
        <f>+N388/[15]Pricing_BEL!$L$37</f>
        <v>0</v>
      </c>
      <c r="O734" s="25">
        <f>+O388/[16]Pricing_BEL!$L$37</f>
        <v>0</v>
      </c>
      <c r="P734" s="25">
        <f>+P388/[17]Pricing_BEL!$L$37</f>
        <v>0.38501102047119701</v>
      </c>
      <c r="Q734" s="33">
        <f>+Q388/[18]Pricing_BEL!$L$37</f>
        <v>0</v>
      </c>
      <c r="R734" s="33">
        <f>+R388/[19]Pricing_BEL!$L$37</f>
        <v>0</v>
      </c>
      <c r="S734" s="34">
        <f>+S388/[20]Pricing_BEL!$L$37</f>
        <v>0</v>
      </c>
    </row>
    <row r="735" spans="1:19" hidden="1" outlineLevel="2" x14ac:dyDescent="0.25">
      <c r="A735" s="16" t="s">
        <v>40</v>
      </c>
      <c r="B735" s="25">
        <f>+B389/[21]Pricing_BEL!$L$38</f>
        <v>0</v>
      </c>
      <c r="C735" s="25">
        <f>+C389/[1]Pricing_BEL!$L$38</f>
        <v>0</v>
      </c>
      <c r="D735" s="33">
        <f>+D389/[5]Pricing_BEL!$L$38</f>
        <v>3.95703629329478E-2</v>
      </c>
      <c r="E735" s="25">
        <f>+E389/[6]Pricing_BEL!$L$38</f>
        <v>0</v>
      </c>
      <c r="F735" s="25">
        <f>+F389/[7]Pricing_BEL!$L$38</f>
        <v>0</v>
      </c>
      <c r="G735" s="33">
        <f>+G389/[8]Pricing_BEL!$L$38</f>
        <v>5.6676598188125545E-2</v>
      </c>
      <c r="H735" s="25">
        <f>+H389/[9]Pricing_BEL!$L$38</f>
        <v>0</v>
      </c>
      <c r="I735" s="25">
        <f>+I389/[10]Pricing_BEL!$L$38</f>
        <v>0</v>
      </c>
      <c r="J735" s="33">
        <f>+J389/[11]Pricing_BEL!$L$38</f>
        <v>4.2360753426228193E-2</v>
      </c>
      <c r="K735" s="25">
        <f>+K389/[12]Pricing_BEL!$L$38</f>
        <v>0</v>
      </c>
      <c r="L735" s="25">
        <f>+L389/[13]Pricing_BEL!$L$38</f>
        <v>0</v>
      </c>
      <c r="M735" s="25">
        <f>+M389/[14]Pricing_BEL!$L$38</f>
        <v>-0.63164405539446</v>
      </c>
      <c r="N735" s="33">
        <f>+N389/[15]Pricing_BEL!$L$38</f>
        <v>0</v>
      </c>
      <c r="O735" s="25">
        <f>+O389/[16]Pricing_BEL!$L$38</f>
        <v>0</v>
      </c>
      <c r="P735" s="25">
        <f>+P389/[17]Pricing_BEL!$L$38</f>
        <v>0.436987056300637</v>
      </c>
      <c r="Q735" s="33">
        <f>+Q389/[18]Pricing_BEL!$L$38</f>
        <v>0</v>
      </c>
      <c r="R735" s="33">
        <f>+R389/[19]Pricing_BEL!$L$38</f>
        <v>0</v>
      </c>
      <c r="S735" s="34">
        <f>+S389/[20]Pricing_BEL!$L$38</f>
        <v>0</v>
      </c>
    </row>
    <row r="736" spans="1:19" hidden="1" outlineLevel="2" x14ac:dyDescent="0.25">
      <c r="A736" s="16" t="s">
        <v>41</v>
      </c>
      <c r="B736" s="25">
        <f>+B390/[21]Pricing_BEL!$L$39</f>
        <v>0</v>
      </c>
      <c r="C736" s="25">
        <f>+C390/[1]Pricing_BEL!$L$39</f>
        <v>0</v>
      </c>
      <c r="D736" s="33">
        <f>+D390/[5]Pricing_BEL!$L$39</f>
        <v>1.2987437731508121E-2</v>
      </c>
      <c r="E736" s="25">
        <f>+E390/[6]Pricing_BEL!$L$39</f>
        <v>0</v>
      </c>
      <c r="F736" s="25">
        <f>+F390/[7]Pricing_BEL!$L$39</f>
        <v>0</v>
      </c>
      <c r="G736" s="33">
        <f>+G390/[8]Pricing_BEL!$L$39</f>
        <v>4.4462578213307256E-2</v>
      </c>
      <c r="H736" s="25">
        <f>+H390/[9]Pricing_BEL!$L$39</f>
        <v>0</v>
      </c>
      <c r="I736" s="25">
        <f>+I390/[10]Pricing_BEL!$L$39</f>
        <v>0</v>
      </c>
      <c r="J736" s="33">
        <f>+J390/[11]Pricing_BEL!$L$39</f>
        <v>2.1339304010714256E-2</v>
      </c>
      <c r="K736" s="25">
        <f>+K390/[12]Pricing_BEL!$L$39</f>
        <v>0</v>
      </c>
      <c r="L736" s="25">
        <f>+L390/[13]Pricing_BEL!$L$39</f>
        <v>0</v>
      </c>
      <c r="M736" s="25">
        <f>+M390/[14]Pricing_BEL!$L$39</f>
        <v>-0.68887036546034297</v>
      </c>
      <c r="N736" s="33">
        <f>+N390/[15]Pricing_BEL!$L$39</f>
        <v>0</v>
      </c>
      <c r="O736" s="25">
        <f>+O390/[16]Pricing_BEL!$L$39</f>
        <v>0</v>
      </c>
      <c r="P736" s="25">
        <f>+P390/[17]Pricing_BEL!$L$39</f>
        <v>0.52612957554261075</v>
      </c>
      <c r="Q736" s="33">
        <f>+Q390/[18]Pricing_BEL!$L$39</f>
        <v>0</v>
      </c>
      <c r="R736" s="33">
        <f>+R390/[19]Pricing_BEL!$L$39</f>
        <v>0</v>
      </c>
      <c r="S736" s="34">
        <f>+S390/[20]Pricing_BEL!$L$39</f>
        <v>0</v>
      </c>
    </row>
    <row r="737" spans="1:20" hidden="1" outlineLevel="2" x14ac:dyDescent="0.25">
      <c r="A737" s="16" t="s">
        <v>42</v>
      </c>
      <c r="B737" s="25">
        <f>+B391/[21]Pricing_BEL!$L$40</f>
        <v>0</v>
      </c>
      <c r="C737" s="25">
        <f>+C391/[1]Pricing_BEL!$L$40</f>
        <v>0</v>
      </c>
      <c r="D737" s="33">
        <f>+D391/[5]Pricing_BEL!$L$40</f>
        <v>2.111410531669905E-2</v>
      </c>
      <c r="E737" s="25">
        <f>+E391/[6]Pricing_BEL!$L$40</f>
        <v>0</v>
      </c>
      <c r="F737" s="25">
        <f>+F391/[7]Pricing_BEL!$L$40</f>
        <v>0</v>
      </c>
      <c r="G737" s="33">
        <f>+G391/[8]Pricing_BEL!$L$40</f>
        <v>5.7992499307228239E-2</v>
      </c>
      <c r="H737" s="25">
        <f>+H391/[9]Pricing_BEL!$L$40</f>
        <v>0</v>
      </c>
      <c r="I737" s="25">
        <f>+I391/[10]Pricing_BEL!$L$40</f>
        <v>0</v>
      </c>
      <c r="J737" s="33">
        <f>+J391/[11]Pricing_BEL!$L$40</f>
        <v>5.1688308022174133E-2</v>
      </c>
      <c r="K737" s="25">
        <f>+K391/[12]Pricing_BEL!$L$40</f>
        <v>0</v>
      </c>
      <c r="L737" s="25">
        <f>+L391/[13]Pricing_BEL!$L$40</f>
        <v>0</v>
      </c>
      <c r="M737" s="25">
        <f>+M391/[14]Pricing_BEL!$L$40</f>
        <v>-0.80818447341737143</v>
      </c>
      <c r="N737" s="33">
        <f>+N391/[15]Pricing_BEL!$L$40</f>
        <v>0</v>
      </c>
      <c r="O737" s="25">
        <f>+O391/[16]Pricing_BEL!$L$40</f>
        <v>0</v>
      </c>
      <c r="P737" s="25">
        <f>+P391/[17]Pricing_BEL!$L$40</f>
        <v>1.0493165814695393</v>
      </c>
      <c r="Q737" s="33">
        <f>+Q391/[18]Pricing_BEL!$L$40</f>
        <v>0</v>
      </c>
      <c r="R737" s="33">
        <f>+R391/[19]Pricing_BEL!$L$40</f>
        <v>0</v>
      </c>
      <c r="S737" s="34">
        <f>+S391/[20]Pricing_BEL!$L$40</f>
        <v>0</v>
      </c>
    </row>
    <row r="738" spans="1:20" hidden="1" outlineLevel="2" x14ac:dyDescent="0.25">
      <c r="A738" s="16" t="s">
        <v>43</v>
      </c>
      <c r="B738" s="25">
        <f>+B392/[21]Pricing_BEL!$L$41</f>
        <v>0</v>
      </c>
      <c r="C738" s="25">
        <f>+C392/[1]Pricing_BEL!$L$41</f>
        <v>0</v>
      </c>
      <c r="D738" s="33">
        <f>+D392/[5]Pricing_BEL!$L$41</f>
        <v>3.7731483644760283E-2</v>
      </c>
      <c r="E738" s="25">
        <f>+E392/[6]Pricing_BEL!$L$41</f>
        <v>0</v>
      </c>
      <c r="F738" s="25">
        <f>+F392/[7]Pricing_BEL!$L$41</f>
        <v>0</v>
      </c>
      <c r="G738" s="33">
        <f>+G392/[8]Pricing_BEL!$L$41</f>
        <v>6.9249758343976328E-2</v>
      </c>
      <c r="H738" s="25">
        <f>+H392/[9]Pricing_BEL!$L$41</f>
        <v>0</v>
      </c>
      <c r="I738" s="25">
        <f>+I392/[10]Pricing_BEL!$L$41</f>
        <v>0</v>
      </c>
      <c r="J738" s="33">
        <f>+J392/[11]Pricing_BEL!$L$41</f>
        <v>8.5397687962813287E-2</v>
      </c>
      <c r="K738" s="25">
        <f>+K392/[12]Pricing_BEL!$L$41</f>
        <v>0</v>
      </c>
      <c r="L738" s="25">
        <f>+L392/[13]Pricing_BEL!$L$41</f>
        <v>0</v>
      </c>
      <c r="M738" s="25">
        <f>+M392/[14]Pricing_BEL!$L$41</f>
        <v>-0.92353717116752065</v>
      </c>
      <c r="N738" s="33">
        <f>+N392/[15]Pricing_BEL!$L$41</f>
        <v>0</v>
      </c>
      <c r="O738" s="25">
        <f>+O392/[16]Pricing_BEL!$L$41</f>
        <v>0</v>
      </c>
      <c r="P738" s="25">
        <f>+P392/[17]Pricing_BEL!$L$41</f>
        <v>3.1051603424511249</v>
      </c>
      <c r="Q738" s="33">
        <f>+Q392/[18]Pricing_BEL!$L$41</f>
        <v>0</v>
      </c>
      <c r="R738" s="33">
        <f>+R392/[19]Pricing_BEL!$L$41</f>
        <v>0</v>
      </c>
      <c r="S738" s="34">
        <f>+S392/[20]Pricing_BEL!$L$41</f>
        <v>0</v>
      </c>
    </row>
    <row r="739" spans="1:20" hidden="1" outlineLevel="2" x14ac:dyDescent="0.25">
      <c r="A739" s="16" t="s">
        <v>44</v>
      </c>
      <c r="B739" s="25">
        <f>+B393/[21]Pricing_BEL!$L$42</f>
        <v>0</v>
      </c>
      <c r="C739" s="25">
        <f>+C393/[1]Pricing_BEL!$L$42</f>
        <v>0</v>
      </c>
      <c r="D739" s="33">
        <f>+D393/[5]Pricing_BEL!$L$42</f>
        <v>6.577622442161192E-2</v>
      </c>
      <c r="E739" s="25">
        <f>+E393/[6]Pricing_BEL!$L$42</f>
        <v>0</v>
      </c>
      <c r="F739" s="25">
        <f>+F393/[7]Pricing_BEL!$L$42</f>
        <v>0</v>
      </c>
      <c r="G739" s="33">
        <f>+G393/[8]Pricing_BEL!$L$42</f>
        <v>8.6971243064106821E-2</v>
      </c>
      <c r="H739" s="25">
        <f>+H393/[9]Pricing_BEL!$L$42</f>
        <v>0</v>
      </c>
      <c r="I739" s="25">
        <f>+I393/[10]Pricing_BEL!$L$42</f>
        <v>0</v>
      </c>
      <c r="J739" s="33">
        <f>+J393/[11]Pricing_BEL!$L$42</f>
        <v>0.11632574280944515</v>
      </c>
      <c r="K739" s="25">
        <f>+K393/[12]Pricing_BEL!$L$42</f>
        <v>0</v>
      </c>
      <c r="L739" s="25">
        <f>+L393/[13]Pricing_BEL!$L$42</f>
        <v>0</v>
      </c>
      <c r="M739" s="25">
        <f>+M393/[14]Pricing_BEL!$L$42</f>
        <v>-0.97724791249802812</v>
      </c>
      <c r="N739" s="33">
        <f>+N393/[15]Pricing_BEL!$L$42</f>
        <v>0</v>
      </c>
      <c r="O739" s="25">
        <f>+O393/[16]Pricing_BEL!$L$42</f>
        <v>0</v>
      </c>
      <c r="P739" s="25">
        <f>+P393/[17]Pricing_BEL!$L$42</f>
        <v>12.575991535857801</v>
      </c>
      <c r="Q739" s="33">
        <f>+Q393/[18]Pricing_BEL!$L$42</f>
        <v>0</v>
      </c>
      <c r="R739" s="33">
        <f>+R393/[19]Pricing_BEL!$L$42</f>
        <v>0</v>
      </c>
      <c r="S739" s="34">
        <f>+S393/[20]Pricing_BEL!$L$42</f>
        <v>0</v>
      </c>
    </row>
    <row r="740" spans="1:20" hidden="1" outlineLevel="2" x14ac:dyDescent="0.25">
      <c r="A740" s="16" t="s">
        <v>45</v>
      </c>
      <c r="B740" s="25">
        <f>+B394/[21]Pricing_BEL!$L$43</f>
        <v>0</v>
      </c>
      <c r="C740" s="25">
        <f>+C394/[1]Pricing_BEL!$L$43</f>
        <v>0</v>
      </c>
      <c r="D740" s="33">
        <f>+D394/[5]Pricing_BEL!$L$43</f>
        <v>7.2664813534885117E-2</v>
      </c>
      <c r="E740" s="25">
        <f>+E394/[6]Pricing_BEL!$L$43</f>
        <v>0</v>
      </c>
      <c r="F740" s="25">
        <f>+F394/[7]Pricing_BEL!$L$43</f>
        <v>0</v>
      </c>
      <c r="G740" s="33">
        <f>+G394/[8]Pricing_BEL!$L$43</f>
        <v>6.9153812081504326E-2</v>
      </c>
      <c r="H740" s="25">
        <f>+H394/[9]Pricing_BEL!$L$43</f>
        <v>0</v>
      </c>
      <c r="I740" s="25">
        <f>+I394/[10]Pricing_BEL!$L$43</f>
        <v>0</v>
      </c>
      <c r="J740" s="33">
        <f>+J394/[11]Pricing_BEL!$L$43</f>
        <v>3.1066309731136246E-2</v>
      </c>
      <c r="K740" s="25">
        <f>+K394/[12]Pricing_BEL!$L$43</f>
        <v>0</v>
      </c>
      <c r="L740" s="25">
        <f>+L394/[13]Pricing_BEL!$L$43</f>
        <v>0</v>
      </c>
      <c r="M740" s="25">
        <f>+M394/[14]Pricing_BEL!$L$43</f>
        <v>-1.0050543012556374</v>
      </c>
      <c r="N740" s="33">
        <f>+N394/[15]Pricing_BEL!$L$43</f>
        <v>0</v>
      </c>
      <c r="O740" s="25">
        <f>+O394/[16]Pricing_BEL!$L$43</f>
        <v>0</v>
      </c>
      <c r="P740" s="25">
        <f>+P394/[17]Pricing_BEL!$L$43</f>
        <v>-49.355124088077567</v>
      </c>
      <c r="Q740" s="33">
        <f>+Q394/[18]Pricing_BEL!$L$43</f>
        <v>0</v>
      </c>
      <c r="R740" s="33">
        <f>+R394/[19]Pricing_BEL!$L$43</f>
        <v>0</v>
      </c>
      <c r="S740" s="34">
        <f>+S394/[20]Pricing_BEL!$L$43</f>
        <v>0</v>
      </c>
    </row>
    <row r="741" spans="1:20" hidden="1" outlineLevel="2" x14ac:dyDescent="0.25">
      <c r="A741" s="16" t="s">
        <v>46</v>
      </c>
      <c r="B741" s="25">
        <f>+B395/[21]Pricing_BEL!$L$44</f>
        <v>0</v>
      </c>
      <c r="C741" s="25">
        <f>+C395/[1]Pricing_BEL!$L$44</f>
        <v>0</v>
      </c>
      <c r="D741" s="33">
        <f>+D395/[5]Pricing_BEL!$L$44</f>
        <v>-2.2478018973142378E-2</v>
      </c>
      <c r="E741" s="25">
        <f>+E395/[6]Pricing_BEL!$L$44</f>
        <v>0</v>
      </c>
      <c r="F741" s="25">
        <f>+F395/[7]Pricing_BEL!$L$44</f>
        <v>0</v>
      </c>
      <c r="G741" s="33">
        <f>+G395/[8]Pricing_BEL!$L$44</f>
        <v>9.0310702896896355E-2</v>
      </c>
      <c r="H741" s="25">
        <f>+H395/[9]Pricing_BEL!$L$44</f>
        <v>0</v>
      </c>
      <c r="I741" s="25">
        <f>+I395/[10]Pricing_BEL!$L$44</f>
        <v>0</v>
      </c>
      <c r="J741" s="33">
        <f>+J395/[11]Pricing_BEL!$L$44</f>
        <v>-6.7493324085072498E-2</v>
      </c>
      <c r="K741" s="25">
        <f>+K395/[12]Pricing_BEL!$L$44</f>
        <v>0</v>
      </c>
      <c r="L741" s="25">
        <f>+L395/[13]Pricing_BEL!$L$44</f>
        <v>0</v>
      </c>
      <c r="M741" s="25">
        <f>+M395/[14]Pricing_BEL!$L$44</f>
        <v>-1.0410653630837903</v>
      </c>
      <c r="N741" s="33">
        <f>+N395/[15]Pricing_BEL!$L$44</f>
        <v>0</v>
      </c>
      <c r="O741" s="25">
        <f>+O395/[16]Pricing_BEL!$L$44</f>
        <v>0</v>
      </c>
      <c r="P741" s="25">
        <f>+P395/[17]Pricing_BEL!$L$44</f>
        <v>-7.3623191079188937</v>
      </c>
      <c r="Q741" s="33">
        <f>+Q395/[18]Pricing_BEL!$L$44</f>
        <v>0</v>
      </c>
      <c r="R741" s="33">
        <f>+R395/[19]Pricing_BEL!$L$44</f>
        <v>0</v>
      </c>
      <c r="S741" s="34">
        <f>+S395/[20]Pricing_BEL!$L$44</f>
        <v>0</v>
      </c>
    </row>
    <row r="742" spans="1:20" hidden="1" outlineLevel="2" x14ac:dyDescent="0.25">
      <c r="A742" s="16" t="s">
        <v>47</v>
      </c>
      <c r="B742" s="25">
        <f>+B396/[21]Pricing_BEL!$L$45</f>
        <v>0</v>
      </c>
      <c r="C742" s="25">
        <f>+C396/[1]Pricing_BEL!$L$45</f>
        <v>0</v>
      </c>
      <c r="D742" s="33">
        <f>+D396/[5]Pricing_BEL!$L$45</f>
        <v>-3.1758897870508376E-3</v>
      </c>
      <c r="E742" s="25">
        <f>+E396/[6]Pricing_BEL!$L$45</f>
        <v>0</v>
      </c>
      <c r="F742" s="25">
        <f>+F396/[7]Pricing_BEL!$L$45</f>
        <v>0</v>
      </c>
      <c r="G742" s="33">
        <f>+G396/[8]Pricing_BEL!$L$45</f>
        <v>9.586884270391946E-2</v>
      </c>
      <c r="H742" s="25">
        <f>+H396/[9]Pricing_BEL!$L$45</f>
        <v>0</v>
      </c>
      <c r="I742" s="25">
        <f>+I396/[10]Pricing_BEL!$L$45</f>
        <v>0</v>
      </c>
      <c r="J742" s="33">
        <f>+J396/[11]Pricing_BEL!$L$45</f>
        <v>-7.0236037131255341E-2</v>
      </c>
      <c r="K742" s="25">
        <f>+K396/[12]Pricing_BEL!$L$45</f>
        <v>0</v>
      </c>
      <c r="L742" s="25">
        <f>+L396/[13]Pricing_BEL!$L$45</f>
        <v>0</v>
      </c>
      <c r="M742" s="25">
        <f>+M396/[14]Pricing_BEL!$L$45</f>
        <v>4.1861617536471005</v>
      </c>
      <c r="N742" s="33">
        <f>+N396/[15]Pricing_BEL!$L$45</f>
        <v>0</v>
      </c>
      <c r="O742" s="25">
        <f>+O396/[16]Pricing_BEL!$L$45</f>
        <v>0</v>
      </c>
      <c r="P742" s="25">
        <f>+P396/[17]Pricing_BEL!$L$45</f>
        <v>0.43746983749191276</v>
      </c>
      <c r="Q742" s="33">
        <f>+Q396/[18]Pricing_BEL!$L$45</f>
        <v>0</v>
      </c>
      <c r="R742" s="33">
        <f>+R396/[19]Pricing_BEL!$L$45</f>
        <v>0</v>
      </c>
      <c r="S742" s="34">
        <f>+S396/[20]Pricing_BEL!$L$45</f>
        <v>0</v>
      </c>
    </row>
    <row r="743" spans="1:20" hidden="1" outlineLevel="2" x14ac:dyDescent="0.25">
      <c r="A743" s="16" t="s">
        <v>48</v>
      </c>
      <c r="B743" s="25">
        <f>+B397/[21]Pricing_BEL!$L$46</f>
        <v>0</v>
      </c>
      <c r="C743" s="25">
        <f>+C397/[1]Pricing_BEL!$L$46</f>
        <v>0</v>
      </c>
      <c r="D743" s="33">
        <f>+D397/[5]Pricing_BEL!$L$46</f>
        <v>1.1419227786769038E-2</v>
      </c>
      <c r="E743" s="25">
        <f>+E397/[6]Pricing_BEL!$L$46</f>
        <v>0</v>
      </c>
      <c r="F743" s="25">
        <f>+F397/[7]Pricing_BEL!$L$46</f>
        <v>0</v>
      </c>
      <c r="G743" s="33">
        <f>+G397/[8]Pricing_BEL!$L$46</f>
        <v>9.6892805024764744E-2</v>
      </c>
      <c r="H743" s="25">
        <f>+H397/[9]Pricing_BEL!$L$46</f>
        <v>0</v>
      </c>
      <c r="I743" s="25">
        <f>+I397/[10]Pricing_BEL!$L$46</f>
        <v>0</v>
      </c>
      <c r="J743" s="33">
        <f>+J397/[11]Pricing_BEL!$L$46</f>
        <v>-5.7576834125526409E-2</v>
      </c>
      <c r="K743" s="25">
        <f>+K397/[12]Pricing_BEL!$L$46</f>
        <v>0</v>
      </c>
      <c r="L743" s="25">
        <f>+L397/[13]Pricing_BEL!$L$46</f>
        <v>0</v>
      </c>
      <c r="M743" s="25">
        <f>+M397/[14]Pricing_BEL!$L$46</f>
        <v>3.6227580598488229</v>
      </c>
      <c r="N743" s="33">
        <f>+N397/[15]Pricing_BEL!$L$46</f>
        <v>0</v>
      </c>
      <c r="O743" s="25">
        <f>+O397/[16]Pricing_BEL!$L$46</f>
        <v>0</v>
      </c>
      <c r="P743" s="25">
        <f>+P397/[17]Pricing_BEL!$L$46</f>
        <v>0.78351009412340344</v>
      </c>
      <c r="Q743" s="33">
        <f>+Q397/[18]Pricing_BEL!$L$46</f>
        <v>0</v>
      </c>
      <c r="R743" s="33">
        <f>+R397/[19]Pricing_BEL!$L$46</f>
        <v>0</v>
      </c>
      <c r="S743" s="34">
        <f>+S397/[20]Pricing_BEL!$L$46</f>
        <v>0</v>
      </c>
    </row>
    <row r="744" spans="1:20" hidden="1" outlineLevel="2" x14ac:dyDescent="0.25">
      <c r="A744" s="16" t="s">
        <v>49</v>
      </c>
      <c r="B744" s="25">
        <f>+B398/[21]Pricing_BEL!$L$47</f>
        <v>0</v>
      </c>
      <c r="C744" s="25">
        <f>+C398/[1]Pricing_BEL!$L$47</f>
        <v>0</v>
      </c>
      <c r="D744" s="33">
        <f>+D398/[5]Pricing_BEL!$L$47</f>
        <v>3.0379403440682167E-2</v>
      </c>
      <c r="E744" s="25">
        <f>+E398/[6]Pricing_BEL!$L$47</f>
        <v>0</v>
      </c>
      <c r="F744" s="25">
        <f>+F398/[7]Pricing_BEL!$L$47</f>
        <v>0</v>
      </c>
      <c r="G744" s="33">
        <f>+G398/[8]Pricing_BEL!$L$47</f>
        <v>8.6200931826857397E-2</v>
      </c>
      <c r="H744" s="25">
        <f>+H398/[9]Pricing_BEL!$L$47</f>
        <v>0</v>
      </c>
      <c r="I744" s="25">
        <f>+I398/[10]Pricing_BEL!$L$47</f>
        <v>0</v>
      </c>
      <c r="J744" s="33">
        <f>+J398/[11]Pricing_BEL!$L$47</f>
        <v>-4.685347015737977E-2</v>
      </c>
      <c r="K744" s="25">
        <f>+K398/[12]Pricing_BEL!$L$47</f>
        <v>0</v>
      </c>
      <c r="L744" s="25">
        <f>+L398/[13]Pricing_BEL!$L$47</f>
        <v>0</v>
      </c>
      <c r="M744" s="25">
        <f>+M398/[14]Pricing_BEL!$L$47</f>
        <v>2.5737711334448639</v>
      </c>
      <c r="N744" s="33">
        <f>+N398/[15]Pricing_BEL!$L$47</f>
        <v>0</v>
      </c>
      <c r="O744" s="25">
        <f>+O398/[16]Pricing_BEL!$L$47</f>
        <v>0</v>
      </c>
      <c r="P744" s="25">
        <f>+P398/[17]Pricing_BEL!$L$47</f>
        <v>0.70564376980961896</v>
      </c>
      <c r="Q744" s="33">
        <f>+Q398/[18]Pricing_BEL!$L$47</f>
        <v>0</v>
      </c>
      <c r="R744" s="33">
        <f>+R398/[19]Pricing_BEL!$L$47</f>
        <v>0</v>
      </c>
      <c r="S744" s="34">
        <f>+S398/[20]Pricing_BEL!$L$47</f>
        <v>0</v>
      </c>
    </row>
    <row r="745" spans="1:20" hidden="1" outlineLevel="2" x14ac:dyDescent="0.25">
      <c r="A745" s="16" t="s">
        <v>50</v>
      </c>
      <c r="B745" s="25">
        <f>+B399/[21]Pricing_BEL!$L$48</f>
        <v>0</v>
      </c>
      <c r="C745" s="25">
        <f>+C399/[1]Pricing_BEL!$L$48</f>
        <v>0</v>
      </c>
      <c r="D745" s="33">
        <f>+D399/[5]Pricing_BEL!$L$48</f>
        <v>1.8492699451527282E-2</v>
      </c>
      <c r="E745" s="25">
        <f>+E399/[6]Pricing_BEL!$L$48</f>
        <v>0</v>
      </c>
      <c r="F745" s="25">
        <f>+F399/[7]Pricing_BEL!$L$48</f>
        <v>0</v>
      </c>
      <c r="G745" s="33">
        <f>+G399/[8]Pricing_BEL!$L$48</f>
        <v>7.6739742394543509E-2</v>
      </c>
      <c r="H745" s="25">
        <f>+H399/[9]Pricing_BEL!$L$48</f>
        <v>0</v>
      </c>
      <c r="I745" s="25">
        <f>+I399/[10]Pricing_BEL!$L$48</f>
        <v>0</v>
      </c>
      <c r="J745" s="33">
        <f>+J399/[11]Pricing_BEL!$L$48</f>
        <v>-4.7535285963658462E-2</v>
      </c>
      <c r="K745" s="25">
        <f>+K399/[12]Pricing_BEL!$L$48</f>
        <v>0</v>
      </c>
      <c r="L745" s="25">
        <f>+L399/[13]Pricing_BEL!$L$48</f>
        <v>0</v>
      </c>
      <c r="M745" s="25">
        <f>+M399/[14]Pricing_BEL!$L$48</f>
        <v>1.9802008186833795</v>
      </c>
      <c r="N745" s="33">
        <f>+N399/[15]Pricing_BEL!$L$48</f>
        <v>0</v>
      </c>
      <c r="O745" s="25">
        <f>+O399/[16]Pricing_BEL!$L$48</f>
        <v>0</v>
      </c>
      <c r="P745" s="25">
        <f>+P399/[17]Pricing_BEL!$L$48</f>
        <v>0.46305737516359025</v>
      </c>
      <c r="Q745" s="33">
        <f>+Q399/[18]Pricing_BEL!$L$48</f>
        <v>0</v>
      </c>
      <c r="R745" s="33">
        <f>+R399/[19]Pricing_BEL!$L$48</f>
        <v>0</v>
      </c>
      <c r="S745" s="34">
        <f>+S399/[20]Pricing_BEL!$L$48</f>
        <v>0</v>
      </c>
    </row>
    <row r="746" spans="1:20" hidden="1" outlineLevel="2" x14ac:dyDescent="0.25">
      <c r="A746" s="16" t="s">
        <v>51</v>
      </c>
      <c r="B746" s="25">
        <f>+B400/[21]Pricing_BEL!$L$49</f>
        <v>0</v>
      </c>
      <c r="C746" s="25">
        <f>+C400/[1]Pricing_BEL!$L$49</f>
        <v>0</v>
      </c>
      <c r="D746" s="33">
        <f>+D400/[5]Pricing_BEL!$L$49</f>
        <v>3.0186187275068423E-2</v>
      </c>
      <c r="E746" s="25">
        <f>+E400/[6]Pricing_BEL!$L$49</f>
        <v>0</v>
      </c>
      <c r="F746" s="25">
        <f>+F400/[7]Pricing_BEL!$L$49</f>
        <v>0</v>
      </c>
      <c r="G746" s="33">
        <f>+G400/[8]Pricing_BEL!$L$49</f>
        <v>8.4764264300249734E-2</v>
      </c>
      <c r="H746" s="25">
        <f>+H400/[9]Pricing_BEL!$L$49</f>
        <v>0</v>
      </c>
      <c r="I746" s="25">
        <f>+I400/[10]Pricing_BEL!$L$49</f>
        <v>0</v>
      </c>
      <c r="J746" s="33">
        <f>+J400/[11]Pricing_BEL!$L$49</f>
        <v>-4.4969695005233935E-2</v>
      </c>
      <c r="K746" s="25">
        <f>+K400/[12]Pricing_BEL!$L$49</f>
        <v>0</v>
      </c>
      <c r="L746" s="25">
        <f>+L400/[13]Pricing_BEL!$L$49</f>
        <v>0</v>
      </c>
      <c r="M746" s="25">
        <f>+M400/[14]Pricing_BEL!$L$49</f>
        <v>1.7690090662632629</v>
      </c>
      <c r="N746" s="33">
        <f>+N400/[15]Pricing_BEL!$L$49</f>
        <v>0</v>
      </c>
      <c r="O746" s="25">
        <f>+O400/[16]Pricing_BEL!$L$49</f>
        <v>0</v>
      </c>
      <c r="P746" s="25">
        <f>+P400/[17]Pricing_BEL!$L$49</f>
        <v>0.34770755884926396</v>
      </c>
      <c r="Q746" s="33">
        <f>+Q400/[18]Pricing_BEL!$L$49</f>
        <v>0</v>
      </c>
      <c r="R746" s="33">
        <f>+R400/[19]Pricing_BEL!$L$49</f>
        <v>0</v>
      </c>
      <c r="S746" s="34">
        <f>+S400/[20]Pricing_BEL!$L$49</f>
        <v>0</v>
      </c>
    </row>
    <row r="747" spans="1:20" hidden="1" outlineLevel="2" x14ac:dyDescent="0.25">
      <c r="A747" s="16" t="s">
        <v>52</v>
      </c>
      <c r="B747" s="25">
        <f>+B401/[21]Pricing_BEL!$L$50</f>
        <v>0</v>
      </c>
      <c r="C747" s="25">
        <f>+C401/[1]Pricing_BEL!$L$50</f>
        <v>0</v>
      </c>
      <c r="D747" s="33">
        <f>+D401/[5]Pricing_BEL!$L$50</f>
        <v>2.7076308620814355E-2</v>
      </c>
      <c r="E747" s="25">
        <f>+E401/[6]Pricing_BEL!$L$50</f>
        <v>0</v>
      </c>
      <c r="F747" s="25">
        <f>+F401/[7]Pricing_BEL!$L$50</f>
        <v>0</v>
      </c>
      <c r="G747" s="33">
        <f>+G401/[8]Pricing_BEL!$L$50</f>
        <v>8.6302774584230219E-2</v>
      </c>
      <c r="H747" s="25">
        <f>+H401/[9]Pricing_BEL!$L$50</f>
        <v>0</v>
      </c>
      <c r="I747" s="25">
        <f>+I401/[10]Pricing_BEL!$L$50</f>
        <v>0</v>
      </c>
      <c r="J747" s="33">
        <f>+J401/[11]Pricing_BEL!$L$50</f>
        <v>-5.477776596911578E-2</v>
      </c>
      <c r="K747" s="25">
        <f>+K401/[12]Pricing_BEL!$L$50</f>
        <v>0</v>
      </c>
      <c r="L747" s="25">
        <f>+L401/[13]Pricing_BEL!$L$50</f>
        <v>0</v>
      </c>
      <c r="M747" s="25">
        <f>+M401/[14]Pricing_BEL!$L$50</f>
        <v>1.6122719348859185</v>
      </c>
      <c r="N747" s="33">
        <f>+N401/[15]Pricing_BEL!$L$50</f>
        <v>0</v>
      </c>
      <c r="O747" s="25">
        <f>+O401/[16]Pricing_BEL!$L$50</f>
        <v>0</v>
      </c>
      <c r="P747" s="25">
        <f>+P401/[17]Pricing_BEL!$L$50</f>
        <v>0.34460417396457721</v>
      </c>
      <c r="Q747" s="33">
        <f>+Q401/[18]Pricing_BEL!$L$50</f>
        <v>0</v>
      </c>
      <c r="R747" s="33">
        <f>+R401/[19]Pricing_BEL!$L$50</f>
        <v>0</v>
      </c>
      <c r="S747" s="34">
        <f>+S401/[20]Pricing_BEL!$L$50</f>
        <v>0</v>
      </c>
    </row>
    <row r="748" spans="1:20" hidden="1" outlineLevel="2" x14ac:dyDescent="0.25">
      <c r="A748" s="16" t="s">
        <v>53</v>
      </c>
      <c r="B748" s="25">
        <f>+B402/[21]Pricing_BEL!$L$51</f>
        <v>0</v>
      </c>
      <c r="C748" s="25">
        <f>+C402/[1]Pricing_BEL!$L$51</f>
        <v>0</v>
      </c>
      <c r="D748" s="33">
        <f>+D402/[5]Pricing_BEL!$L$51</f>
        <v>2.9436406146171275E-2</v>
      </c>
      <c r="E748" s="25">
        <f>+E402/[6]Pricing_BEL!$L$51</f>
        <v>0</v>
      </c>
      <c r="F748" s="25">
        <f>+F402/[7]Pricing_BEL!$L$51</f>
        <v>0</v>
      </c>
      <c r="G748" s="33">
        <f>+G402/[8]Pricing_BEL!$L$51</f>
        <v>9.8318792745398037E-2</v>
      </c>
      <c r="H748" s="25">
        <f>+H402/[9]Pricing_BEL!$L$51</f>
        <v>0</v>
      </c>
      <c r="I748" s="25">
        <f>+I402/[10]Pricing_BEL!$L$51</f>
        <v>0</v>
      </c>
      <c r="J748" s="33">
        <f>+J402/[11]Pricing_BEL!$L$51</f>
        <v>-6.9182747415255375E-2</v>
      </c>
      <c r="K748" s="25">
        <f>+K402/[12]Pricing_BEL!$L$51</f>
        <v>0</v>
      </c>
      <c r="L748" s="25">
        <f>+L402/[13]Pricing_BEL!$L$51</f>
        <v>0</v>
      </c>
      <c r="M748" s="25">
        <f>+M402/[14]Pricing_BEL!$L$51</f>
        <v>1.1730251426405285</v>
      </c>
      <c r="N748" s="33">
        <f>+N402/[15]Pricing_BEL!$L$51</f>
        <v>0</v>
      </c>
      <c r="O748" s="25">
        <f>+O402/[16]Pricing_BEL!$L$51</f>
        <v>0</v>
      </c>
      <c r="P748" s="25">
        <f>+P402/[17]Pricing_BEL!$L$51</f>
        <v>0.46335613096531164</v>
      </c>
      <c r="Q748" s="33">
        <f>+Q402/[18]Pricing_BEL!$L$51</f>
        <v>0</v>
      </c>
      <c r="R748" s="33">
        <f>+R402/[19]Pricing_BEL!$L$51</f>
        <v>0</v>
      </c>
      <c r="S748" s="34">
        <f>+S402/[20]Pricing_BEL!$L$51</f>
        <v>0</v>
      </c>
    </row>
    <row r="749" spans="1:20" hidden="1" outlineLevel="2" x14ac:dyDescent="0.25">
      <c r="A749" s="16" t="s">
        <v>54</v>
      </c>
      <c r="B749" s="25">
        <f>+B403/[21]Pricing_BEL!$L$52</f>
        <v>0</v>
      </c>
      <c r="C749" s="25">
        <f>+C403/[1]Pricing_BEL!$L$52</f>
        <v>0</v>
      </c>
      <c r="D749" s="33">
        <f>+D403/[5]Pricing_BEL!$L$52</f>
        <v>-3.1668025202534812E-3</v>
      </c>
      <c r="E749" s="25">
        <f>+E403/[6]Pricing_BEL!$L$52</f>
        <v>0</v>
      </c>
      <c r="F749" s="25">
        <f>+F403/[7]Pricing_BEL!$L$52</f>
        <v>0</v>
      </c>
      <c r="G749" s="33">
        <f>+G403/[8]Pricing_BEL!$L$52</f>
        <v>0.13264503009275122</v>
      </c>
      <c r="H749" s="25">
        <f>+H403/[9]Pricing_BEL!$L$52</f>
        <v>0</v>
      </c>
      <c r="I749" s="25">
        <f>+I403/[10]Pricing_BEL!$L$52</f>
        <v>0</v>
      </c>
      <c r="J749" s="33">
        <f>+J403/[11]Pricing_BEL!$L$52</f>
        <v>-7.8442152295477338E-2</v>
      </c>
      <c r="K749" s="25">
        <f>+K403/[12]Pricing_BEL!$L$52</f>
        <v>0</v>
      </c>
      <c r="L749" s="25">
        <f>+L403/[13]Pricing_BEL!$L$52</f>
        <v>0</v>
      </c>
      <c r="M749" s="25">
        <f>+M403/[14]Pricing_BEL!$L$52</f>
        <v>0.34349121767784396</v>
      </c>
      <c r="N749" s="33">
        <f>+N403/[15]Pricing_BEL!$L$52</f>
        <v>0</v>
      </c>
      <c r="O749" s="25">
        <f>+O403/[16]Pricing_BEL!$L$52</f>
        <v>0</v>
      </c>
      <c r="P749" s="25">
        <f>+P403/[17]Pricing_BEL!$L$52</f>
        <v>0.96273632376082119</v>
      </c>
      <c r="Q749" s="33">
        <f>+Q403/[18]Pricing_BEL!$L$52</f>
        <v>0</v>
      </c>
      <c r="R749" s="33">
        <f>+R403/[19]Pricing_BEL!$L$52</f>
        <v>0</v>
      </c>
      <c r="S749" s="34">
        <f>+S403/[20]Pricing_BEL!$L$52</f>
        <v>0</v>
      </c>
    </row>
    <row r="750" spans="1:20" hidden="1" outlineLevel="2" x14ac:dyDescent="0.25">
      <c r="A750" s="16" t="s">
        <v>55</v>
      </c>
      <c r="B750" s="25">
        <f>+B404/[21]Pricing_BEL!$L$53</f>
        <v>0</v>
      </c>
      <c r="C750" s="25">
        <f>+C404/[1]Pricing_BEL!$L$53</f>
        <v>0</v>
      </c>
      <c r="D750" s="33">
        <f>+D404/[5]Pricing_BEL!$L$53</f>
        <v>-2.9073453882367747E-2</v>
      </c>
      <c r="E750" s="25">
        <f>+E404/[6]Pricing_BEL!$L$53</f>
        <v>0</v>
      </c>
      <c r="F750" s="25">
        <f>+F404/[7]Pricing_BEL!$L$53</f>
        <v>0</v>
      </c>
      <c r="G750" s="33">
        <f>+G404/[8]Pricing_BEL!$L$53</f>
        <v>8.0371370194891309E-2</v>
      </c>
      <c r="H750" s="25">
        <f>+H404/[9]Pricing_BEL!$L$53</f>
        <v>0</v>
      </c>
      <c r="I750" s="25">
        <f>+I404/[10]Pricing_BEL!$L$53</f>
        <v>0</v>
      </c>
      <c r="J750" s="33">
        <f>+J404/[11]Pricing_BEL!$L$53</f>
        <v>-9.7789093735148977E-2</v>
      </c>
      <c r="K750" s="25">
        <f>+K404/[12]Pricing_BEL!$L$53</f>
        <v>0</v>
      </c>
      <c r="L750" s="25">
        <f>+L404/[13]Pricing_BEL!$L$53</f>
        <v>0</v>
      </c>
      <c r="M750" s="25">
        <f>+M404/[14]Pricing_BEL!$L$53</f>
        <v>-0.88080980950913179</v>
      </c>
      <c r="N750" s="33">
        <f>+N404/[15]Pricing_BEL!$L$53</f>
        <v>0</v>
      </c>
      <c r="O750" s="25">
        <f>+O404/[16]Pricing_BEL!$L$53</f>
        <v>0</v>
      </c>
      <c r="P750" s="25">
        <f>+P404/[17]Pricing_BEL!$L$53</f>
        <v>12.407803658357583</v>
      </c>
      <c r="Q750" s="33">
        <f>+Q404/[18]Pricing_BEL!$L$53</f>
        <v>0</v>
      </c>
      <c r="R750" s="33">
        <f>+R404/[19]Pricing_BEL!$L$53</f>
        <v>0</v>
      </c>
      <c r="S750" s="34">
        <f>+S404/[20]Pricing_BEL!$L$53</f>
        <v>0</v>
      </c>
    </row>
    <row r="751" spans="1:20" hidden="1" outlineLevel="2" x14ac:dyDescent="0.25">
      <c r="A751" s="16" t="s">
        <v>56</v>
      </c>
      <c r="B751" s="25">
        <f>+B405/[21]Pricing_BEL!$L$54</f>
        <v>0</v>
      </c>
      <c r="C751" s="25">
        <f>+C405/[1]Pricing_BEL!$L$54</f>
        <v>0</v>
      </c>
      <c r="D751" s="33">
        <f>+D405/[5]Pricing_BEL!$L$54</f>
        <v>-9.4061227773480957E-2</v>
      </c>
      <c r="E751" s="25">
        <f>+E405/[6]Pricing_BEL!$L$54</f>
        <v>0</v>
      </c>
      <c r="F751" s="25">
        <f>+F405/[7]Pricing_BEL!$L$54</f>
        <v>0</v>
      </c>
      <c r="G751" s="33">
        <f>+G405/[8]Pricing_BEL!$L$54</f>
        <v>0.13909030474923326</v>
      </c>
      <c r="H751" s="25">
        <f>+H405/[9]Pricing_BEL!$L$54</f>
        <v>0</v>
      </c>
      <c r="I751" s="25">
        <f>+I405/[10]Pricing_BEL!$L$54</f>
        <v>0</v>
      </c>
      <c r="J751" s="33">
        <f>+J405/[11]Pricing_BEL!$L$54</f>
        <v>-0.10618224657403712</v>
      </c>
      <c r="K751" s="25">
        <f>+K405/[12]Pricing_BEL!$L$54</f>
        <v>0</v>
      </c>
      <c r="L751" s="25">
        <f>+L405/[13]Pricing_BEL!$L$54</f>
        <v>0</v>
      </c>
      <c r="M751" s="25">
        <f>+M405/[14]Pricing_BEL!$L$54</f>
        <v>-1.0009508817771977</v>
      </c>
      <c r="N751" s="33">
        <f>+N405/[15]Pricing_BEL!$L$54</f>
        <v>0</v>
      </c>
      <c r="O751" s="25">
        <f>+O405/[16]Pricing_BEL!$L$54</f>
        <v>0</v>
      </c>
      <c r="P751" s="25">
        <f>+P405/[17]Pricing_BEL!$L$54</f>
        <v>4.4444444444494699E-3</v>
      </c>
      <c r="Q751" s="33">
        <f>+Q405/[18]Pricing_BEL!$L$54</f>
        <v>0</v>
      </c>
      <c r="R751" s="33">
        <f>+R405/[19]Pricing_BEL!$L$54</f>
        <v>0</v>
      </c>
      <c r="S751" s="34">
        <f>+S405/[20]Pricing_BEL!$L$54</f>
        <v>0</v>
      </c>
    </row>
    <row r="752" spans="1:20" collapsed="1" x14ac:dyDescent="0.25">
      <c r="A752" s="12" t="s">
        <v>89</v>
      </c>
      <c r="B752" s="25">
        <f>+B406/SUM([21]Result!$C$5:$C$54)</f>
        <v>-1.7037449717359271E-3</v>
      </c>
      <c r="C752" s="25">
        <f>+C406/SUM([1]Result!$C$5:$C$54)</f>
        <v>3.0960225479119917E-3</v>
      </c>
      <c r="D752" s="33">
        <f>+D406/SUM([5]Result!$C$5:$C$54)</f>
        <v>3.0792335625073025E-2</v>
      </c>
      <c r="E752" s="25">
        <f>+E406/SUM([6]Result!$C$5:$C$54)</f>
        <v>6.7673391665541418E-3</v>
      </c>
      <c r="F752" s="25">
        <f>+F406/SUM([7]Result!$C$5:$C$54)</f>
        <v>-1.8693115450489439E-3</v>
      </c>
      <c r="G752" s="33">
        <f>+G406/SUM([8]Result!$C$5:$C$54)</f>
        <v>-3.2445821879546442E-2</v>
      </c>
      <c r="H752" s="25">
        <f>+H406/SUM([9]Result!$C$5:$C$54)</f>
        <v>-2.2605803156345769E-3</v>
      </c>
      <c r="I752" s="25">
        <f>+I406/SUM([10]Result!$C$5:$C$54)</f>
        <v>4.3233246650152399E-4</v>
      </c>
      <c r="J752" s="33">
        <f>+J406/SUM([11]Result!$C$5:$C$54)</f>
        <v>1.8470120272003395E-3</v>
      </c>
      <c r="K752" s="25">
        <f>+K406/SUM([12]Result!$C$5:$C$54)</f>
        <v>8.2761779564611681E-4</v>
      </c>
      <c r="L752" s="25">
        <f>+L406/SUM([13]Result!$C$5:$C$54)</f>
        <v>-2.2838945722638161E-3</v>
      </c>
      <c r="M752" s="33">
        <f>+M406/SUM([14]Result!$C$5:$C$54)</f>
        <v>-0.10251860746570127</v>
      </c>
      <c r="N752" s="25">
        <f>+N406/SUM([15]Result!$C$5:$C$54)</f>
        <v>1.2016203006215565E-3</v>
      </c>
      <c r="O752" s="25">
        <f>+O406/SUM([16]Result!$C$5:$C$54)</f>
        <v>3.4764448965165784E-3</v>
      </c>
      <c r="P752" s="33">
        <f>+P406/SUM([17]Result!$C$5:$C$54)</f>
        <v>0.10938964101787982</v>
      </c>
      <c r="Q752" s="25">
        <f>+Q406/SUM([18]Result!$C$5:$C$54)</f>
        <v>-5.9230624822252285E-4</v>
      </c>
      <c r="R752" s="25">
        <f>+R406/SUM([19]Result!$C$5:$C$54)</f>
        <v>2.2556737945519404E-3</v>
      </c>
      <c r="S752" s="34">
        <f>+S406/SUM([20]Result!$C$5:$C$54)</f>
        <v>8.8875579727721026E-4</v>
      </c>
      <c r="T752" s="27"/>
    </row>
    <row r="753" spans="1:19" hidden="1" outlineLevel="1" x14ac:dyDescent="0.25">
      <c r="A753" s="15" t="s">
        <v>2</v>
      </c>
      <c r="B753" s="25">
        <f>+B407/'[21]Stat by Mat'!$G$3</f>
        <v>-9.2178343437409661E-4</v>
      </c>
      <c r="C753" s="25">
        <f>+C407/'[1]Stat by Mat'!$G$3</f>
        <v>1.9204172341019126E-3</v>
      </c>
      <c r="D753" s="33">
        <f>+D407/'[5]Stat by Mat'!$G$3</f>
        <v>5.0004876753332816E-2</v>
      </c>
      <c r="E753" s="25">
        <f>+E407/'[6]Stat by Mat'!$G$3</f>
        <v>4.1620491422910836E-3</v>
      </c>
      <c r="F753" s="25">
        <f>+F407/'[7]Stat by Mat'!$G$3</f>
        <v>-6.9560609507621489E-4</v>
      </c>
      <c r="G753" s="33">
        <f>+G407/'[8]Stat by Mat'!$G$3</f>
        <v>-3.7018714149575603E-2</v>
      </c>
      <c r="H753" s="25">
        <f>+H407/'[9]Stat by Mat'!$G$3</f>
        <v>-1.3279752259452303E-3</v>
      </c>
      <c r="I753" s="25">
        <f>+I407/'[10]Stat by Mat'!$G$3</f>
        <v>5.5470239223875907E-4</v>
      </c>
      <c r="J753" s="33">
        <f>+J407/'[11]Stat by Mat'!$G$3</f>
        <v>9.9209525884286004E-4</v>
      </c>
      <c r="K753" s="25">
        <f>+K407/'[12]Stat by Mat'!$G$3</f>
        <v>4.1848384740457011E-4</v>
      </c>
      <c r="L753" s="25">
        <f>+L407/'[13]Stat by Mat'!$G$3</f>
        <v>-6.4845211354956839E-4</v>
      </c>
      <c r="M753" s="25">
        <f>+M407/'[13]Stat by Mat'!$G$3</f>
        <v>-8.01756956473898E-2</v>
      </c>
      <c r="N753" s="33">
        <f>+N407/'[13]Stat by Mat'!$G$3</f>
        <v>4.9112065527359217E-4</v>
      </c>
      <c r="O753" s="25">
        <f>+O407/'[13]Stat by Mat'!$G$3</f>
        <v>1.2186235221540906E-3</v>
      </c>
      <c r="P753" s="25">
        <f>+P407/'[13]Stat by Mat'!$G$3</f>
        <v>0.11195336115612015</v>
      </c>
      <c r="Q753" s="33">
        <f>+Q407/'[13]Stat by Mat'!$G$3</f>
        <v>-5.1405236726550184E-4</v>
      </c>
      <c r="R753" s="33">
        <f>+R407/'[13]Stat by Mat'!$G$3</f>
        <v>1.6221324642095008E-3</v>
      </c>
      <c r="S753" s="34">
        <f>+S407/'[13]Stat by Mat'!$G$3</f>
        <v>2.358614647867443E-4</v>
      </c>
    </row>
    <row r="754" spans="1:19" ht="15" hidden="1" customHeight="1" outlineLevel="2" x14ac:dyDescent="0.25">
      <c r="A754" s="16" t="s">
        <v>3</v>
      </c>
      <c r="B754" s="25">
        <f>+B408/[21]Result!$C$5</f>
        <v>-2.7553100307365502E-4</v>
      </c>
      <c r="C754" s="25">
        <f>+C408/[1]Result!$C$5</f>
        <v>7.4532942003814715E-4</v>
      </c>
      <c r="D754" s="33">
        <f>+D408/[5]Result!$C$5</f>
        <v>2.4503166501474161E-3</v>
      </c>
      <c r="E754" s="25">
        <f>+E408/[6]Result!$C$5</f>
        <v>1.384154588053782E-3</v>
      </c>
      <c r="F754" s="25">
        <f>+F408/[7]Result!$C$5</f>
        <v>-7.7804415321495649E-5</v>
      </c>
      <c r="G754" s="33">
        <f>+G408/[8]Result!$C$5</f>
        <v>-9.1345590221634507E-2</v>
      </c>
      <c r="H754" s="25">
        <f>+H408/[9]Result!$C$5</f>
        <v>-3.3029034025678755E-4</v>
      </c>
      <c r="I754" s="25">
        <f>+I408/[10]Result!$C$5</f>
        <v>4.3704037256146363E-5</v>
      </c>
      <c r="J754" s="33">
        <f>+J408/[11]Result!$C$5</f>
        <v>-5.3627198155913026E-2</v>
      </c>
      <c r="K754" s="25">
        <f>+K408/[12]Result!$C$5</f>
        <v>-2.4257710841393792E-5</v>
      </c>
      <c r="L754" s="25">
        <f>+L408/[13]Result!$C$5</f>
        <v>-5.8210218785187233E-5</v>
      </c>
      <c r="M754" s="25">
        <f>+M408/[14]Result!$C$5</f>
        <v>-6.2050612407388538E-2</v>
      </c>
      <c r="N754" s="33">
        <f>+N408/[15]Result!$C$5</f>
        <v>1.4544394269370336E-5</v>
      </c>
      <c r="O754" s="25">
        <f>+O408/[16]Result!$C$5</f>
        <v>1.4063785524868669E-4</v>
      </c>
      <c r="P754" s="25">
        <f>+P408/[17]Result!$C$5</f>
        <v>0.16787312494963494</v>
      </c>
      <c r="Q754" s="33">
        <f>+Q408/[18]Result!$C$5</f>
        <v>-3.5089934222794629E-4</v>
      </c>
      <c r="R754" s="33">
        <f>+R408/[19]Result!$C$5</f>
        <v>4.0395962610525018E-4</v>
      </c>
      <c r="S754" s="34">
        <f>+S408/[20]Result!$C$5</f>
        <v>1.9244898657668724E-5</v>
      </c>
    </row>
    <row r="755" spans="1:19" hidden="1" outlineLevel="2" x14ac:dyDescent="0.25">
      <c r="A755" s="16" t="s">
        <v>4</v>
      </c>
      <c r="B755" s="25">
        <f>+B409/[21]Result!$C$6</f>
        <v>-9.59632375128355E-4</v>
      </c>
      <c r="C755" s="25">
        <f>+C409/[1]Result!$C$6</f>
        <v>1.9943611454793456E-3</v>
      </c>
      <c r="D755" s="33">
        <f>+D409/[5]Result!$C$6</f>
        <v>0.18196299260253695</v>
      </c>
      <c r="E755" s="25">
        <f>+E409/[6]Result!$C$6</f>
        <v>4.3935892207326698E-3</v>
      </c>
      <c r="F755" s="25">
        <f>+F409/[7]Result!$C$6</f>
        <v>-6.1453079057845856E-4</v>
      </c>
      <c r="G755" s="33">
        <f>+G409/[8]Result!$C$6</f>
        <v>2.2694277632756499E-2</v>
      </c>
      <c r="H755" s="25">
        <f>+H409/[9]Result!$C$6</f>
        <v>-1.2878331141628154E-3</v>
      </c>
      <c r="I755" s="25">
        <f>+I409/[10]Result!$C$6</f>
        <v>4.2329919080304977E-4</v>
      </c>
      <c r="J755" s="33">
        <f>+J409/[11]Result!$C$6</f>
        <v>3.5116816482643767E-2</v>
      </c>
      <c r="K755" s="25">
        <f>+K409/[12]Result!$C$6</f>
        <v>2.7597085864379376E-4</v>
      </c>
      <c r="L755" s="25">
        <f>+L409/[13]Result!$C$6</f>
        <v>-4.7634177567831062E-4</v>
      </c>
      <c r="M755" s="25">
        <f>+M409/[14]Result!$C$6</f>
        <v>-8.5458977845059139E-2</v>
      </c>
      <c r="N755" s="33">
        <f>+N409/[15]Result!$C$6</f>
        <v>3.5381142704755237E-4</v>
      </c>
      <c r="O755" s="25">
        <f>+O409/[16]Result!$C$6</f>
        <v>8.8058155835349188E-4</v>
      </c>
      <c r="P755" s="25">
        <f>+P409/[17]Result!$C$6</f>
        <v>0.1177482731002262</v>
      </c>
      <c r="Q755" s="33">
        <f>+Q409/[18]Result!$C$6</f>
        <v>-8.7853534405153309E-4</v>
      </c>
      <c r="R755" s="33">
        <f>+R409/[19]Result!$C$6</f>
        <v>1.6264800116119189E-3</v>
      </c>
      <c r="S755" s="34">
        <f>+S409/[20]Result!$C$6</f>
        <v>2.0251279552658581E-4</v>
      </c>
    </row>
    <row r="756" spans="1:19" hidden="1" outlineLevel="2" x14ac:dyDescent="0.25">
      <c r="A756" s="16" t="s">
        <v>5</v>
      </c>
      <c r="B756" s="25">
        <f>+B410/[21]Result!$C$7</f>
        <v>-1.8534436583867791E-3</v>
      </c>
      <c r="C756" s="25">
        <f>+C410/[1]Result!$C$7</f>
        <v>3.3851907733636203E-3</v>
      </c>
      <c r="D756" s="33">
        <f>+D410/[5]Result!$C$7</f>
        <v>6.4830590431362396E-3</v>
      </c>
      <c r="E756" s="25">
        <f>+E410/[6]Result!$C$7</f>
        <v>7.4403296115587358E-3</v>
      </c>
      <c r="F756" s="25">
        <f>+F410/[7]Result!$C$7</f>
        <v>-1.4626961344025048E-3</v>
      </c>
      <c r="G756" s="33">
        <f>+G410/[8]Result!$C$7</f>
        <v>-6.2856825291181832E-3</v>
      </c>
      <c r="H756" s="25">
        <f>+H410/[9]Result!$C$7</f>
        <v>-2.5240489754032869E-3</v>
      </c>
      <c r="I756" s="25">
        <f>+I410/[10]Result!$C$7</f>
        <v>1.2448248572231098E-3</v>
      </c>
      <c r="J756" s="33">
        <f>+J410/[11]Result!$C$7</f>
        <v>7.7807001794784225E-2</v>
      </c>
      <c r="K756" s="25">
        <f>+K410/[12]Result!$C$7</f>
        <v>9.0307311082201119E-4</v>
      </c>
      <c r="L756" s="25">
        <f>+L410/[13]Result!$C$7</f>
        <v>-1.1805703837625165E-3</v>
      </c>
      <c r="M756" s="25">
        <f>+M410/[14]Result!$C$7</f>
        <v>-7.7198423377178207E-2</v>
      </c>
      <c r="N756" s="33">
        <f>+N410/[15]Result!$C$7</f>
        <v>1.1734582681566074E-3</v>
      </c>
      <c r="O756" s="25">
        <f>+O410/[16]Result!$C$7</f>
        <v>2.4540413627748259E-3</v>
      </c>
      <c r="P756" s="25">
        <f>+P410/[17]Result!$C$7</f>
        <v>5.382054349065496E-2</v>
      </c>
      <c r="Q756" s="33">
        <f>+Q410/[18]Result!$C$7</f>
        <v>-5.6154860345825801E-4</v>
      </c>
      <c r="R756" s="33">
        <f>+R410/[19]Result!$C$7</f>
        <v>3.0352238043182523E-3</v>
      </c>
      <c r="S756" s="34">
        <f>+S410/[20]Result!$C$7</f>
        <v>3.6075437859062274E-4</v>
      </c>
    </row>
    <row r="757" spans="1:19" hidden="1" outlineLevel="2" x14ac:dyDescent="0.25">
      <c r="A757" s="16" t="s">
        <v>6</v>
      </c>
      <c r="B757" s="25">
        <f>+B411/[21]Result!$C$8</f>
        <v>-2.4048656247202824E-3</v>
      </c>
      <c r="C757" s="25">
        <f>+C411/[1]Result!$C$8</f>
        <v>4.6392791482092128E-3</v>
      </c>
      <c r="D757" s="33">
        <f>+D411/[5]Result!$C$8</f>
        <v>1.771425166372392E-2</v>
      </c>
      <c r="E757" s="25">
        <f>+E411/[6]Result!$C$8</f>
        <v>1.0339706697152822E-2</v>
      </c>
      <c r="F757" s="25">
        <f>+F411/[7]Result!$C$8</f>
        <v>-2.2928346825079387E-3</v>
      </c>
      <c r="G757" s="33">
        <f>+G411/[8]Result!$C$8</f>
        <v>-5.7550630145781513E-4</v>
      </c>
      <c r="H757" s="25">
        <f>+H411/[9]Result!$C$8</f>
        <v>-3.5393100509504764E-3</v>
      </c>
      <c r="I757" s="25">
        <f>+I411/[10]Result!$C$8</f>
        <v>1.9430830278257772E-3</v>
      </c>
      <c r="J757" s="33">
        <f>+J411/[11]Result!$C$8</f>
        <v>4.2326419414586848E-2</v>
      </c>
      <c r="K757" s="25">
        <f>+K411/[12]Result!$C$8</f>
        <v>1.519405636788123E-3</v>
      </c>
      <c r="L757" s="25">
        <f>+L411/[13]Result!$C$8</f>
        <v>-2.0468424512947395E-3</v>
      </c>
      <c r="M757" s="25">
        <f>+M411/[14]Result!$C$8</f>
        <v>-0.11370553581905495</v>
      </c>
      <c r="N757" s="33">
        <f>+N411/[15]Result!$C$8</f>
        <v>1.9481345506536978E-3</v>
      </c>
      <c r="O757" s="25">
        <f>+O411/[16]Result!$C$8</f>
        <v>4.6473081178847429E-3</v>
      </c>
      <c r="P757" s="25">
        <f>+P411/[17]Result!$C$8</f>
        <v>3.779709975319815E-2</v>
      </c>
      <c r="Q757" s="33">
        <f>+Q411/[18]Result!$C$8</f>
        <v>8.5583801741804589E-5</v>
      </c>
      <c r="R757" s="33">
        <f>+R411/[19]Result!$C$8</f>
        <v>4.0920309086792976E-3</v>
      </c>
      <c r="S757" s="34">
        <f>+S411/[20]Result!$C$8</f>
        <v>6.7803363683155643E-4</v>
      </c>
    </row>
    <row r="758" spans="1:19" hidden="1" outlineLevel="2" x14ac:dyDescent="0.25">
      <c r="A758" s="16" t="s">
        <v>7</v>
      </c>
      <c r="B758" s="25">
        <f>+B412/[21]Result!$C$9</f>
        <v>-2.6953207380882795E-3</v>
      </c>
      <c r="C758" s="25">
        <f>+C412/[1]Result!$C$9</f>
        <v>5.7021306115727548E-3</v>
      </c>
      <c r="D758" s="33">
        <f>+D412/[5]Result!$C$9</f>
        <v>-1.3733262722239561E-2</v>
      </c>
      <c r="E758" s="25">
        <f>+E412/[6]Result!$C$9</f>
        <v>1.3287956705967503E-2</v>
      </c>
      <c r="F758" s="25">
        <f>+F412/[7]Result!$C$9</f>
        <v>-3.0790160073469273E-3</v>
      </c>
      <c r="G758" s="33">
        <f>+G412/[8]Result!$C$9</f>
        <v>9.800349245227232E-4</v>
      </c>
      <c r="H758" s="25">
        <f>+H412/[9]Result!$C$9</f>
        <v>-4.3837263375308706E-3</v>
      </c>
      <c r="I758" s="25">
        <f>+I412/[10]Result!$C$9</f>
        <v>2.275851784594776E-3</v>
      </c>
      <c r="J758" s="33">
        <f>+J412/[11]Result!$C$9</f>
        <v>2.160182817606442E-2</v>
      </c>
      <c r="K758" s="25">
        <f>+K412/[12]Result!$C$9</f>
        <v>2.140612524286426E-3</v>
      </c>
      <c r="L758" s="25">
        <f>+L412/[13]Result!$C$9</f>
        <v>-3.2332432800980578E-3</v>
      </c>
      <c r="M758" s="25">
        <f>+M412/[14]Result!$C$9</f>
        <v>-0.1591244047191171</v>
      </c>
      <c r="N758" s="33">
        <f>+N412/[15]Result!$C$9</f>
        <v>2.6004726064529707E-3</v>
      </c>
      <c r="O758" s="25">
        <f>+O412/[16]Result!$C$9</f>
        <v>7.0717817071450978E-3</v>
      </c>
      <c r="P758" s="25">
        <f>+P412/[17]Result!$C$9</f>
        <v>4.7712218449668359E-2</v>
      </c>
      <c r="Q758" s="33">
        <f>+Q412/[18]Result!$C$9</f>
        <v>1.1845258031171974E-4</v>
      </c>
      <c r="R758" s="33">
        <f>+R412/[19]Result!$C$9</f>
        <v>5.0587562921628531E-3</v>
      </c>
      <c r="S758" s="34">
        <f>+S412/[20]Result!$C$9</f>
        <v>1.4997133382238211E-3</v>
      </c>
    </row>
    <row r="759" spans="1:19" hidden="1" outlineLevel="1" x14ac:dyDescent="0.25">
      <c r="A759" s="15" t="s">
        <v>8</v>
      </c>
      <c r="B759" s="25">
        <f>+B413/'[21]Stat by Mat'!$G$4</f>
        <v>-3.6488614391112281E-3</v>
      </c>
      <c r="C759" s="25">
        <f>+C413/'[1]Stat by Mat'!$G$4</f>
        <v>7.8085607421599246E-3</v>
      </c>
      <c r="D759" s="33">
        <f>+D413/'[5]Stat by Mat'!$G$4</f>
        <v>-4.2403884766379581E-2</v>
      </c>
      <c r="E759" s="25">
        <f>+E413/'[6]Stat by Mat'!$G$4</f>
        <v>1.833755870665256E-2</v>
      </c>
      <c r="F759" s="25">
        <f>+F413/'[7]Stat by Mat'!$G$4</f>
        <v>-4.9942373628230402E-3</v>
      </c>
      <c r="G759" s="33">
        <f>+G413/'[8]Stat by Mat'!$G$4</f>
        <v>2.2573986344743332E-4</v>
      </c>
      <c r="H759" s="25">
        <f>+H413/'[9]Stat by Mat'!$G$4</f>
        <v>-5.7837674450609807E-3</v>
      </c>
      <c r="I759" s="25">
        <f>+I413/'[10]Stat by Mat'!$G$4</f>
        <v>2.1796166616199074E-3</v>
      </c>
      <c r="J759" s="33">
        <f>+J413/'[11]Stat by Mat'!$G$4</f>
        <v>2.0303804718734518E-3</v>
      </c>
      <c r="K759" s="25">
        <f>+K413/'[12]Stat by Mat'!$G$4</f>
        <v>3.1391242914236045E-3</v>
      </c>
      <c r="L759" s="25">
        <f>+L413/'[13]Stat by Mat'!$G$4</f>
        <v>-6.7756740460280258E-3</v>
      </c>
      <c r="M759" s="25">
        <f>+M413/'[14]Stat by Mat'!$G$4</f>
        <v>-0.21194421780926967</v>
      </c>
      <c r="N759" s="33">
        <f>+N413/'[15]Stat by Mat'!$G$4</f>
        <v>4.2111192063853864E-3</v>
      </c>
      <c r="O759" s="25">
        <f>+O413/'[16]Stat by Mat'!$G$4</f>
        <v>1.2716562531165524E-2</v>
      </c>
      <c r="P759" s="25">
        <f>+P413/'[17]Stat by Mat'!$G$4</f>
        <v>3.6858803735040455E-2</v>
      </c>
      <c r="Q759" s="33">
        <f>+Q413/'[18]Stat by Mat'!$G$4</f>
        <v>-2.4188866595969738E-4</v>
      </c>
      <c r="R759" s="33">
        <f>+R413/'[19]Stat by Mat'!$G$4</f>
        <v>7.1728324361761651E-3</v>
      </c>
      <c r="S759" s="34">
        <f>+S413/'[20]Stat by Mat'!$G$4</f>
        <v>3.457514976830165E-3</v>
      </c>
    </row>
    <row r="760" spans="1:19" hidden="1" outlineLevel="2" x14ac:dyDescent="0.25">
      <c r="A760" s="16" t="s">
        <v>9</v>
      </c>
      <c r="B760" s="25">
        <f>+B414/[21]Result!$C$10</f>
        <v>-3.1629560863850074E-3</v>
      </c>
      <c r="C760" s="25">
        <f>+C414/[1]Result!$C$10</f>
        <v>6.9246285586257623E-3</v>
      </c>
      <c r="D760" s="33">
        <f>+D414/[5]Result!$C$10</f>
        <v>-2.6670219327854919E-2</v>
      </c>
      <c r="E760" s="25">
        <f>+E414/[6]Result!$C$10</f>
        <v>1.5844183887275248E-2</v>
      </c>
      <c r="F760" s="25">
        <f>+F414/[7]Result!$C$10</f>
        <v>-3.8175242739992396E-3</v>
      </c>
      <c r="G760" s="33">
        <f>+G414/[8]Result!$C$10</f>
        <v>-3.6432021631727868E-3</v>
      </c>
      <c r="H760" s="25">
        <f>+H414/[9]Result!$C$10</f>
        <v>-5.1024895324711557E-3</v>
      </c>
      <c r="I760" s="25">
        <f>+I414/[10]Result!$C$10</f>
        <v>2.4609995133415695E-3</v>
      </c>
      <c r="J760" s="33">
        <f>+J414/[11]Result!$C$10</f>
        <v>6.8747921541767298E-3</v>
      </c>
      <c r="K760" s="25">
        <f>+K414/[12]Result!$C$10</f>
        <v>2.6884916039631146E-3</v>
      </c>
      <c r="L760" s="25">
        <f>+L414/[13]Result!$C$10</f>
        <v>-4.6599310491279499E-3</v>
      </c>
      <c r="M760" s="25">
        <f>+M414/[14]Result!$C$10</f>
        <v>-0.17444694799193339</v>
      </c>
      <c r="N760" s="33">
        <f>+N414/[15]Result!$C$10</f>
        <v>3.2743389533706696E-3</v>
      </c>
      <c r="O760" s="25">
        <f>+O414/[16]Result!$C$10</f>
        <v>9.4296660425549107E-3</v>
      </c>
      <c r="P760" s="25">
        <f>+P414/[17]Result!$C$10</f>
        <v>3.6708862726465223E-2</v>
      </c>
      <c r="Q760" s="33">
        <f>+Q414/[18]Result!$C$10</f>
        <v>-2.8747689976893109E-5</v>
      </c>
      <c r="R760" s="33">
        <f>+R414/[19]Result!$C$10</f>
        <v>6.0551401230709628E-3</v>
      </c>
      <c r="S760" s="34">
        <f>+S414/[20]Result!$C$10</f>
        <v>2.3692523960923721E-3</v>
      </c>
    </row>
    <row r="761" spans="1:19" hidden="1" outlineLevel="2" x14ac:dyDescent="0.25">
      <c r="A761" s="16" t="s">
        <v>10</v>
      </c>
      <c r="B761" s="25">
        <f>+B415/[21]Result!$C$11</f>
        <v>-3.3411375693049952E-3</v>
      </c>
      <c r="C761" s="25">
        <f>+C415/[1]Result!$C$11</f>
        <v>7.5627702501119528E-3</v>
      </c>
      <c r="D761" s="33">
        <f>+D415/[5]Result!$C$11</f>
        <v>-3.1480917458949979E-2</v>
      </c>
      <c r="E761" s="25">
        <f>+E415/[6]Result!$C$11</f>
        <v>1.7740167930937811E-2</v>
      </c>
      <c r="F761" s="25">
        <f>+F415/[7]Result!$C$11</f>
        <v>-4.5319548940640341E-3</v>
      </c>
      <c r="G761" s="33">
        <f>+G415/[8]Result!$C$11</f>
        <v>7.2238378349706925E-4</v>
      </c>
      <c r="H761" s="25">
        <f>+H415/[9]Result!$C$11</f>
        <v>-5.5184285222867205E-3</v>
      </c>
      <c r="I761" s="25">
        <f>+I415/[10]Result!$C$11</f>
        <v>2.4609606334947652E-3</v>
      </c>
      <c r="J761" s="33">
        <f>+J415/[11]Result!$C$11</f>
        <v>3.9701781812805457E-3</v>
      </c>
      <c r="K761" s="25">
        <f>+K415/[12]Result!$C$11</f>
        <v>3.0411631093345704E-3</v>
      </c>
      <c r="L761" s="25">
        <f>+L415/[13]Result!$C$11</f>
        <v>-6.0473347212415167E-3</v>
      </c>
      <c r="M761" s="25">
        <f>+M415/[14]Result!$C$11</f>
        <v>-0.19116967602046819</v>
      </c>
      <c r="N761" s="33">
        <f>+N415/[15]Result!$C$11</f>
        <v>4.0030585994560814E-3</v>
      </c>
      <c r="O761" s="25">
        <f>+O415/[16]Result!$C$11</f>
        <v>1.1778522988506566E-2</v>
      </c>
      <c r="P761" s="25">
        <f>+P415/[17]Result!$C$11</f>
        <v>3.883942393817167E-2</v>
      </c>
      <c r="Q761" s="33">
        <f>+Q415/[18]Result!$C$11</f>
        <v>-9.66365565889451E-5</v>
      </c>
      <c r="R761" s="33">
        <f>+R415/[19]Result!$C$11</f>
        <v>6.9646031488231949E-3</v>
      </c>
      <c r="S761" s="34">
        <f>+S415/[20]Result!$C$11</f>
        <v>3.0429269654592083E-3</v>
      </c>
    </row>
    <row r="762" spans="1:19" hidden="1" outlineLevel="2" x14ac:dyDescent="0.25">
      <c r="A762" s="16" t="s">
        <v>11</v>
      </c>
      <c r="B762" s="25">
        <f>+B416/[21]Result!$C$12</f>
        <v>-3.4738212451359508E-3</v>
      </c>
      <c r="C762" s="25">
        <f>+C416/[1]Result!$C$12</f>
        <v>7.9342974831564054E-3</v>
      </c>
      <c r="D762" s="33">
        <f>+D416/[5]Result!$C$12</f>
        <v>-3.8217900701393553E-2</v>
      </c>
      <c r="E762" s="25">
        <f>+E416/[6]Result!$C$12</f>
        <v>1.9341792541790345E-2</v>
      </c>
      <c r="F762" s="25">
        <f>+F416/[7]Result!$C$12</f>
        <v>-5.3052142743254295E-3</v>
      </c>
      <c r="G762" s="33">
        <f>+G416/[8]Result!$C$12</f>
        <v>4.1821052912983528E-3</v>
      </c>
      <c r="H762" s="25">
        <f>+H416/[9]Result!$C$12</f>
        <v>-5.9012816801918833E-3</v>
      </c>
      <c r="I762" s="25">
        <f>+I416/[10]Result!$C$12</f>
        <v>2.2549366079173895E-3</v>
      </c>
      <c r="J762" s="33">
        <f>+J416/[11]Result!$C$12</f>
        <v>2.2945422115758047E-3</v>
      </c>
      <c r="K762" s="25">
        <f>+K416/[12]Result!$C$12</f>
        <v>3.2931996402399085E-3</v>
      </c>
      <c r="L762" s="25">
        <f>+L416/[13]Result!$C$12</f>
        <v>-7.3696984872525335E-3</v>
      </c>
      <c r="M762" s="25">
        <f>+M416/[14]Result!$C$12</f>
        <v>-0.20907017288857335</v>
      </c>
      <c r="N762" s="33">
        <f>+N416/[15]Result!$C$12</f>
        <v>4.6780396313490678E-3</v>
      </c>
      <c r="O762" s="25">
        <f>+O416/[16]Result!$C$12</f>
        <v>1.4062879477062855E-2</v>
      </c>
      <c r="P762" s="25">
        <f>+P416/[17]Result!$C$12</f>
        <v>3.6097890418432393E-2</v>
      </c>
      <c r="Q762" s="33">
        <f>+Q416/[18]Result!$C$12</f>
        <v>-2.9863608030131846E-4</v>
      </c>
      <c r="R762" s="33">
        <f>+R416/[19]Result!$C$12</f>
        <v>7.8228336362381311E-3</v>
      </c>
      <c r="S762" s="34">
        <f>+S416/[20]Result!$C$12</f>
        <v>3.7332857673367291E-3</v>
      </c>
    </row>
    <row r="763" spans="1:19" hidden="1" outlineLevel="2" x14ac:dyDescent="0.25">
      <c r="A763" s="16" t="s">
        <v>12</v>
      </c>
      <c r="B763" s="25">
        <f>+B417/[21]Result!$C$13</f>
        <v>-3.9830373164404121E-3</v>
      </c>
      <c r="C763" s="25">
        <f>+C417/[1]Result!$C$13</f>
        <v>8.3275548188906125E-3</v>
      </c>
      <c r="D763" s="33">
        <f>+D417/[5]Result!$C$13</f>
        <v>-7.7841240539759243E-2</v>
      </c>
      <c r="E763" s="25">
        <f>+E417/[6]Result!$C$13</f>
        <v>2.0801383187113495E-2</v>
      </c>
      <c r="F763" s="25">
        <f>+F417/[7]Result!$C$13</f>
        <v>-6.2105617600163752E-3</v>
      </c>
      <c r="G763" s="33">
        <f>+G417/[8]Result!$C$13</f>
        <v>-3.8570685641443453E-3</v>
      </c>
      <c r="H763" s="25">
        <f>+H417/[9]Result!$C$13</f>
        <v>-6.3108155693927847E-3</v>
      </c>
      <c r="I763" s="25">
        <f>+I417/[10]Result!$C$13</f>
        <v>1.8063480653349774E-3</v>
      </c>
      <c r="J763" s="33">
        <f>+J417/[11]Result!$C$13</f>
        <v>-2.9930647321554709E-3</v>
      </c>
      <c r="K763" s="25">
        <f>+K417/[12]Result!$C$13</f>
        <v>3.565509279737809E-3</v>
      </c>
      <c r="L763" s="25">
        <f>+L417/[13]Result!$C$13</f>
        <v>-8.7913184941943306E-3</v>
      </c>
      <c r="M763" s="25">
        <f>+M417/[14]Result!$C$13</f>
        <v>-0.21688151592877938</v>
      </c>
      <c r="N763" s="33">
        <f>+N417/[15]Result!$C$13</f>
        <v>5.0914103174017518E-3</v>
      </c>
      <c r="O763" s="25">
        <f>+O417/[16]Result!$C$13</f>
        <v>1.632194835621497E-2</v>
      </c>
      <c r="P763" s="25">
        <f>+P417/[17]Result!$C$13</f>
        <v>3.5226266094552663E-2</v>
      </c>
      <c r="Q763" s="33">
        <f>+Q417/[18]Result!$C$13</f>
        <v>-4.0894528241947243E-4</v>
      </c>
      <c r="R763" s="33">
        <f>+R417/[19]Result!$C$13</f>
        <v>8.3977870761719198E-3</v>
      </c>
      <c r="S763" s="34">
        <f>+S417/[20]Result!$C$13</f>
        <v>4.8209482637742032E-3</v>
      </c>
    </row>
    <row r="764" spans="1:19" hidden="1" outlineLevel="2" x14ac:dyDescent="0.25">
      <c r="A764" s="16" t="s">
        <v>13</v>
      </c>
      <c r="B764" s="25">
        <f>+B418/[21]Result!$C$14</f>
        <v>-5.3538428449164547E-3</v>
      </c>
      <c r="C764" s="25">
        <f>+C418/[1]Result!$C$14</f>
        <v>9.731674761229327E-3</v>
      </c>
      <c r="D764" s="33">
        <f>+D418/[5]Result!$C$14</f>
        <v>-6.8067836220411057E-2</v>
      </c>
      <c r="E764" s="25">
        <f>+E418/[6]Result!$C$14</f>
        <v>2.1695477584849247E-2</v>
      </c>
      <c r="F764" s="25">
        <f>+F418/[7]Result!$C$14</f>
        <v>-7.1188867770353567E-3</v>
      </c>
      <c r="G764" s="33">
        <f>+G418/[8]Result!$C$14</f>
        <v>8.0249247929745464E-3</v>
      </c>
      <c r="H764" s="25">
        <f>+H418/[9]Result!$C$14</f>
        <v>-7.3040828551258876E-3</v>
      </c>
      <c r="I764" s="25">
        <f>+I418/[10]Result!$C$14</f>
        <v>1.1902187913583086E-3</v>
      </c>
      <c r="J764" s="33">
        <f>+J418/[11]Result!$C$14</f>
        <v>-9.1752869356750318E-3</v>
      </c>
      <c r="K764" s="25">
        <f>+K418/[12]Result!$C$14</f>
        <v>3.7985773322285741E-3</v>
      </c>
      <c r="L764" s="25">
        <f>+L418/[13]Result!$C$14</f>
        <v>-1.0603559382366071E-2</v>
      </c>
      <c r="M764" s="25">
        <f>+M418/[14]Result!$C$14</f>
        <v>-0.35379022404407684</v>
      </c>
      <c r="N764" s="33">
        <f>+N418/[15]Result!$C$14</f>
        <v>5.7956612585409913E-3</v>
      </c>
      <c r="O764" s="25">
        <f>+O418/[16]Result!$C$14</f>
        <v>1.862083178655248E-2</v>
      </c>
      <c r="P764" s="25">
        <f>+P418/[17]Result!$C$14</f>
        <v>3.6092063545248708E-2</v>
      </c>
      <c r="Q764" s="33">
        <f>+Q418/[18]Result!$C$14</f>
        <v>-9.8876373879195159E-4</v>
      </c>
      <c r="R764" s="33">
        <f>+R418/[19]Result!$C$14</f>
        <v>8.5035791090883172E-3</v>
      </c>
      <c r="S764" s="34">
        <f>+S418/[20]Result!$C$14</f>
        <v>5.7348209636595938E-3</v>
      </c>
    </row>
    <row r="765" spans="1:19" hidden="1" outlineLevel="1" x14ac:dyDescent="0.25">
      <c r="A765" s="15" t="s">
        <v>14</v>
      </c>
      <c r="B765" s="25">
        <f>+B419/'[21]Stat by Mat'!$G$5</f>
        <v>-7.9908066082493932E-3</v>
      </c>
      <c r="C765" s="25">
        <f>+C419/'[1]Stat by Mat'!$G$5</f>
        <v>1.0286167566062633E-2</v>
      </c>
      <c r="D765" s="33">
        <f>+D419/'[5]Stat by Mat'!$G$5</f>
        <v>-0.12255967820423526</v>
      </c>
      <c r="E765" s="25">
        <f>+E419/'[6]Stat by Mat'!$G$5</f>
        <v>2.8803324595390478E-2</v>
      </c>
      <c r="F765" s="25">
        <f>+F419/'[7]Stat by Mat'!$G$5</f>
        <v>-1.3220601066796686E-2</v>
      </c>
      <c r="G765" s="33">
        <f>+G419/'[8]Stat by Mat'!$G$5</f>
        <v>-1.4425054354308933E-2</v>
      </c>
      <c r="H765" s="25">
        <f>+H419/'[9]Stat by Mat'!$G$5</f>
        <v>-1.0104705155172302E-2</v>
      </c>
      <c r="I765" s="25">
        <f>+I419/'[10]Stat by Mat'!$G$5</f>
        <v>-3.3474624718673653E-3</v>
      </c>
      <c r="J765" s="33">
        <f>+J419/'[11]Stat by Mat'!$G$5</f>
        <v>8.4087960186387863E-3</v>
      </c>
      <c r="K765" s="25">
        <f>+K419/'[12]Stat by Mat'!$G$5</f>
        <v>3.5952576931491767E-3</v>
      </c>
      <c r="L765" s="25">
        <f>+L419/'[13]Stat by Mat'!$G$5</f>
        <v>-1.8447387300912832E-2</v>
      </c>
      <c r="M765" s="25">
        <f>+M419/'[14]Stat by Mat'!$G$5</f>
        <v>-0.26510247445073037</v>
      </c>
      <c r="N765" s="33">
        <f>+N419/'[15]Stat by Mat'!$G$5</f>
        <v>8.1898324037782046E-3</v>
      </c>
      <c r="O765" s="25">
        <f>+O419/'[16]Stat by Mat'!$G$5</f>
        <v>2.7851011996476934E-2</v>
      </c>
      <c r="P765" s="25">
        <f>+P419/'[17]Stat by Mat'!$G$5</f>
        <v>5.0248327301222586E-3</v>
      </c>
      <c r="Q765" s="33">
        <f>+Q419/'[18]Stat by Mat'!$G$5</f>
        <v>-2.8926321000826444E-3</v>
      </c>
      <c r="R765" s="33">
        <f>+R419/'[19]Stat by Mat'!$G$5</f>
        <v>8.2858047202332696E-3</v>
      </c>
      <c r="S765" s="34">
        <f>+S419/'[20]Stat by Mat'!$G$5</f>
        <v>9.8528545832013772E-3</v>
      </c>
    </row>
    <row r="766" spans="1:19" hidden="1" outlineLevel="2" x14ac:dyDescent="0.25">
      <c r="A766" s="16" t="s">
        <v>15</v>
      </c>
      <c r="B766" s="25">
        <f>+B420/[21]Result!$C$15</f>
        <v>-5.8498284124188643E-3</v>
      </c>
      <c r="C766" s="25">
        <f>+C420/[1]Result!$C$15</f>
        <v>1.0107234734174932E-2</v>
      </c>
      <c r="D766" s="33">
        <f>+D420/[5]Result!$C$15</f>
        <v>-9.3441572712774215E-2</v>
      </c>
      <c r="E766" s="25">
        <f>+E420/[6]Result!$C$15</f>
        <v>2.3151652888307974E-2</v>
      </c>
      <c r="F766" s="25">
        <f>+F420/[7]Result!$C$15</f>
        <v>-8.169764249242633E-3</v>
      </c>
      <c r="G766" s="33">
        <f>+G420/[8]Result!$C$15</f>
        <v>4.5770780965051286E-3</v>
      </c>
      <c r="H766" s="25">
        <f>+H420/[9]Result!$C$15</f>
        <v>-8.2405168071323191E-3</v>
      </c>
      <c r="I766" s="25">
        <f>+I420/[10]Result!$C$15</f>
        <v>2.3448681749310132E-4</v>
      </c>
      <c r="J766" s="33">
        <f>+J420/[11]Result!$C$15</f>
        <v>-1.6346543556156105E-3</v>
      </c>
      <c r="K766" s="25">
        <f>+K420/[12]Result!$C$15</f>
        <v>3.9394913050014059E-3</v>
      </c>
      <c r="L766" s="25">
        <f>+L420/[13]Result!$C$15</f>
        <v>-1.2290920204444656E-2</v>
      </c>
      <c r="M766" s="25">
        <f>+M420/[14]Result!$C$15</f>
        <v>-0.38578277647834031</v>
      </c>
      <c r="N766" s="33">
        <f>+N420/[15]Result!$C$15</f>
        <v>6.4402189650518294E-3</v>
      </c>
      <c r="O766" s="25">
        <f>+O420/[16]Result!$C$15</f>
        <v>2.0901583862508871E-2</v>
      </c>
      <c r="P766" s="25">
        <f>+P420/[17]Result!$C$15</f>
        <v>3.4481340296383473E-2</v>
      </c>
      <c r="Q766" s="33">
        <f>+Q420/[18]Result!$C$15</f>
        <v>-1.0484254148142413E-3</v>
      </c>
      <c r="R766" s="33">
        <f>+R420/[19]Result!$C$15</f>
        <v>8.7451658569196854E-3</v>
      </c>
      <c r="S766" s="34">
        <f>+S420/[20]Result!$C$15</f>
        <v>6.7692617626404945E-3</v>
      </c>
    </row>
    <row r="767" spans="1:19" hidden="1" outlineLevel="2" x14ac:dyDescent="0.25">
      <c r="A767" s="16" t="s">
        <v>16</v>
      </c>
      <c r="B767" s="25">
        <f>+B421/[21]Result!$C$16</f>
        <v>-5.258717095909398E-3</v>
      </c>
      <c r="C767" s="25">
        <f>+C421/[1]Result!$C$16</f>
        <v>9.4201644859203525E-3</v>
      </c>
      <c r="D767" s="33">
        <f>+D421/[5]Result!$C$16</f>
        <v>-0.13301528314597122</v>
      </c>
      <c r="E767" s="25">
        <f>+E421/[6]Result!$C$16</f>
        <v>2.5306276568258346E-2</v>
      </c>
      <c r="F767" s="25">
        <f>+F421/[7]Result!$C$16</f>
        <v>-9.4419726614612849E-3</v>
      </c>
      <c r="G767" s="33">
        <f>+G421/[8]Result!$C$16</f>
        <v>-9.3762552095532515E-3</v>
      </c>
      <c r="H767" s="25">
        <f>+H421/[9]Result!$C$16</f>
        <v>-8.1251614552784023E-3</v>
      </c>
      <c r="I767" s="25">
        <f>+I421/[10]Result!$C$16</f>
        <v>-7.9227795081130955E-4</v>
      </c>
      <c r="J767" s="33">
        <f>+J421/[11]Result!$C$16</f>
        <v>7.3083067303604411E-3</v>
      </c>
      <c r="K767" s="25">
        <f>+K421/[12]Result!$C$16</f>
        <v>3.9193709629836374E-3</v>
      </c>
      <c r="L767" s="25">
        <f>+L421/[13]Result!$C$16</f>
        <v>-1.3956933815401976E-2</v>
      </c>
      <c r="M767" s="25">
        <f>+M421/[14]Result!$C$16</f>
        <v>-0.27823507126246261</v>
      </c>
      <c r="N767" s="33">
        <f>+N421/[15]Result!$C$16</f>
        <v>6.7188258197403037E-3</v>
      </c>
      <c r="O767" s="25">
        <f>+O421/[16]Result!$C$16</f>
        <v>2.3186879807872273E-2</v>
      </c>
      <c r="P767" s="25">
        <f>+P421/[17]Result!$C$16</f>
        <v>1.3693277147484165E-3</v>
      </c>
      <c r="Q767" s="33">
        <f>+Q421/[18]Result!$C$16</f>
        <v>-9.0328156505693085E-4</v>
      </c>
      <c r="R767" s="33">
        <f>+R421/[19]Result!$C$16</f>
        <v>9.183810910385894E-3</v>
      </c>
      <c r="S767" s="34">
        <f>+S421/[20]Result!$C$16</f>
        <v>8.5358974573402982E-3</v>
      </c>
    </row>
    <row r="768" spans="1:19" hidden="1" outlineLevel="2" x14ac:dyDescent="0.25">
      <c r="A768" s="16" t="s">
        <v>17</v>
      </c>
      <c r="B768" s="25">
        <f>+B422/[21]Result!$C$17</f>
        <v>-5.4162445401373096E-3</v>
      </c>
      <c r="C768" s="25">
        <f>+C422/[1]Result!$C$17</f>
        <v>9.6826328147284566E-3</v>
      </c>
      <c r="D768" s="33">
        <f>+D422/[5]Result!$C$17</f>
        <v>-0.13443537666087299</v>
      </c>
      <c r="E768" s="25">
        <f>+E422/[6]Result!$C$17</f>
        <v>2.6966065736717656E-2</v>
      </c>
      <c r="F768" s="25">
        <f>+F422/[7]Result!$C$17</f>
        <v>-1.0857757433671181E-2</v>
      </c>
      <c r="G768" s="33">
        <f>+G422/[8]Result!$C$17</f>
        <v>-1.5190669546537862E-2</v>
      </c>
      <c r="H768" s="25">
        <f>+H422/[9]Result!$C$17</f>
        <v>-7.9915573080535686E-3</v>
      </c>
      <c r="I768" s="25">
        <f>+I422/[10]Result!$C$17</f>
        <v>-1.9613152589999499E-3</v>
      </c>
      <c r="J768" s="33">
        <f>+J422/[11]Result!$C$17</f>
        <v>6.1693029728536013E-3</v>
      </c>
      <c r="K768" s="25">
        <f>+K422/[12]Result!$C$17</f>
        <v>3.8341536914889875E-3</v>
      </c>
      <c r="L768" s="25">
        <f>+L422/[13]Result!$C$17</f>
        <v>-1.5679143408751775E-2</v>
      </c>
      <c r="M768" s="25">
        <f>+M422/[14]Result!$C$17</f>
        <v>-0.25710722175608464</v>
      </c>
      <c r="N768" s="33">
        <f>+N422/[15]Result!$C$17</f>
        <v>7.7445994851704199E-3</v>
      </c>
      <c r="O768" s="25">
        <f>+O422/[16]Result!$C$17</f>
        <v>2.5338071016788824E-2</v>
      </c>
      <c r="P768" s="25">
        <f>+P422/[17]Result!$C$17</f>
        <v>3.3859241335993675E-3</v>
      </c>
      <c r="Q768" s="33">
        <f>+Q422/[18]Result!$C$17</f>
        <v>-1.5149466903360536E-3</v>
      </c>
      <c r="R768" s="33">
        <f>+R422/[19]Result!$C$17</f>
        <v>9.3064273463758351E-3</v>
      </c>
      <c r="S768" s="34">
        <f>+S422/[20]Result!$C$17</f>
        <v>9.8744222108438813E-3</v>
      </c>
    </row>
    <row r="769" spans="1:19" hidden="1" outlineLevel="2" x14ac:dyDescent="0.25">
      <c r="A769" s="16" t="s">
        <v>18</v>
      </c>
      <c r="B769" s="25">
        <f>+B423/[21]Result!$C$18</f>
        <v>-6.5890894744227635E-3</v>
      </c>
      <c r="C769" s="25">
        <f>+C423/[1]Result!$C$18</f>
        <v>1.0548603823061119E-2</v>
      </c>
      <c r="D769" s="33">
        <f>+D423/[5]Result!$C$18</f>
        <v>-0.13148199246673323</v>
      </c>
      <c r="E769" s="25">
        <f>+E423/[6]Result!$C$18</f>
        <v>2.826646547970707E-2</v>
      </c>
      <c r="F769" s="25">
        <f>+F423/[7]Result!$C$18</f>
        <v>-1.250085390306626E-2</v>
      </c>
      <c r="G769" s="33">
        <f>+G423/[8]Result!$C$18</f>
        <v>-1.1170412825068199E-2</v>
      </c>
      <c r="H769" s="25">
        <f>+H423/[9]Result!$C$18</f>
        <v>-8.7041280195121005E-3</v>
      </c>
      <c r="I769" s="25">
        <f>+I423/[10]Result!$C$18</f>
        <v>-3.3519295939706843E-3</v>
      </c>
      <c r="J769" s="33">
        <f>+J423/[11]Result!$C$18</f>
        <v>8.1310752867488293E-3</v>
      </c>
      <c r="K769" s="25">
        <f>+K423/[12]Result!$C$18</f>
        <v>3.8124551480013319E-3</v>
      </c>
      <c r="L769" s="25">
        <f>+L423/[13]Result!$C$18</f>
        <v>-1.737692121000296E-2</v>
      </c>
      <c r="M769" s="25">
        <f>+M423/[14]Result!$C$18</f>
        <v>-0.23483800583699518</v>
      </c>
      <c r="N769" s="33">
        <f>+N423/[15]Result!$C$18</f>
        <v>9.0121067827718844E-3</v>
      </c>
      <c r="O769" s="25">
        <f>+O423/[16]Result!$C$18</f>
        <v>2.7244205333831321E-2</v>
      </c>
      <c r="P769" s="25">
        <f>+P423/[17]Result!$C$18</f>
        <v>2.3761835273036352E-3</v>
      </c>
      <c r="Q769" s="33">
        <f>+Q423/[18]Result!$C$18</f>
        <v>-1.3664597381182534E-3</v>
      </c>
      <c r="R769" s="33">
        <f>+R423/[19]Result!$C$18</f>
        <v>9.4651301916197396E-3</v>
      </c>
      <c r="S769" s="34">
        <f>+S423/[20]Result!$C$18</f>
        <v>1.0462948054360917E-2</v>
      </c>
    </row>
    <row r="770" spans="1:19" hidden="1" outlineLevel="2" x14ac:dyDescent="0.25">
      <c r="A770" s="16" t="s">
        <v>19</v>
      </c>
      <c r="B770" s="25">
        <f>+B424/[21]Result!$C$19</f>
        <v>-8.9026485368377192E-3</v>
      </c>
      <c r="C770" s="25">
        <f>+C424/[1]Result!$C$19</f>
        <v>1.2188838405001996E-2</v>
      </c>
      <c r="D770" s="33">
        <f>+D424/[5]Result!$C$19</f>
        <v>-0.12896830709791168</v>
      </c>
      <c r="E770" s="25">
        <f>+E424/[6]Result!$C$19</f>
        <v>2.9374696196785583E-2</v>
      </c>
      <c r="F770" s="25">
        <f>+F424/[7]Result!$C$19</f>
        <v>-1.4250827686707027E-2</v>
      </c>
      <c r="G770" s="33">
        <f>+G424/[8]Result!$C$19</f>
        <v>-1.9811909590534579E-2</v>
      </c>
      <c r="H770" s="25">
        <f>+H424/[9]Result!$C$19</f>
        <v>-1.0325840664445399E-2</v>
      </c>
      <c r="I770" s="25">
        <f>+I424/[10]Result!$C$19</f>
        <v>-4.2944846902319683E-3</v>
      </c>
      <c r="J770" s="33">
        <f>+J424/[11]Result!$C$19</f>
        <v>1.2113178485298605E-3</v>
      </c>
      <c r="K770" s="25">
        <f>+K424/[12]Result!$C$19</f>
        <v>3.739436576091046E-3</v>
      </c>
      <c r="L770" s="25">
        <f>+L424/[13]Result!$C$19</f>
        <v>-1.989321049764366E-2</v>
      </c>
      <c r="M770" s="25">
        <f>+M424/[14]Result!$C$19</f>
        <v>-0.21968089790624129</v>
      </c>
      <c r="N770" s="33">
        <f>+N424/[15]Result!$C$19</f>
        <v>9.0999060966151044E-3</v>
      </c>
      <c r="O770" s="25">
        <f>+O424/[16]Result!$C$19</f>
        <v>2.928628574733954E-2</v>
      </c>
      <c r="P770" s="25">
        <f>+P424/[17]Result!$C$19</f>
        <v>-8.3755218565577973E-3</v>
      </c>
      <c r="Q770" s="33">
        <f>+Q424/[18]Result!$C$19</f>
        <v>-2.1934322385506856E-3</v>
      </c>
      <c r="R770" s="33">
        <f>+R424/[19]Result!$C$19</f>
        <v>9.1623371011075542E-3</v>
      </c>
      <c r="S770" s="34">
        <f>+S424/[20]Result!$C$19</f>
        <v>1.074014243145912E-2</v>
      </c>
    </row>
    <row r="771" spans="1:19" hidden="1" outlineLevel="2" x14ac:dyDescent="0.25">
      <c r="A771" s="16" t="s">
        <v>20</v>
      </c>
      <c r="B771" s="25">
        <f>+B425/[21]Result!$C$20</f>
        <v>-1.0922409166400283E-2</v>
      </c>
      <c r="C771" s="25">
        <f>+C425/[1]Result!$C$20</f>
        <v>1.247097135016031E-2</v>
      </c>
      <c r="D771" s="33">
        <f>+D425/[5]Result!$C$20</f>
        <v>-0.13069885311675661</v>
      </c>
      <c r="E771" s="25">
        <f>+E425/[6]Result!$C$20</f>
        <v>3.1289957294445461E-2</v>
      </c>
      <c r="F771" s="25">
        <f>+F425/[7]Result!$C$20</f>
        <v>-1.6119243303388348E-2</v>
      </c>
      <c r="G771" s="33">
        <f>+G425/[8]Result!$C$20</f>
        <v>-2.6693065506569011E-2</v>
      </c>
      <c r="H771" s="25">
        <f>+H425/[9]Result!$C$20</f>
        <v>-1.20692460722532E-2</v>
      </c>
      <c r="I771" s="25">
        <f>+I425/[10]Result!$C$20</f>
        <v>-5.267103234279296E-3</v>
      </c>
      <c r="J771" s="33">
        <f>+J425/[11]Result!$C$20</f>
        <v>6.7270641238242898E-3</v>
      </c>
      <c r="K771" s="25">
        <f>+K425/[12]Result!$C$20</f>
        <v>3.4668152778535482E-3</v>
      </c>
      <c r="L771" s="25">
        <f>+L425/[13]Result!$C$20</f>
        <v>-2.2639085590357513E-2</v>
      </c>
      <c r="M771" s="25">
        <f>+M425/[14]Result!$C$20</f>
        <v>-0.20972487259181874</v>
      </c>
      <c r="N771" s="33">
        <f>+N425/[15]Result!$C$20</f>
        <v>8.5953202363562974E-3</v>
      </c>
      <c r="O771" s="25">
        <f>+O425/[16]Result!$C$20</f>
        <v>3.1638136032923418E-2</v>
      </c>
      <c r="P771" s="25">
        <f>+P425/[17]Result!$C$20</f>
        <v>-9.0971794254107261E-3</v>
      </c>
      <c r="Q771" s="33">
        <f>+Q425/[18]Result!$C$20</f>
        <v>-4.3594190289751381E-3</v>
      </c>
      <c r="R771" s="33">
        <f>+R425/[19]Result!$C$20</f>
        <v>7.9780943208678391E-3</v>
      </c>
      <c r="S771" s="34">
        <f>+S425/[20]Result!$C$20</f>
        <v>1.095104338893549E-2</v>
      </c>
    </row>
    <row r="772" spans="1:19" hidden="1" outlineLevel="2" x14ac:dyDescent="0.25">
      <c r="A772" s="16" t="s">
        <v>21</v>
      </c>
      <c r="B772" s="25">
        <f>+B426/[21]Result!$C$21</f>
        <v>-1.1933513868771213E-2</v>
      </c>
      <c r="C772" s="25">
        <f>+C426/[1]Result!$C$21</f>
        <v>1.0827385831883276E-2</v>
      </c>
      <c r="D772" s="33">
        <f>+D426/[5]Result!$C$21</f>
        <v>-0.13169180840428282</v>
      </c>
      <c r="E772" s="25">
        <f>+E426/[6]Result!$C$21</f>
        <v>3.4258965401661103E-2</v>
      </c>
      <c r="F772" s="25">
        <f>+F426/[7]Result!$C$21</f>
        <v>-1.8254767386976307E-2</v>
      </c>
      <c r="G772" s="33">
        <f>+G426/[8]Result!$C$21</f>
        <v>-2.9485613308285953E-2</v>
      </c>
      <c r="H772" s="25">
        <f>+H426/[9]Result!$C$21</f>
        <v>-1.3472279671529709E-2</v>
      </c>
      <c r="I772" s="25">
        <f>+I426/[10]Result!$C$21</f>
        <v>-6.6417916752880696E-3</v>
      </c>
      <c r="J772" s="33">
        <f>+J426/[11]Result!$C$21</f>
        <v>1.2256799048192081E-2</v>
      </c>
      <c r="K772" s="25">
        <f>+K426/[12]Result!$C$21</f>
        <v>3.1288248611267468E-3</v>
      </c>
      <c r="L772" s="25">
        <f>+L426/[13]Result!$C$21</f>
        <v>-2.5247682640251939E-2</v>
      </c>
      <c r="M772" s="25">
        <f>+M426/[14]Result!$C$21</f>
        <v>-0.20387359930830373</v>
      </c>
      <c r="N772" s="33">
        <f>+N426/[15]Result!$C$21</f>
        <v>8.6735144772337631E-3</v>
      </c>
      <c r="O772" s="25">
        <f>+O426/[16]Result!$C$21</f>
        <v>3.3784892162925427E-2</v>
      </c>
      <c r="P772" s="25">
        <f>+P426/[17]Result!$C$21</f>
        <v>-7.6721424870713657E-3</v>
      </c>
      <c r="Q772" s="33">
        <f>+Q426/[18]Result!$C$21</f>
        <v>-6.0626472014889653E-3</v>
      </c>
      <c r="R772" s="33">
        <f>+R426/[19]Result!$C$21</f>
        <v>6.8885081237050946E-3</v>
      </c>
      <c r="S772" s="34">
        <f>+S426/[20]Result!$C$21</f>
        <v>1.1256383862285118E-2</v>
      </c>
    </row>
    <row r="773" spans="1:19" hidden="1" outlineLevel="2" x14ac:dyDescent="0.25">
      <c r="A773" s="16" t="s">
        <v>22</v>
      </c>
      <c r="B773" s="25">
        <f>+B427/[21]Result!$C$22</f>
        <v>-1.2400065636954108E-2</v>
      </c>
      <c r="C773" s="25">
        <f>+C427/[1]Result!$C$22</f>
        <v>8.8223125321738229E-3</v>
      </c>
      <c r="D773" s="33">
        <f>+D427/[5]Result!$C$22</f>
        <v>-0.12780775113222709</v>
      </c>
      <c r="E773" s="25">
        <f>+E427/[6]Result!$C$22</f>
        <v>3.7251549210698537E-2</v>
      </c>
      <c r="F773" s="25">
        <f>+F427/[7]Result!$C$22</f>
        <v>-2.0435451072577718E-2</v>
      </c>
      <c r="G773" s="33">
        <f>+G427/[8]Result!$C$22</f>
        <v>-3.211711638436527E-2</v>
      </c>
      <c r="H773" s="25">
        <f>+H427/[9]Result!$C$22</f>
        <v>-1.4615175151726261E-2</v>
      </c>
      <c r="I773" s="25">
        <f>+I427/[10]Result!$C$22</f>
        <v>-8.2230398619039906E-3</v>
      </c>
      <c r="J773" s="33">
        <f>+J427/[11]Result!$C$22</f>
        <v>2.4935436817287514E-2</v>
      </c>
      <c r="K773" s="25">
        <f>+K427/[12]Result!$C$22</f>
        <v>2.8069867501380706E-3</v>
      </c>
      <c r="L773" s="25">
        <f>+L427/[13]Result!$C$22</f>
        <v>-2.7658959430789411E-2</v>
      </c>
      <c r="M773" s="25">
        <f>+M427/[14]Result!$C$22</f>
        <v>-0.19386098225660417</v>
      </c>
      <c r="N773" s="33">
        <f>+N427/[15]Result!$C$22</f>
        <v>9.3731456207957684E-3</v>
      </c>
      <c r="O773" s="25">
        <f>+O427/[16]Result!$C$22</f>
        <v>3.5686852940774054E-2</v>
      </c>
      <c r="P773" s="25">
        <f>+P427/[17]Result!$C$22</f>
        <v>-7.270060910566481E-4</v>
      </c>
      <c r="Q773" s="33">
        <f>+Q427/[18]Result!$C$22</f>
        <v>-7.0974938463242102E-3</v>
      </c>
      <c r="R773" s="33">
        <f>+R427/[19]Result!$C$22</f>
        <v>6.0290800212048461E-3</v>
      </c>
      <c r="S773" s="34">
        <f>+S427/[20]Result!$C$22</f>
        <v>1.1859243397947075E-2</v>
      </c>
    </row>
    <row r="774" spans="1:19" hidden="1" outlineLevel="2" x14ac:dyDescent="0.25">
      <c r="A774" s="16" t="s">
        <v>23</v>
      </c>
      <c r="B774" s="25">
        <f>+B428/[21]Result!$C$23</f>
        <v>-1.3021881993723436E-2</v>
      </c>
      <c r="C774" s="25">
        <f>+C428/[1]Result!$C$23</f>
        <v>8.1667296325105519E-3</v>
      </c>
      <c r="D774" s="33">
        <f>+D428/[5]Result!$C$23</f>
        <v>-0.11787689421639438</v>
      </c>
      <c r="E774" s="25">
        <f>+E428/[6]Result!$C$23</f>
        <v>3.9322709914792697E-2</v>
      </c>
      <c r="F774" s="25">
        <f>+F428/[7]Result!$C$23</f>
        <v>-2.2739188682458153E-2</v>
      </c>
      <c r="G774" s="33">
        <f>+G428/[8]Result!$C$23</f>
        <v>-2.8715441194890824E-2</v>
      </c>
      <c r="H774" s="25">
        <f>+H428/[9]Result!$C$23</f>
        <v>-1.5441177756701143E-2</v>
      </c>
      <c r="I774" s="25">
        <f>+I428/[10]Result!$C$23</f>
        <v>-9.8463432097736416E-3</v>
      </c>
      <c r="J774" s="33">
        <f>+J428/[11]Result!$C$23</f>
        <v>3.8803759123654344E-2</v>
      </c>
      <c r="K774" s="25">
        <f>+K428/[12]Result!$C$23</f>
        <v>2.5181543776549905E-3</v>
      </c>
      <c r="L774" s="25">
        <f>+L428/[13]Result!$C$23</f>
        <v>-2.9822072417313862E-2</v>
      </c>
      <c r="M774" s="25">
        <f>+M428/[14]Result!$C$23</f>
        <v>-0.17923340543840169</v>
      </c>
      <c r="N774" s="33">
        <f>+N428/[15]Result!$C$23</f>
        <v>1.0454796596778426E-2</v>
      </c>
      <c r="O774" s="25">
        <f>+O428/[16]Result!$C$23</f>
        <v>3.7478792031916022E-2</v>
      </c>
      <c r="P774" s="25">
        <f>+P428/[17]Result!$C$23</f>
        <v>2.4344160620270905E-3</v>
      </c>
      <c r="Q774" s="33">
        <f>+Q428/[18]Result!$C$23</f>
        <v>-7.5874105181352042E-3</v>
      </c>
      <c r="R774" s="33">
        <f>+R428/[19]Result!$C$23</f>
        <v>5.2958901042447996E-3</v>
      </c>
      <c r="S774" s="34">
        <f>+S428/[20]Result!$C$23</f>
        <v>1.2630559783423707E-2</v>
      </c>
    </row>
    <row r="775" spans="1:19" hidden="1" outlineLevel="2" x14ac:dyDescent="0.25">
      <c r="A775" s="16" t="s">
        <v>24</v>
      </c>
      <c r="B775" s="25">
        <f>+B429/[21]Result!$C$24</f>
        <v>-1.4386595011996319E-2</v>
      </c>
      <c r="C775" s="25">
        <f>+C429/[1]Result!$C$24</f>
        <v>1.0271260505119647E-2</v>
      </c>
      <c r="D775" s="33">
        <f>+D429/[5]Result!$C$24</f>
        <v>-0.12155059543204443</v>
      </c>
      <c r="E775" s="25">
        <f>+E429/[6]Result!$C$24</f>
        <v>3.9705876781950172E-2</v>
      </c>
      <c r="F775" s="25">
        <f>+F429/[7]Result!$C$24</f>
        <v>-2.5159413508918083E-2</v>
      </c>
      <c r="G775" s="33">
        <f>+G429/[8]Result!$C$24</f>
        <v>-3.6857293562721168E-2</v>
      </c>
      <c r="H775" s="25">
        <f>+H429/[9]Result!$C$24</f>
        <v>-1.5987996115428834E-2</v>
      </c>
      <c r="I775" s="25">
        <f>+I429/[10]Result!$C$24</f>
        <v>-1.1499300023145302E-2</v>
      </c>
      <c r="J775" s="33">
        <f>+J429/[11]Result!$C$24</f>
        <v>3.338649641930734E-2</v>
      </c>
      <c r="K775" s="25">
        <f>+K429/[12]Result!$C$24</f>
        <v>2.1786268643110267E-3</v>
      </c>
      <c r="L775" s="25">
        <f>+L429/[13]Result!$C$24</f>
        <v>-3.1677874263978979E-2</v>
      </c>
      <c r="M775" s="25">
        <f>+M429/[14]Result!$C$24</f>
        <v>-0.17612724032277924</v>
      </c>
      <c r="N775" s="33">
        <f>+N429/[15]Result!$C$24</f>
        <v>1.1689151431607139E-2</v>
      </c>
      <c r="O775" s="25">
        <f>+O429/[16]Result!$C$24</f>
        <v>3.9146745866851955E-2</v>
      </c>
      <c r="P775" s="25">
        <f>+P429/[17]Result!$C$24</f>
        <v>-2.4454122763254544E-3</v>
      </c>
      <c r="Q775" s="33">
        <f>+Q429/[18]Result!$C$24</f>
        <v>-7.71421520988139E-3</v>
      </c>
      <c r="R775" s="33">
        <f>+R429/[19]Result!$C$24</f>
        <v>4.7301625237925306E-3</v>
      </c>
      <c r="S775" s="34">
        <f>+S429/[20]Result!$C$24</f>
        <v>1.3414696287231381E-2</v>
      </c>
    </row>
    <row r="776" spans="1:19" hidden="1" outlineLevel="1" x14ac:dyDescent="0.25">
      <c r="A776" s="15" t="s">
        <v>25</v>
      </c>
      <c r="B776" s="25">
        <f>+B430/'[21]Stat by Mat'!$G$6</f>
        <v>-1.9813528024077702E-2</v>
      </c>
      <c r="C776" s="25">
        <f>+C430/'[1]Stat by Mat'!$G$6</f>
        <v>2.1777693256177722E-2</v>
      </c>
      <c r="D776" s="33">
        <f>+D430/'[5]Stat by Mat'!$G$6</f>
        <v>-0.11690153280302877</v>
      </c>
      <c r="E776" s="25">
        <f>+E430/'[6]Stat by Mat'!$G$6</f>
        <v>3.692373405555182E-2</v>
      </c>
      <c r="F776" s="25">
        <f>+F430/'[7]Stat by Mat'!$G$6</f>
        <v>-3.1565453631112433E-2</v>
      </c>
      <c r="G776" s="33">
        <f>+G430/'[8]Stat by Mat'!$G$6</f>
        <v>-3.6640892855779338E-2</v>
      </c>
      <c r="H776" s="25">
        <f>+H430/'[9]Stat by Mat'!$G$6</f>
        <v>-1.7443712683876452E-2</v>
      </c>
      <c r="I776" s="25">
        <f>+I430/'[10]Stat by Mat'!$G$6</f>
        <v>-1.6352775799776783E-2</v>
      </c>
      <c r="J776" s="33">
        <f>+J430/'[11]Stat by Mat'!$G$6</f>
        <v>6.5449879417444456E-2</v>
      </c>
      <c r="K776" s="25">
        <f>+K430/'[12]Stat by Mat'!$G$6</f>
        <v>1.0182482651583567E-3</v>
      </c>
      <c r="L776" s="25">
        <f>+L430/'[13]Stat by Mat'!$G$6</f>
        <v>-3.7290940181608667E-2</v>
      </c>
      <c r="M776" s="25">
        <f>+M430/'[14]Stat by Mat'!$G$6</f>
        <v>-0.27505523694523193</v>
      </c>
      <c r="N776" s="33">
        <f>+N430/'[15]Stat by Mat'!$G$6</f>
        <v>1.5550658678447495E-2</v>
      </c>
      <c r="O776" s="25">
        <f>+O430/'[16]Stat by Mat'!$G$6</f>
        <v>4.4143531899693243E-2</v>
      </c>
      <c r="P776" s="25">
        <f>+P430/'[17]Stat by Mat'!$G$6</f>
        <v>9.6229273991443372E-3</v>
      </c>
      <c r="Q776" s="33">
        <f>+Q430/'[18]Stat by Mat'!$G$6</f>
        <v>-7.853195986118262E-3</v>
      </c>
      <c r="R776" s="33">
        <f>+R430/'[19]Stat by Mat'!$G$6</f>
        <v>3.101562768566653E-3</v>
      </c>
      <c r="S776" s="34">
        <f>+S430/'[20]Stat by Mat'!$G$6</f>
        <v>1.5938575847805961E-2</v>
      </c>
    </row>
    <row r="777" spans="1:19" hidden="1" outlineLevel="2" x14ac:dyDescent="0.25">
      <c r="A777" s="16" t="s">
        <v>26</v>
      </c>
      <c r="B777" s="25">
        <f>+B431/[21]Result!$C$25</f>
        <v>-1.6201344001097129E-2</v>
      </c>
      <c r="C777" s="25">
        <f>+C431/[1]Result!$C$25</f>
        <v>1.404071923061475E-2</v>
      </c>
      <c r="D777" s="33">
        <f>+D431/[5]Result!$C$25</f>
        <v>-0.12513635070237836</v>
      </c>
      <c r="E777" s="25">
        <f>+E431/[6]Result!$C$25</f>
        <v>3.8883437002958862E-2</v>
      </c>
      <c r="F777" s="25">
        <f>+F431/[7]Result!$C$25</f>
        <v>-2.730519026459486E-2</v>
      </c>
      <c r="G777" s="33">
        <f>+G431/[8]Result!$C$25</f>
        <v>-4.2246231566510389E-2</v>
      </c>
      <c r="H777" s="25">
        <f>+H431/[9]Result!$C$25</f>
        <v>-1.6408710690174244E-2</v>
      </c>
      <c r="I777" s="25">
        <f>+I431/[10]Result!$C$25</f>
        <v>-1.3065776695248454E-2</v>
      </c>
      <c r="J777" s="33">
        <f>+J431/[11]Result!$C$25</f>
        <v>3.9810293066038241E-2</v>
      </c>
      <c r="K777" s="25">
        <f>+K431/[12]Result!$C$25</f>
        <v>1.792618198415293E-3</v>
      </c>
      <c r="L777" s="25">
        <f>+L431/[13]Result!$C$25</f>
        <v>-3.3369617294669127E-2</v>
      </c>
      <c r="M777" s="25">
        <f>+M431/[14]Result!$C$25</f>
        <v>-0.19400632679566399</v>
      </c>
      <c r="N777" s="33">
        <f>+N431/[15]Result!$C$25</f>
        <v>1.2893983721540943E-2</v>
      </c>
      <c r="O777" s="25">
        <f>+O431/[16]Result!$C$25</f>
        <v>4.0672892896765206E-2</v>
      </c>
      <c r="P777" s="25">
        <f>+P431/[17]Result!$C$25</f>
        <v>-2.9519172469806344E-3</v>
      </c>
      <c r="Q777" s="33">
        <f>+Q431/[18]Result!$C$25</f>
        <v>-7.7146605673686711E-3</v>
      </c>
      <c r="R777" s="33">
        <f>+R431/[19]Result!$C$25</f>
        <v>4.1759187608416968E-3</v>
      </c>
      <c r="S777" s="34">
        <f>+S431/[20]Result!$C$25</f>
        <v>1.4309056898611892E-2</v>
      </c>
    </row>
    <row r="778" spans="1:19" hidden="1" outlineLevel="2" x14ac:dyDescent="0.25">
      <c r="A778" s="16" t="s">
        <v>27</v>
      </c>
      <c r="B778" s="25">
        <f>+B432/[21]Result!$C$26</f>
        <v>-1.7911252166017907E-2</v>
      </c>
      <c r="C778" s="25">
        <f>+C432/[1]Result!$C$26</f>
        <v>1.7606377554697145E-2</v>
      </c>
      <c r="D778" s="33">
        <f>+D432/[5]Result!$C$26</f>
        <v>-0.12798992889445621</v>
      </c>
      <c r="E778" s="25">
        <f>+E432/[6]Result!$C$26</f>
        <v>3.799594616664833E-2</v>
      </c>
      <c r="F778" s="25">
        <f>+F432/[7]Result!$C$26</f>
        <v>-2.922896538699123E-2</v>
      </c>
      <c r="G778" s="33">
        <f>+G432/[8]Result!$C$26</f>
        <v>-4.6218742744604011E-2</v>
      </c>
      <c r="H778" s="25">
        <f>+H432/[9]Result!$C$26</f>
        <v>-1.689447354216932E-2</v>
      </c>
      <c r="I778" s="25">
        <f>+I432/[10]Result!$C$26</f>
        <v>-1.4417678047462605E-2</v>
      </c>
      <c r="J778" s="33">
        <f>+J432/[11]Result!$C$26</f>
        <v>4.8161601506467214E-2</v>
      </c>
      <c r="K778" s="25">
        <f>+K432/[12]Result!$C$26</f>
        <v>1.4617668437559791E-3</v>
      </c>
      <c r="L778" s="25">
        <f>+L432/[13]Result!$C$26</f>
        <v>-3.4964312389914237E-2</v>
      </c>
      <c r="M778" s="25">
        <f>+M432/[14]Result!$C$26</f>
        <v>-0.21658596812037487</v>
      </c>
      <c r="N778" s="33">
        <f>+N432/[15]Result!$C$26</f>
        <v>1.4052869455518492E-2</v>
      </c>
      <c r="O778" s="25">
        <f>+O432/[16]Result!$C$26</f>
        <v>4.2043124472537607E-2</v>
      </c>
      <c r="P778" s="25">
        <f>+P432/[17]Result!$C$26</f>
        <v>-4.2805505015445437E-4</v>
      </c>
      <c r="Q778" s="33">
        <f>+Q432/[18]Result!$C$26</f>
        <v>-7.7807794393549186E-3</v>
      </c>
      <c r="R778" s="33">
        <f>+R432/[19]Result!$C$26</f>
        <v>3.6494921904159142E-3</v>
      </c>
      <c r="S778" s="34">
        <f>+S432/[20]Result!$C$26</f>
        <v>1.5010599563814569E-2</v>
      </c>
    </row>
    <row r="779" spans="1:19" hidden="1" outlineLevel="2" x14ac:dyDescent="0.25">
      <c r="A779" s="16" t="s">
        <v>28</v>
      </c>
      <c r="B779" s="25">
        <f>+B433/[21]Result!$C$27</f>
        <v>-1.9270528377358431E-2</v>
      </c>
      <c r="C779" s="25">
        <f>+C433/[1]Result!$C$27</f>
        <v>2.0667134267419722E-2</v>
      </c>
      <c r="D779" s="33">
        <f>+D433/[5]Result!$C$27</f>
        <v>-0.1263959208795549</v>
      </c>
      <c r="E779" s="25">
        <f>+E433/[6]Result!$C$27</f>
        <v>3.7183736521878834E-2</v>
      </c>
      <c r="F779" s="25">
        <f>+F433/[7]Result!$C$27</f>
        <v>-3.0882721889324911E-2</v>
      </c>
      <c r="G779" s="33">
        <f>+G433/[8]Result!$C$27</f>
        <v>-4.6720992573072301E-2</v>
      </c>
      <c r="H779" s="25">
        <f>+H433/[9]Result!$C$27</f>
        <v>-1.7349269266362804E-2</v>
      </c>
      <c r="I779" s="25">
        <f>+I433/[10]Result!$C$27</f>
        <v>-1.5619418902870942E-2</v>
      </c>
      <c r="J779" s="33">
        <f>+J433/[11]Result!$C$27</f>
        <v>6.2113375999335876E-2</v>
      </c>
      <c r="K779" s="25">
        <f>+K433/[12]Result!$C$27</f>
        <v>1.2023332035233981E-3</v>
      </c>
      <c r="L779" s="25">
        <f>+L433/[13]Result!$C$27</f>
        <v>-3.6453370232473116E-2</v>
      </c>
      <c r="M779" s="25">
        <f>+M433/[14]Result!$C$27</f>
        <v>-0.2384275271534117</v>
      </c>
      <c r="N779" s="33">
        <f>+N433/[15]Result!$C$27</f>
        <v>1.5041052254881762E-2</v>
      </c>
      <c r="O779" s="25">
        <f>+O433/[16]Result!$C$27</f>
        <v>4.346894855588293E-2</v>
      </c>
      <c r="P779" s="25">
        <f>+P433/[17]Result!$C$27</f>
        <v>6.8874804288714866E-3</v>
      </c>
      <c r="Q779" s="33">
        <f>+Q433/[18]Result!$C$27</f>
        <v>-7.8163596822809003E-3</v>
      </c>
      <c r="R779" s="33">
        <f>+R433/[19]Result!$C$27</f>
        <v>3.2737903290986393E-3</v>
      </c>
      <c r="S779" s="34">
        <f>+S433/[20]Result!$C$27</f>
        <v>1.5604402447176402E-2</v>
      </c>
    </row>
    <row r="780" spans="1:19" hidden="1" outlineLevel="2" x14ac:dyDescent="0.25">
      <c r="A780" s="16" t="s">
        <v>29</v>
      </c>
      <c r="B780" s="25">
        <f>+B434/[21]Result!$C$28</f>
        <v>-2.0454517496540953E-2</v>
      </c>
      <c r="C780" s="25">
        <f>+C434/[1]Result!$C$28</f>
        <v>2.3233754441182607E-2</v>
      </c>
      <c r="D780" s="33">
        <f>+D434/[5]Result!$C$28</f>
        <v>-0.11859909101483994</v>
      </c>
      <c r="E780" s="25">
        <f>+E434/[6]Result!$C$28</f>
        <v>3.6494916878187719E-2</v>
      </c>
      <c r="F780" s="25">
        <f>+F434/[7]Result!$C$28</f>
        <v>-3.2231664488106111E-2</v>
      </c>
      <c r="G780" s="33">
        <f>+G434/[8]Result!$C$28</f>
        <v>-3.2572967666865293E-2</v>
      </c>
      <c r="H780" s="25">
        <f>+H434/[9]Result!$C$28</f>
        <v>-1.7550702186484347E-2</v>
      </c>
      <c r="I780" s="25">
        <f>+I434/[10]Result!$C$28</f>
        <v>-1.6868775471497965E-2</v>
      </c>
      <c r="J780" s="33">
        <f>+J434/[11]Result!$C$28</f>
        <v>7.3826258606097026E-2</v>
      </c>
      <c r="K780" s="25">
        <f>+K434/[12]Result!$C$28</f>
        <v>9.1231509257223191E-4</v>
      </c>
      <c r="L780" s="25">
        <f>+L434/[13]Result!$C$28</f>
        <v>-3.7708594382550621E-2</v>
      </c>
      <c r="M780" s="25">
        <f>+M434/[14]Result!$C$28</f>
        <v>-0.25622725917385747</v>
      </c>
      <c r="N780" s="33">
        <f>+N434/[15]Result!$C$28</f>
        <v>1.6060961856488962E-2</v>
      </c>
      <c r="O780" s="25">
        <f>+O434/[16]Result!$C$28</f>
        <v>4.484492233239451E-2</v>
      </c>
      <c r="P780" s="25">
        <f>+P434/[17]Result!$C$28</f>
        <v>9.3659222129055825E-3</v>
      </c>
      <c r="Q780" s="33">
        <f>+Q434/[18]Result!$C$28</f>
        <v>-7.8244987254042098E-3</v>
      </c>
      <c r="R780" s="33">
        <f>+R434/[19]Result!$C$28</f>
        <v>2.8481813926360925E-3</v>
      </c>
      <c r="S780" s="34">
        <f>+S434/[20]Result!$C$28</f>
        <v>1.6303513345932941E-2</v>
      </c>
    </row>
    <row r="781" spans="1:19" hidden="1" outlineLevel="2" x14ac:dyDescent="0.25">
      <c r="A781" s="16" t="s">
        <v>30</v>
      </c>
      <c r="B781" s="25">
        <f>+B435/[21]Result!$C$29</f>
        <v>-2.1545082390386015E-2</v>
      </c>
      <c r="C781" s="25">
        <f>+C435/[1]Result!$C$29</f>
        <v>2.5579132097861439E-2</v>
      </c>
      <c r="D781" s="33">
        <f>+D435/[5]Result!$C$29</f>
        <v>-0.11726326891872885</v>
      </c>
      <c r="E781" s="25">
        <f>+E435/[6]Result!$C$29</f>
        <v>3.5973029065132611E-2</v>
      </c>
      <c r="F781" s="25">
        <f>+F435/[7]Result!$C$29</f>
        <v>-3.3461540139553332E-2</v>
      </c>
      <c r="G781" s="33">
        <f>+G435/[8]Result!$C$29</f>
        <v>-3.7716559500764649E-2</v>
      </c>
      <c r="H781" s="25">
        <f>+H435/[9]Result!$C$29</f>
        <v>-1.782325673087207E-2</v>
      </c>
      <c r="I781" s="25">
        <f>+I435/[10]Result!$C$29</f>
        <v>-1.7927668379427188E-2</v>
      </c>
      <c r="J781" s="33">
        <f>+J435/[11]Result!$C$29</f>
        <v>6.1709373810968388E-2</v>
      </c>
      <c r="K781" s="25">
        <f>+K435/[12]Result!$C$29</f>
        <v>5.9460637509707224E-4</v>
      </c>
      <c r="L781" s="25">
        <f>+L435/[13]Result!$C$29</f>
        <v>-3.8822890419774166E-2</v>
      </c>
      <c r="M781" s="25">
        <f>+M435/[14]Result!$C$29</f>
        <v>-0.28278614033576727</v>
      </c>
      <c r="N781" s="33">
        <f>+N435/[15]Result!$C$29</f>
        <v>1.6989322149063627E-2</v>
      </c>
      <c r="O781" s="25">
        <f>+O435/[16]Result!$C$29</f>
        <v>4.6048380099915909E-2</v>
      </c>
      <c r="P781" s="25">
        <f>+P435/[17]Result!$C$29</f>
        <v>-1.7972508510802896E-3</v>
      </c>
      <c r="Q781" s="33">
        <f>+Q435/[18]Result!$C$29</f>
        <v>-7.920809421958528E-3</v>
      </c>
      <c r="R781" s="33">
        <f>+R435/[19]Result!$C$29</f>
        <v>2.4949721228427579E-3</v>
      </c>
      <c r="S781" s="34">
        <f>+S435/[20]Result!$C$29</f>
        <v>1.6881781525007571E-2</v>
      </c>
    </row>
    <row r="782" spans="1:19" hidden="1" outlineLevel="2" x14ac:dyDescent="0.25">
      <c r="A782" s="16" t="s">
        <v>31</v>
      </c>
      <c r="B782" s="25">
        <f>+B436/[21]Result!$C$30</f>
        <v>-2.2411307565351833E-2</v>
      </c>
      <c r="C782" s="25">
        <f>+C436/[1]Result!$C$30</f>
        <v>2.7525712093864729E-2</v>
      </c>
      <c r="D782" s="33">
        <f>+D436/[5]Result!$C$30</f>
        <v>-0.12008129933798822</v>
      </c>
      <c r="E782" s="25">
        <f>+E436/[6]Result!$C$30</f>
        <v>3.5536094354599229E-2</v>
      </c>
      <c r="F782" s="25">
        <f>+F436/[7]Result!$C$30</f>
        <v>-3.4560679003874065E-2</v>
      </c>
      <c r="G782" s="33">
        <f>+G436/[8]Result!$C$30</f>
        <v>-4.5836727988566778E-2</v>
      </c>
      <c r="H782" s="25">
        <f>+H436/[9]Result!$C$30</f>
        <v>-1.8177183055864923E-2</v>
      </c>
      <c r="I782" s="25">
        <f>+I436/[10]Result!$C$30</f>
        <v>-1.8773446652221193E-2</v>
      </c>
      <c r="J782" s="33">
        <f>+J436/[11]Result!$C$30</f>
        <v>7.6372642104233668E-2</v>
      </c>
      <c r="K782" s="25">
        <f>+K436/[12]Result!$C$30</f>
        <v>3.7111681386274532E-4</v>
      </c>
      <c r="L782" s="25">
        <f>+L436/[13]Result!$C$30</f>
        <v>-4.0015692799903746E-2</v>
      </c>
      <c r="M782" s="25">
        <f>+M436/[14]Result!$C$30</f>
        <v>-0.33421000819916008</v>
      </c>
      <c r="N782" s="33">
        <f>+N436/[15]Result!$C$30</f>
        <v>1.7813962089804604E-2</v>
      </c>
      <c r="O782" s="25">
        <f>+O436/[16]Result!$C$30</f>
        <v>4.7192388333058242E-2</v>
      </c>
      <c r="P782" s="25">
        <f>+P436/[17]Result!$C$30</f>
        <v>-6.6297609678031652E-4</v>
      </c>
      <c r="Q782" s="33">
        <f>+Q436/[18]Result!$C$30</f>
        <v>-7.9978472397437463E-3</v>
      </c>
      <c r="R782" s="33">
        <f>+R436/[19]Result!$C$30</f>
        <v>2.2250956962917398E-3</v>
      </c>
      <c r="S782" s="34">
        <f>+S436/[20]Result!$C$30</f>
        <v>1.732533250892708E-2</v>
      </c>
    </row>
    <row r="783" spans="1:19" hidden="1" outlineLevel="2" x14ac:dyDescent="0.25">
      <c r="A783" s="16" t="s">
        <v>32</v>
      </c>
      <c r="B783" s="25">
        <f>+B437/[21]Result!$C$31</f>
        <v>-2.3276273098860989E-2</v>
      </c>
      <c r="C783" s="25">
        <f>+C437/[1]Result!$C$31</f>
        <v>2.9148544012263602E-2</v>
      </c>
      <c r="D783" s="33">
        <f>+D437/[5]Result!$C$31</f>
        <v>-0.11527900005124644</v>
      </c>
      <c r="E783" s="25">
        <f>+E437/[6]Result!$C$31</f>
        <v>3.5214551762045729E-2</v>
      </c>
      <c r="F783" s="25">
        <f>+F437/[7]Result!$C$31</f>
        <v>-3.5638985402762918E-2</v>
      </c>
      <c r="G783" s="33">
        <f>+G437/[8]Result!$C$31</f>
        <v>-4.6780825711253207E-2</v>
      </c>
      <c r="H783" s="25">
        <f>+H437/[9]Result!$C$31</f>
        <v>-1.8376437040545257E-2</v>
      </c>
      <c r="I783" s="25">
        <f>+I437/[10]Result!$C$31</f>
        <v>-1.9500228493205856E-2</v>
      </c>
      <c r="J783" s="33">
        <f>+J437/[11]Result!$C$31</f>
        <v>9.682946096642428E-2</v>
      </c>
      <c r="K783" s="25">
        <f>+K437/[12]Result!$C$31</f>
        <v>3.8661116378192344E-4</v>
      </c>
      <c r="L783" s="25">
        <f>+L437/[13]Result!$C$31</f>
        <v>-4.1056446315735878E-2</v>
      </c>
      <c r="M783" s="25">
        <f>+M437/[14]Result!$C$31</f>
        <v>-0.40992343068308001</v>
      </c>
      <c r="N783" s="33">
        <f>+N437/[15]Result!$C$31</f>
        <v>1.8779467047076545E-2</v>
      </c>
      <c r="O783" s="25">
        <f>+O437/[16]Result!$C$31</f>
        <v>4.8141775573417783E-2</v>
      </c>
      <c r="P783" s="25">
        <f>+P437/[17]Result!$C$31</f>
        <v>-2.6835589133150616E-3</v>
      </c>
      <c r="Q783" s="33">
        <f>+Q437/[18]Result!$C$31</f>
        <v>-8.0556076230130363E-3</v>
      </c>
      <c r="R783" s="33">
        <f>+R437/[19]Result!$C$31</f>
        <v>2.0561307997399628E-3</v>
      </c>
      <c r="S783" s="34">
        <f>+S437/[20]Result!$C$31</f>
        <v>1.761821798395494E-2</v>
      </c>
    </row>
    <row r="784" spans="1:19" hidden="1" outlineLevel="2" x14ac:dyDescent="0.25">
      <c r="A784" s="16" t="s">
        <v>33</v>
      </c>
      <c r="B784" s="25">
        <f>+B438/[21]Result!$C$32</f>
        <v>-2.4008490977228784E-2</v>
      </c>
      <c r="C784" s="25">
        <f>+C438/[1]Result!$C$32</f>
        <v>3.0674544750207373E-2</v>
      </c>
      <c r="D784" s="33">
        <f>+D438/[5]Result!$C$32</f>
        <v>-0.10974325385122138</v>
      </c>
      <c r="E784" s="25">
        <f>+E438/[6]Result!$C$32</f>
        <v>3.4899307771267193E-2</v>
      </c>
      <c r="F784" s="25">
        <f>+F438/[7]Result!$C$32</f>
        <v>-3.6567162148023892E-2</v>
      </c>
      <c r="G784" s="33">
        <f>+G438/[8]Result!$C$32</f>
        <v>-4.4901649862483198E-2</v>
      </c>
      <c r="H784" s="25">
        <f>+H438/[9]Result!$C$32</f>
        <v>-1.8537372586680007E-2</v>
      </c>
      <c r="I784" s="25">
        <f>+I438/[10]Result!$C$32</f>
        <v>-2.0096836439427595E-2</v>
      </c>
      <c r="J784" s="33">
        <f>+J438/[11]Result!$C$32</f>
        <v>0.14747126049358183</v>
      </c>
      <c r="K784" s="25">
        <f>+K438/[12]Result!$C$32</f>
        <v>2.6642903568532361E-4</v>
      </c>
      <c r="L784" s="25">
        <f>+L438/[13]Result!$C$32</f>
        <v>-4.1930589586556558E-2</v>
      </c>
      <c r="M784" s="25">
        <f>+M438/[14]Result!$C$32</f>
        <v>-0.48203698383467697</v>
      </c>
      <c r="N784" s="33">
        <f>+N438/[15]Result!$C$32</f>
        <v>1.9493642341990983E-2</v>
      </c>
      <c r="O784" s="25">
        <f>+O438/[16]Result!$C$32</f>
        <v>4.9161599058454006E-2</v>
      </c>
      <c r="P784" s="25">
        <f>+P438/[17]Result!$C$32</f>
        <v>6.9550101172031753E-2</v>
      </c>
      <c r="Q784" s="33">
        <f>+Q438/[18]Result!$C$32</f>
        <v>-8.0941405882282245E-3</v>
      </c>
      <c r="R784" s="33">
        <f>+R438/[19]Result!$C$32</f>
        <v>1.8661953301202345E-3</v>
      </c>
      <c r="S784" s="34">
        <f>+S438/[20]Result!$C$32</f>
        <v>1.8018407914746539E-2</v>
      </c>
    </row>
    <row r="785" spans="1:19" hidden="1" outlineLevel="2" x14ac:dyDescent="0.25">
      <c r="A785" s="16" t="s">
        <v>34</v>
      </c>
      <c r="B785" s="25">
        <f>+B439/[21]Result!$C$33</f>
        <v>-2.4595117059125152E-2</v>
      </c>
      <c r="C785" s="25">
        <f>+C439/[1]Result!$C$33</f>
        <v>3.194515158272114E-2</v>
      </c>
      <c r="D785" s="33">
        <f>+D439/[5]Result!$C$33</f>
        <v>-3.2736523231828338E-2</v>
      </c>
      <c r="E785" s="25">
        <f>+E439/[6]Result!$C$33</f>
        <v>3.4606944593973565E-2</v>
      </c>
      <c r="F785" s="25">
        <f>+F439/[7]Result!$C$33</f>
        <v>-3.7198737749493609E-2</v>
      </c>
      <c r="G785" s="33">
        <f>+G439/[8]Result!$C$33</f>
        <v>4.9513565159584973E-2</v>
      </c>
      <c r="H785" s="25">
        <f>+H439/[9]Result!$C$33</f>
        <v>-1.8796361654465805E-2</v>
      </c>
      <c r="I785" s="25">
        <f>+I439/[10]Result!$C$33</f>
        <v>-2.0818544909862704E-2</v>
      </c>
      <c r="J785" s="33">
        <f>+J439/[11]Result!$C$33</f>
        <v>0.16896824840432537</v>
      </c>
      <c r="K785" s="25">
        <f>+K439/[12]Result!$C$33</f>
        <v>0</v>
      </c>
      <c r="L785" s="25">
        <f>+L439/[13]Result!$C$33</f>
        <v>-4.2758014540901446E-2</v>
      </c>
      <c r="M785" s="25">
        <f>+M439/[14]Result!$C$33</f>
        <v>-0.45641467689305193</v>
      </c>
      <c r="N785" s="33">
        <f>+N439/[15]Result!$C$33</f>
        <v>2.0068399763088843E-2</v>
      </c>
      <c r="O785" s="25">
        <f>+O439/[16]Result!$C$33</f>
        <v>5.0265844480493184E-2</v>
      </c>
      <c r="P785" s="25">
        <f>+P439/[17]Result!$C$33</f>
        <v>0.1328022203667853</v>
      </c>
      <c r="Q785" s="33">
        <f>+Q439/[18]Result!$C$33</f>
        <v>-8.1134411138351886E-3</v>
      </c>
      <c r="R785" s="33">
        <f>+R439/[19]Result!$C$33</f>
        <v>1.5196356080632433E-3</v>
      </c>
      <c r="S785" s="34">
        <f>+S439/[20]Result!$C$33</f>
        <v>1.8538532750686145E-2</v>
      </c>
    </row>
    <row r="786" spans="1:19" hidden="1" outlineLevel="2" x14ac:dyDescent="0.25">
      <c r="A786" s="16" t="s">
        <v>35</v>
      </c>
      <c r="B786" s="25">
        <f>+B440/[21]Result!$C$34</f>
        <v>-2.5021457954250696E-2</v>
      </c>
      <c r="C786" s="25">
        <f>+C440/[1]Result!$C$34</f>
        <v>3.2929665458896182E-2</v>
      </c>
      <c r="D786" s="33">
        <f>+D440/[5]Result!$C$34</f>
        <v>-3.7595161328952527E-2</v>
      </c>
      <c r="E786" s="25">
        <f>+E440/[6]Result!$C$34</f>
        <v>3.4202594799682462E-2</v>
      </c>
      <c r="F786" s="25">
        <f>+F440/[7]Result!$C$34</f>
        <v>-3.764477293973964E-2</v>
      </c>
      <c r="G786" s="33">
        <f>+G440/[8]Result!$C$34</f>
        <v>4.2081051320580383E-2</v>
      </c>
      <c r="H786" s="25">
        <f>+H440/[9]Result!$C$34</f>
        <v>-1.9026013129469884E-2</v>
      </c>
      <c r="I786" s="25">
        <f>+I440/[10]Result!$C$34</f>
        <v>-2.1399313516000541E-2</v>
      </c>
      <c r="J786" s="33">
        <f>+J440/[11]Result!$C$34</f>
        <v>1.4271265507226332E-2</v>
      </c>
      <c r="K786" s="25">
        <f>+K440/[12]Result!$C$34</f>
        <v>0</v>
      </c>
      <c r="L786" s="25">
        <f>+L440/[13]Result!$C$34</f>
        <v>-4.353795268644222E-2</v>
      </c>
      <c r="M786" s="25">
        <f>+M440/[14]Result!$C$34</f>
        <v>-0.3756950235750659</v>
      </c>
      <c r="N786" s="33">
        <f>+N440/[15]Result!$C$34</f>
        <v>2.0633300660788848E-2</v>
      </c>
      <c r="O786" s="25">
        <f>+O440/[16]Result!$C$34</f>
        <v>5.1320643688232671E-2</v>
      </c>
      <c r="P786" s="25">
        <f>+P440/[17]Result!$C$34</f>
        <v>7.378899204271859E-2</v>
      </c>
      <c r="Q786" s="33">
        <f>+Q440/[18]Result!$C$34</f>
        <v>-8.1134758460614485E-3</v>
      </c>
      <c r="R786" s="33">
        <f>+R440/[19]Result!$C$34</f>
        <v>1.2868516241191074E-3</v>
      </c>
      <c r="S786" s="34">
        <f>+S440/[20]Result!$C$34</f>
        <v>1.8903646845890409E-2</v>
      </c>
    </row>
    <row r="787" spans="1:19" hidden="1" outlineLevel="1" x14ac:dyDescent="0.25">
      <c r="A787" s="15" t="s">
        <v>36</v>
      </c>
      <c r="B787" s="25">
        <f>+B441/'[21]Stat by Mat'!$G$7</f>
        <v>-2.6004365315748509E-2</v>
      </c>
      <c r="C787" s="25">
        <f>+C441/'[1]Stat by Mat'!$G$7</f>
        <v>3.5111060825607866E-2</v>
      </c>
      <c r="D787" s="33">
        <f>+D441/'[5]Stat by Mat'!$G$7</f>
        <v>-5.4444642942673135E-2</v>
      </c>
      <c r="E787" s="25">
        <f>+E441/'[6]Stat by Mat'!$G$7</f>
        <v>3.364514486341786E-2</v>
      </c>
      <c r="F787" s="25">
        <f>+F441/'[7]Stat by Mat'!$G$7</f>
        <v>-3.8949363219013274E-2</v>
      </c>
      <c r="G787" s="33">
        <f>+G441/'[8]Stat by Mat'!$G$7</f>
        <v>1.1942598420768591E-2</v>
      </c>
      <c r="H787" s="25">
        <f>+H441/'[9]Stat by Mat'!$G$7</f>
        <v>-1.9284099997292907E-2</v>
      </c>
      <c r="I787" s="25">
        <f>+I441/'[10]Stat by Mat'!$G$7</f>
        <v>-2.2610278457765105E-2</v>
      </c>
      <c r="J787" s="33">
        <f>+J441/'[11]Stat by Mat'!$G$7</f>
        <v>4.4604851463964271E-2</v>
      </c>
      <c r="K787" s="25">
        <f>+K441/'[12]Stat by Mat'!$G$7</f>
        <v>-3.1932684791840756E-4</v>
      </c>
      <c r="L787" s="25">
        <f>+L441/'[13]Stat by Mat'!$G$7</f>
        <v>-4.5322752230885111E-2</v>
      </c>
      <c r="M787" s="25">
        <f>+M441/'[14]Stat by Mat'!$G$7</f>
        <v>-0.54625577363864664</v>
      </c>
      <c r="N787" s="33">
        <f>+N441/'[15]Stat by Mat'!$G$7</f>
        <v>2.2000276672485709E-2</v>
      </c>
      <c r="O787" s="25">
        <f>+O441/'[16]Stat by Mat'!$G$7</f>
        <v>5.4074209621435394E-2</v>
      </c>
      <c r="P787" s="25">
        <f>+P441/'[17]Stat by Mat'!$G$7</f>
        <v>0.33190488300874421</v>
      </c>
      <c r="Q787" s="33">
        <f>+Q441/'[18]Stat by Mat'!$G$7</f>
        <v>-8.0416831948595183E-3</v>
      </c>
      <c r="R787" s="33">
        <f>+R441/'[19]Stat by Mat'!$G$7</f>
        <v>7.16839861356932E-4</v>
      </c>
      <c r="S787" s="34">
        <f>+S441/'[20]Stat by Mat'!$G$7</f>
        <v>1.9706580849422499E-2</v>
      </c>
    </row>
    <row r="788" spans="1:19" hidden="1" outlineLevel="2" x14ac:dyDescent="0.25">
      <c r="A788" s="16" t="s">
        <v>37</v>
      </c>
      <c r="B788" s="25">
        <f>+B442/[21]Result!$C$35</f>
        <v>-2.5419534539675132E-2</v>
      </c>
      <c r="C788" s="25">
        <f>+C442/[1]Result!$C$35</f>
        <v>3.3751074759812476E-2</v>
      </c>
      <c r="D788" s="33">
        <f>+D442/[5]Result!$C$35</f>
        <v>-4.6194492777112219E-2</v>
      </c>
      <c r="E788" s="25">
        <f>+E442/[6]Result!$C$35</f>
        <v>3.399594189546909E-2</v>
      </c>
      <c r="F788" s="25">
        <f>+F442/[7]Result!$C$35</f>
        <v>-3.8177325322746418E-2</v>
      </c>
      <c r="G788" s="33">
        <f>+G442/[8]Result!$C$35</f>
        <v>2.0567453643281539E-2</v>
      </c>
      <c r="H788" s="25">
        <f>+H442/[9]Result!$C$35</f>
        <v>-1.9081870940182755E-2</v>
      </c>
      <c r="I788" s="25">
        <f>+I442/[10]Result!$C$35</f>
        <v>-2.182559532026673E-2</v>
      </c>
      <c r="J788" s="33">
        <f>+J442/[11]Result!$C$35</f>
        <v>2.1997563219884175E-2</v>
      </c>
      <c r="K788" s="25">
        <f>+K442/[12]Result!$C$35</f>
        <v>-1.4818049423413727E-4</v>
      </c>
      <c r="L788" s="25">
        <f>+L442/[13]Result!$C$35</f>
        <v>-4.4129645086095598E-2</v>
      </c>
      <c r="M788" s="25">
        <f>+M442/[14]Result!$C$35</f>
        <v>-0.41858981936701228</v>
      </c>
      <c r="N788" s="33">
        <f>+N442/[15]Result!$C$35</f>
        <v>2.1038041154219648E-2</v>
      </c>
      <c r="O788" s="25">
        <f>+O442/[16]Result!$C$35</f>
        <v>5.2325222173250495E-2</v>
      </c>
      <c r="P788" s="25">
        <f>+P442/[17]Result!$C$35</f>
        <v>0.1127019344587539</v>
      </c>
      <c r="Q788" s="33">
        <f>+Q442/[18]Result!$C$35</f>
        <v>-8.0942833573912163E-3</v>
      </c>
      <c r="R788" s="33">
        <f>+R442/[19]Result!$C$35</f>
        <v>1.1827172326169106E-3</v>
      </c>
      <c r="S788" s="34">
        <f>+S442/[20]Result!$C$35</f>
        <v>1.9098450936753879E-2</v>
      </c>
    </row>
    <row r="789" spans="1:19" hidden="1" outlineLevel="2" x14ac:dyDescent="0.25">
      <c r="A789" s="16" t="s">
        <v>38</v>
      </c>
      <c r="B789" s="25">
        <f>+B443/[21]Result!$C$36</f>
        <v>-2.5788366635841858E-2</v>
      </c>
      <c r="C789" s="25">
        <f>+C443/[1]Result!$C$36</f>
        <v>3.455277388059623E-2</v>
      </c>
      <c r="D789" s="33">
        <f>+D443/[5]Result!$C$36</f>
        <v>-6.0121746860153161E-2</v>
      </c>
      <c r="E789" s="25">
        <f>+E443/[6]Result!$C$36</f>
        <v>3.3855930727622045E-2</v>
      </c>
      <c r="F789" s="25">
        <f>+F443/[7]Result!$C$36</f>
        <v>-3.8662174169985464E-2</v>
      </c>
      <c r="G789" s="33">
        <f>+G443/[8]Result!$C$36</f>
        <v>3.899736151167107E-3</v>
      </c>
      <c r="H789" s="25">
        <f>+H443/[9]Result!$C$36</f>
        <v>-1.9249794090383455E-2</v>
      </c>
      <c r="I789" s="25">
        <f>+I443/[10]Result!$C$36</f>
        <v>-2.2232635882134529E-2</v>
      </c>
      <c r="J789" s="33">
        <f>+J443/[11]Result!$C$36</f>
        <v>4.9979247771589956E-2</v>
      </c>
      <c r="K789" s="25">
        <f>+K443/[12]Result!$C$36</f>
        <v>-3.0581902039831502E-4</v>
      </c>
      <c r="L789" s="25">
        <f>+L443/[13]Result!$C$36</f>
        <v>-4.4665270696304396E-2</v>
      </c>
      <c r="M789" s="25">
        <f>+M443/[14]Result!$C$36</f>
        <v>-0.52138019308110894</v>
      </c>
      <c r="N789" s="33">
        <f>+N443/[15]Result!$C$36</f>
        <v>2.1578949273071482E-2</v>
      </c>
      <c r="O789" s="25">
        <f>+O443/[16]Result!$C$36</f>
        <v>5.311931876699328E-2</v>
      </c>
      <c r="P789" s="25">
        <f>+P443/[17]Result!$C$36</f>
        <v>0.21288861767968825</v>
      </c>
      <c r="Q789" s="33">
        <f>+Q443/[18]Result!$C$36</f>
        <v>-8.0558633703521725E-3</v>
      </c>
      <c r="R789" s="33">
        <f>+R443/[19]Result!$C$36</f>
        <v>1.0687494455707876E-3</v>
      </c>
      <c r="S789" s="34">
        <f>+S443/[20]Result!$C$36</f>
        <v>1.9263789252957679E-2</v>
      </c>
    </row>
    <row r="790" spans="1:19" hidden="1" outlineLevel="2" x14ac:dyDescent="0.25">
      <c r="A790" s="16" t="s">
        <v>39</v>
      </c>
      <c r="B790" s="25">
        <f>+B444/[21]Result!$C$37</f>
        <v>-2.5974286804538418E-2</v>
      </c>
      <c r="C790" s="25">
        <f>+C444/[1]Result!$C$37</f>
        <v>3.517040758281257E-2</v>
      </c>
      <c r="D790" s="33">
        <f>+D444/[5]Result!$C$37</f>
        <v>-5.5888272012035965E-2</v>
      </c>
      <c r="E790" s="25">
        <f>+E444/[6]Result!$C$37</f>
        <v>3.3472284201554243E-2</v>
      </c>
      <c r="F790" s="25">
        <f>+F444/[7]Result!$C$37</f>
        <v>-3.8947886587921095E-2</v>
      </c>
      <c r="G790" s="33">
        <f>+G444/[8]Result!$C$37</f>
        <v>3.3883692779805579E-3</v>
      </c>
      <c r="H790" s="25">
        <f>+H444/[9]Result!$C$37</f>
        <v>-1.9234206800029161E-2</v>
      </c>
      <c r="I790" s="25">
        <f>+I444/[10]Result!$C$37</f>
        <v>-2.262060134491577E-2</v>
      </c>
      <c r="J790" s="33">
        <f>+J444/[11]Result!$C$37</f>
        <v>8.5190423106129676E-2</v>
      </c>
      <c r="K790" s="25">
        <f>+K444/[12]Result!$C$37</f>
        <v>-3.155058920294728E-4</v>
      </c>
      <c r="L790" s="25">
        <f>+L444/[13]Result!$C$37</f>
        <v>-4.5295506138355993E-2</v>
      </c>
      <c r="M790" s="25">
        <f>+M444/[14]Result!$C$37</f>
        <v>-0.60246046711847723</v>
      </c>
      <c r="N790" s="33">
        <f>+N444/[15]Result!$C$37</f>
        <v>2.2110373969441564E-2</v>
      </c>
      <c r="O790" s="25">
        <f>+O444/[16]Result!$C$37</f>
        <v>5.3852520797786768E-2</v>
      </c>
      <c r="P790" s="25">
        <f>+P444/[17]Result!$C$37</f>
        <v>0.33845683879407917</v>
      </c>
      <c r="Q790" s="33">
        <f>+Q444/[18]Result!$C$37</f>
        <v>-7.9982144893532524E-3</v>
      </c>
      <c r="R790" s="33">
        <f>+R444/[19]Result!$C$37</f>
        <v>7.8759257983629274E-4</v>
      </c>
      <c r="S790" s="34">
        <f>+S444/[20]Result!$C$37</f>
        <v>1.9559935255799816E-2</v>
      </c>
    </row>
    <row r="791" spans="1:19" hidden="1" outlineLevel="2" x14ac:dyDescent="0.25">
      <c r="A791" s="16" t="s">
        <v>40</v>
      </c>
      <c r="B791" s="25">
        <f>+B445/[21]Result!$C$38</f>
        <v>-2.6122105602901791E-2</v>
      </c>
      <c r="C791" s="25">
        <f>+C445/[1]Result!$C$38</f>
        <v>3.5588732137380875E-2</v>
      </c>
      <c r="D791" s="33">
        <f>+D445/[5]Result!$C$38</f>
        <v>-4.925199295354056E-2</v>
      </c>
      <c r="E791" s="25">
        <f>+E445/[6]Result!$C$38</f>
        <v>3.3503657086312498E-2</v>
      </c>
      <c r="F791" s="25">
        <f>+F445/[7]Result!$C$38</f>
        <v>-3.9334053143404601E-2</v>
      </c>
      <c r="G791" s="33">
        <f>+G445/[8]Result!$C$38</f>
        <v>7.0954662968074813E-3</v>
      </c>
      <c r="H791" s="25">
        <f>+H445/[9]Result!$C$38</f>
        <v>-1.9180347341322332E-2</v>
      </c>
      <c r="I791" s="25">
        <f>+I445/[10]Result!$C$38</f>
        <v>-2.2989325821386603E-2</v>
      </c>
      <c r="J791" s="33">
        <f>+J445/[11]Result!$C$38</f>
        <v>5.0869867416855771E-2</v>
      </c>
      <c r="K791" s="25">
        <f>+K445/[12]Result!$C$38</f>
        <v>-3.2519210858198544E-4</v>
      </c>
      <c r="L791" s="25">
        <f>+L445/[13]Result!$C$38</f>
        <v>-4.5879345802653508E-2</v>
      </c>
      <c r="M791" s="25">
        <f>+M445/[14]Result!$C$38</f>
        <v>-0.65197997976459265</v>
      </c>
      <c r="N791" s="33">
        <f>+N445/[15]Result!$C$38</f>
        <v>2.2466312856208426E-2</v>
      </c>
      <c r="O791" s="25">
        <f>+O445/[16]Result!$C$38</f>
        <v>5.4696098280925233E-2</v>
      </c>
      <c r="P791" s="25">
        <f>+P445/[17]Result!$C$38</f>
        <v>0.38903064849112862</v>
      </c>
      <c r="Q791" s="33">
        <f>+Q445/[18]Result!$C$38</f>
        <v>-7.9213342006589534E-3</v>
      </c>
      <c r="R791" s="33">
        <f>+R445/[19]Result!$C$38</f>
        <v>4.8713191728131608E-4</v>
      </c>
      <c r="S791" s="34">
        <f>+S445/[20]Result!$C$38</f>
        <v>1.9836381243992413E-2</v>
      </c>
    </row>
    <row r="792" spans="1:19" hidden="1" outlineLevel="2" x14ac:dyDescent="0.25">
      <c r="A792" s="16" t="s">
        <v>41</v>
      </c>
      <c r="B792" s="25">
        <f>+B446/[21]Result!$C$39</f>
        <v>-2.6395586447083254E-2</v>
      </c>
      <c r="C792" s="25">
        <f>+C446/[1]Result!$C$39</f>
        <v>3.6140935521399471E-2</v>
      </c>
      <c r="D792" s="33">
        <f>+D446/[5]Result!$C$39</f>
        <v>-7.3841464297161583E-2</v>
      </c>
      <c r="E792" s="25">
        <f>+E446/[6]Result!$C$39</f>
        <v>3.3474850592113546E-2</v>
      </c>
      <c r="F792" s="25">
        <f>+F446/[7]Result!$C$39</f>
        <v>-3.9512241141264094E-2</v>
      </c>
      <c r="G792" s="33">
        <f>+G446/[8]Result!$C$39</f>
        <v>-5.1338182558026066E-3</v>
      </c>
      <c r="H792" s="25">
        <f>+H446/[9]Result!$C$39</f>
        <v>-1.941716900483172E-2</v>
      </c>
      <c r="I792" s="25">
        <f>+I446/[10]Result!$C$39</f>
        <v>-2.3175511265264494E-2</v>
      </c>
      <c r="J792" s="33">
        <f>+J446/[11]Result!$C$39</f>
        <v>2.9754026988497717E-2</v>
      </c>
      <c r="K792" s="25">
        <f>+K446/[12]Result!$C$39</f>
        <v>-3.3487691457243543E-4</v>
      </c>
      <c r="L792" s="25">
        <f>+L446/[13]Result!$C$39</f>
        <v>-4.6256911958730579E-2</v>
      </c>
      <c r="M792" s="25">
        <f>+M446/[14]Result!$C$39</f>
        <v>-0.70634832824402261</v>
      </c>
      <c r="N792" s="33">
        <f>+N446/[15]Result!$C$39</f>
        <v>2.2802629994567059E-2</v>
      </c>
      <c r="O792" s="25">
        <f>+O446/[16]Result!$C$39</f>
        <v>5.5489704895876235E-2</v>
      </c>
      <c r="P792" s="25">
        <f>+P446/[17]Result!$C$39</f>
        <v>0.47543140764938718</v>
      </c>
      <c r="Q792" s="33">
        <f>+Q446/[18]Result!$C$39</f>
        <v>-7.9907763569955752E-3</v>
      </c>
      <c r="R792" s="33">
        <f>+R446/[19]Result!$C$39</f>
        <v>3.3430474739175314E-4</v>
      </c>
      <c r="S792" s="34">
        <f>+S446/[20]Result!$C$39</f>
        <v>2.0093112586845419E-2</v>
      </c>
    </row>
    <row r="793" spans="1:19" hidden="1" outlineLevel="2" x14ac:dyDescent="0.25">
      <c r="A793" s="16" t="s">
        <v>42</v>
      </c>
      <c r="B793" s="25">
        <f>+B447/[21]Result!$C$40</f>
        <v>-2.6640851189412087E-2</v>
      </c>
      <c r="C793" s="25">
        <f>+C447/[1]Result!$C$40</f>
        <v>3.6663393206167204E-2</v>
      </c>
      <c r="D793" s="33">
        <f>+D447/[5]Result!$C$40</f>
        <v>-6.6564304874797045E-2</v>
      </c>
      <c r="E793" s="25">
        <f>+E447/[6]Result!$C$40</f>
        <v>3.3206788059818727E-2</v>
      </c>
      <c r="F793" s="25">
        <f>+F447/[7]Result!$C$40</f>
        <v>-3.9633636531605093E-2</v>
      </c>
      <c r="G793" s="33">
        <f>+G447/[8]Result!$C$40</f>
        <v>7.3802147033483808E-3</v>
      </c>
      <c r="H793" s="25">
        <f>+H447/[9]Result!$C$40</f>
        <v>-1.9634955890295527E-2</v>
      </c>
      <c r="I793" s="25">
        <f>+I447/[10]Result!$C$40</f>
        <v>-2.3332853423004823E-2</v>
      </c>
      <c r="J793" s="33">
        <f>+J447/[11]Result!$C$40</f>
        <v>6.0421836798912658E-2</v>
      </c>
      <c r="K793" s="25">
        <f>+K447/[12]Result!$C$40</f>
        <v>-5.1648935058197954E-4</v>
      </c>
      <c r="L793" s="25">
        <f>+L447/[13]Result!$C$40</f>
        <v>-4.6578785534926156E-2</v>
      </c>
      <c r="M793" s="25">
        <f>+M447/[14]Result!$C$40</f>
        <v>-0.81913844214848375</v>
      </c>
      <c r="N793" s="33">
        <f>+N447/[15]Result!$C$40</f>
        <v>2.3119226480190949E-2</v>
      </c>
      <c r="O793" s="25">
        <f>+O447/[16]Result!$C$40</f>
        <v>5.6232094000133959E-2</v>
      </c>
      <c r="P793" s="25">
        <f>+P447/[17]Result!$C$40</f>
        <v>0.98168678723601588</v>
      </c>
      <c r="Q793" s="33">
        <f>+Q447/[18]Result!$C$40</f>
        <v>-8.0510886328077243E-3</v>
      </c>
      <c r="R793" s="33">
        <f>+R447/[19]Result!$C$40</f>
        <v>3.4399440888363911E-4</v>
      </c>
      <c r="S793" s="34">
        <f>+S447/[20]Result!$C$40</f>
        <v>2.0155000047376356E-2</v>
      </c>
    </row>
    <row r="794" spans="1:19" hidden="1" outlineLevel="2" x14ac:dyDescent="0.25">
      <c r="A794" s="16" t="s">
        <v>43</v>
      </c>
      <c r="B794" s="25">
        <f>+B448/[21]Result!$C$41</f>
        <v>-2.6857156725648649E-2</v>
      </c>
      <c r="C794" s="25">
        <f>+C448/[1]Result!$C$41</f>
        <v>3.6970971276412412E-2</v>
      </c>
      <c r="D794" s="33">
        <f>+D448/[5]Result!$C$41</f>
        <v>-5.1399725863052914E-2</v>
      </c>
      <c r="E794" s="25">
        <f>+E448/[6]Result!$C$41</f>
        <v>3.3052241261960928E-2</v>
      </c>
      <c r="F794" s="25">
        <f>+F448/[7]Result!$C$41</f>
        <v>-3.9870225585029999E-2</v>
      </c>
      <c r="G794" s="33">
        <f>+G448/[8]Result!$C$41</f>
        <v>1.7782255703636143E-2</v>
      </c>
      <c r="H794" s="25">
        <f>+H448/[9]Result!$C$41</f>
        <v>-1.9660234147391889E-2</v>
      </c>
      <c r="I794" s="25">
        <f>+I448/[10]Result!$C$41</f>
        <v>-2.3634969259491517E-2</v>
      </c>
      <c r="J794" s="33">
        <f>+J448/[11]Result!$C$41</f>
        <v>9.4472162259058148E-2</v>
      </c>
      <c r="K794" s="25">
        <f>+K448/[12]Result!$C$41</f>
        <v>-5.3171756021631661E-4</v>
      </c>
      <c r="L794" s="25">
        <f>+L448/[13]Result!$C$41</f>
        <v>-4.7013491353069363E-2</v>
      </c>
      <c r="M794" s="25">
        <f>+M448/[14]Result!$C$41</f>
        <v>-0.9279593490377428</v>
      </c>
      <c r="N794" s="33">
        <f>+N448/[15]Result!$C$41</f>
        <v>2.34162245710745E-2</v>
      </c>
      <c r="O794" s="25">
        <f>+O448/[16]Result!$C$41</f>
        <v>5.6924776261604866E-2</v>
      </c>
      <c r="P794" s="25">
        <f>+P448/[17]Result!$C$41</f>
        <v>2.9701499659070745</v>
      </c>
      <c r="Q794" s="33">
        <f>+Q448/[18]Result!$C$41</f>
        <v>-7.9261444188059235E-3</v>
      </c>
      <c r="R794" s="33">
        <f>+R448/[19]Result!$C$41</f>
        <v>1.7723274689627284E-4</v>
      </c>
      <c r="S794" s="34">
        <f>+S448/[20]Result!$C$41</f>
        <v>2.0366654235142449E-2</v>
      </c>
    </row>
    <row r="795" spans="1:19" hidden="1" outlineLevel="2" x14ac:dyDescent="0.25">
      <c r="A795" s="16" t="s">
        <v>44</v>
      </c>
      <c r="B795" s="25">
        <f>+B449/[21]Result!$C$42</f>
        <v>-2.7045666295362779E-2</v>
      </c>
      <c r="C795" s="25">
        <f>+C449/[1]Result!$C$42</f>
        <v>3.7238291260446331E-2</v>
      </c>
      <c r="D795" s="33">
        <f>+D449/[5]Result!$C$42</f>
        <v>-2.5835273547693424E-2</v>
      </c>
      <c r="E795" s="25">
        <f>+E449/[6]Result!$C$42</f>
        <v>3.3025612671512466E-2</v>
      </c>
      <c r="F795" s="25">
        <f>+F449/[7]Result!$C$42</f>
        <v>-4.0059515920604132E-2</v>
      </c>
      <c r="G795" s="33">
        <f>+G449/[8]Result!$C$42</f>
        <v>3.4199584039856797E-2</v>
      </c>
      <c r="H795" s="25">
        <f>+H449/[9]Result!$C$42</f>
        <v>-1.9656201283798174E-2</v>
      </c>
      <c r="I795" s="25">
        <f>+I449/[10]Result!$C$42</f>
        <v>-2.3918000144080749E-2</v>
      </c>
      <c r="J795" s="33">
        <f>+J449/[11]Result!$C$42</f>
        <v>0.12570971903169423</v>
      </c>
      <c r="K795" s="25">
        <f>+K449/[12]Result!$C$42</f>
        <v>-5.4535656040508138E-4</v>
      </c>
      <c r="L795" s="25">
        <f>+L449/[13]Result!$C$42</f>
        <v>-4.7402504159874376E-2</v>
      </c>
      <c r="M795" s="25">
        <f>+M449/[14]Result!$C$42</f>
        <v>-0.97857924565758181</v>
      </c>
      <c r="N795" s="33">
        <f>+N449/[15]Result!$C$42</f>
        <v>2.3878754389978211E-2</v>
      </c>
      <c r="O795" s="25">
        <f>+O449/[16]Result!$C$42</f>
        <v>5.7374176807746279E-2</v>
      </c>
      <c r="P795" s="25">
        <f>+P449/[17]Result!$C$42</f>
        <v>12.131805318818206</v>
      </c>
      <c r="Q795" s="33">
        <f>+Q449/[18]Result!$C$42</f>
        <v>-7.9616970697960008E-3</v>
      </c>
      <c r="R795" s="33">
        <f>+R449/[19]Result!$C$42</f>
        <v>0</v>
      </c>
      <c r="S795" s="34">
        <f>+S449/[20]Result!$C$42</f>
        <v>2.0745093215842725E-2</v>
      </c>
    </row>
    <row r="796" spans="1:19" hidden="1" outlineLevel="2" x14ac:dyDescent="0.25">
      <c r="A796" s="16" t="s">
        <v>45</v>
      </c>
      <c r="B796" s="25">
        <f>+B450/[21]Result!$C$43</f>
        <v>-2.7204942066529073E-2</v>
      </c>
      <c r="C796" s="25">
        <f>+C450/[1]Result!$C$43</f>
        <v>3.7465301353434378E-2</v>
      </c>
      <c r="D796" s="33">
        <f>+D450/[5]Result!$C$43</f>
        <v>-1.9670960285544586E-2</v>
      </c>
      <c r="E796" s="25">
        <f>+E450/[6]Result!$C$43</f>
        <v>3.3142696412849379E-2</v>
      </c>
      <c r="F796" s="25">
        <f>+F450/[7]Result!$C$43</f>
        <v>-4.0382225927147297E-2</v>
      </c>
      <c r="G796" s="33">
        <f>+G450/[8]Result!$C$43</f>
        <v>1.7043699760316687E-2</v>
      </c>
      <c r="H796" s="25">
        <f>+H450/[9]Result!$C$43</f>
        <v>-1.9807295977448937E-2</v>
      </c>
      <c r="I796" s="25">
        <f>+I450/[10]Result!$C$43</f>
        <v>-2.4181966215982804E-2</v>
      </c>
      <c r="J796" s="33">
        <f>+J450/[11]Result!$C$43</f>
        <v>3.9965228395273611E-2</v>
      </c>
      <c r="K796" s="25">
        <f>+K450/[12]Result!$C$43</f>
        <v>-7.4708088967468246E-4</v>
      </c>
      <c r="L796" s="25">
        <f>+L450/[13]Result!$C$43</f>
        <v>-4.7567052629058026E-2</v>
      </c>
      <c r="M796" s="25">
        <f>+M450/[14]Result!$C$43</f>
        <v>-1.0047544539424984</v>
      </c>
      <c r="N796" s="33">
        <f>+N450/[15]Result!$C$43</f>
        <v>2.4142460465676151E-2</v>
      </c>
      <c r="O796" s="25">
        <f>+O450/[16]Result!$C$43</f>
        <v>5.7958749119980446E-2</v>
      </c>
      <c r="P796" s="25">
        <f>+P450/[17]Result!$C$43</f>
        <v>-47.783933038270661</v>
      </c>
      <c r="Q796" s="33">
        <f>+Q450/[18]Result!$C$43</f>
        <v>-7.9885998832987023E-3</v>
      </c>
      <c r="R796" s="33">
        <f>+R450/[19]Result!$C$43</f>
        <v>0</v>
      </c>
      <c r="S796" s="34">
        <f>+S450/[20]Result!$C$43</f>
        <v>2.0733044776898298E-2</v>
      </c>
    </row>
    <row r="797" spans="1:19" hidden="1" outlineLevel="2" x14ac:dyDescent="0.25">
      <c r="A797" s="16" t="s">
        <v>46</v>
      </c>
      <c r="B797" s="25">
        <f>+B451/[21]Result!$C$44</f>
        <v>-2.7336823304259711E-2</v>
      </c>
      <c r="C797" s="25">
        <f>+C451/[1]Result!$C$44</f>
        <v>3.7652033988456832E-2</v>
      </c>
      <c r="D797" s="33">
        <f>+D451/[5]Result!$C$44</f>
        <v>-0.106811289372921</v>
      </c>
      <c r="E797" s="25">
        <f>+E451/[6]Result!$C$44</f>
        <v>3.3219536704212058E-2</v>
      </c>
      <c r="F797" s="25">
        <f>+F451/[7]Result!$C$44</f>
        <v>-4.0667405228588228E-2</v>
      </c>
      <c r="G797" s="33">
        <f>+G451/[8]Result!$C$44</f>
        <v>3.7022476989809781E-2</v>
      </c>
      <c r="H797" s="25">
        <f>+H451/[9]Result!$C$44</f>
        <v>-1.9751962179052059E-2</v>
      </c>
      <c r="I797" s="25">
        <f>+I451/[10]Result!$C$44</f>
        <v>-2.4427025150800381E-2</v>
      </c>
      <c r="J797" s="33">
        <f>+J451/[11]Result!$C$44</f>
        <v>-5.9415194181165115E-2</v>
      </c>
      <c r="K797" s="25">
        <f>+K451/[12]Result!$C$44</f>
        <v>-7.6643698357296126E-4</v>
      </c>
      <c r="L797" s="25">
        <f>+L451/[13]Result!$C$44</f>
        <v>-4.7858000107477316E-2</v>
      </c>
      <c r="M797" s="25">
        <f>+M451/[14]Result!$C$44</f>
        <v>-1.0386047548062907</v>
      </c>
      <c r="N797" s="33">
        <f>+N451/[15]Result!$C$44</f>
        <v>2.4188698583142671E-2</v>
      </c>
      <c r="O797" s="25">
        <f>+O451/[16]Result!$C$44</f>
        <v>5.8695714440072287E-2</v>
      </c>
      <c r="P797" s="25">
        <f>+P451/[17]Result!$C$44</f>
        <v>-7.1562094554048539</v>
      </c>
      <c r="Q797" s="33">
        <f>+Q451/[18]Result!$C$44</f>
        <v>-8.0047625590387288E-3</v>
      </c>
      <c r="R797" s="33">
        <f>+R451/[19]Result!$C$44</f>
        <v>0</v>
      </c>
      <c r="S797" s="34">
        <f>+S451/[20]Result!$C$44</f>
        <v>2.0690160334549353E-2</v>
      </c>
    </row>
    <row r="798" spans="1:19" hidden="1" outlineLevel="2" x14ac:dyDescent="0.25">
      <c r="A798" s="16" t="s">
        <v>47</v>
      </c>
      <c r="B798" s="25">
        <f>+B452/[21]Result!$C$45</f>
        <v>-2.7247867961519161E-2</v>
      </c>
      <c r="C798" s="25">
        <f>+C452/[1]Result!$C$45</f>
        <v>3.7798457640096136E-2</v>
      </c>
      <c r="D798" s="33">
        <f>+D452/[5]Result!$C$45</f>
        <v>-8.926937777365028E-2</v>
      </c>
      <c r="E798" s="25">
        <f>+E452/[6]Result!$C$45</f>
        <v>3.3053321144155101E-2</v>
      </c>
      <c r="F798" s="25">
        <f>+F452/[7]Result!$C$45</f>
        <v>-4.0726868333387442E-2</v>
      </c>
      <c r="G798" s="33">
        <f>+G452/[8]Result!$C$45</f>
        <v>4.2017606767643469E-2</v>
      </c>
      <c r="H798" s="25">
        <f>+H452/[9]Result!$C$45</f>
        <v>-1.9666843700817917E-2</v>
      </c>
      <c r="I798" s="25">
        <f>+I452/[10]Result!$C$45</f>
        <v>-2.4462072194683725E-2</v>
      </c>
      <c r="J798" s="33">
        <f>+J452/[11]Result!$C$45</f>
        <v>-6.2162154054523876E-2</v>
      </c>
      <c r="K798" s="25">
        <f>+K452/[12]Result!$C$45</f>
        <v>-7.8579617175089905E-4</v>
      </c>
      <c r="L798" s="25">
        <f>+L452/[13]Result!$C$45</f>
        <v>-4.8290310870660637E-2</v>
      </c>
      <c r="M798" s="25">
        <f>+M452/[14]Result!$C$45</f>
        <v>3.8725738490752746</v>
      </c>
      <c r="N798" s="33">
        <f>+N452/[15]Result!$C$45</f>
        <v>2.4406704119436785E-2</v>
      </c>
      <c r="O798" s="25">
        <f>+O452/[16]Result!$C$45</f>
        <v>5.9185071860827589E-2</v>
      </c>
      <c r="P798" s="25">
        <f>+P452/[17]Result!$C$45</f>
        <v>0.39110806512721452</v>
      </c>
      <c r="Q798" s="33">
        <f>+Q452/[18]Result!$C$45</f>
        <v>-8.0125964436513972E-3</v>
      </c>
      <c r="R798" s="33">
        <f>+R452/[19]Result!$C$45</f>
        <v>-1.9543119930010092E-4</v>
      </c>
      <c r="S798" s="34">
        <f>+S452/[20]Result!$C$45</f>
        <v>2.1018076504256317E-2</v>
      </c>
    </row>
    <row r="799" spans="1:19" hidden="1" outlineLevel="2" x14ac:dyDescent="0.25">
      <c r="A799" s="16" t="s">
        <v>48</v>
      </c>
      <c r="B799" s="25">
        <f>+B453/[21]Result!$C$46</f>
        <v>-2.7316966769463925E-2</v>
      </c>
      <c r="C799" s="25">
        <f>+C453/[1]Result!$C$46</f>
        <v>3.8113567708483058E-2</v>
      </c>
      <c r="D799" s="33">
        <f>+D453/[5]Result!$C$46</f>
        <v>-7.6117081074475998E-2</v>
      </c>
      <c r="E799" s="25">
        <f>+E453/[6]Result!$C$46</f>
        <v>3.3043339337593396E-2</v>
      </c>
      <c r="F799" s="25">
        <f>+F453/[7]Result!$C$46</f>
        <v>-4.0738503512260819E-2</v>
      </c>
      <c r="G799" s="33">
        <f>+G453/[8]Result!$C$46</f>
        <v>4.2748707435933779E-2</v>
      </c>
      <c r="H799" s="25">
        <f>+H453/[9]Result!$C$46</f>
        <v>-1.9751366767072006E-2</v>
      </c>
      <c r="I799" s="25">
        <f>+I453/[10]Result!$C$46</f>
        <v>-2.4467312558082897E-2</v>
      </c>
      <c r="J799" s="33">
        <f>+J453/[11]Result!$C$46</f>
        <v>-4.9381113214995102E-2</v>
      </c>
      <c r="K799" s="25">
        <f>+K453/[12]Result!$C$46</f>
        <v>-8.051491423830832E-4</v>
      </c>
      <c r="L799" s="25">
        <f>+L453/[13]Result!$C$46</f>
        <v>-4.8494849079917655E-2</v>
      </c>
      <c r="M799" s="25">
        <f>+M453/[14]Result!$C$46</f>
        <v>3.3400445231187175</v>
      </c>
      <c r="N799" s="33">
        <f>+N453/[15]Result!$C$46</f>
        <v>2.4604907794167373E-2</v>
      </c>
      <c r="O799" s="25">
        <f>+O453/[16]Result!$C$46</f>
        <v>5.9621687155549399E-2</v>
      </c>
      <c r="P799" s="25">
        <f>+P453/[17]Result!$C$46</f>
        <v>0.72632907978051275</v>
      </c>
      <c r="Q799" s="33">
        <f>+Q453/[18]Result!$C$46</f>
        <v>-8.0093724888777133E-3</v>
      </c>
      <c r="R799" s="33">
        <f>+R453/[19]Result!$C$46</f>
        <v>-2.0180941863209284E-4</v>
      </c>
      <c r="S799" s="34">
        <f>+S453/[20]Result!$C$46</f>
        <v>2.1133190503477537E-2</v>
      </c>
    </row>
    <row r="800" spans="1:19" hidden="1" outlineLevel="2" x14ac:dyDescent="0.25">
      <c r="A800" s="16" t="s">
        <v>49</v>
      </c>
      <c r="B800" s="25">
        <f>+B454/[21]Result!$C$47</f>
        <v>-2.7559824775930608E-2</v>
      </c>
      <c r="C800" s="25">
        <f>+C454/[1]Result!$C$47</f>
        <v>3.8400127288419322E-2</v>
      </c>
      <c r="D800" s="33">
        <f>+D454/[5]Result!$C$47</f>
        <v>-5.9088840720582118E-2</v>
      </c>
      <c r="E800" s="25">
        <f>+E454/[6]Result!$C$47</f>
        <v>3.3209154679597126E-2</v>
      </c>
      <c r="F800" s="25">
        <f>+F454/[7]Result!$C$47</f>
        <v>-4.0902523211506669E-2</v>
      </c>
      <c r="G800" s="33">
        <f>+G454/[8]Result!$C$47</f>
        <v>3.260851083339969E-2</v>
      </c>
      <c r="H800" s="25">
        <f>+H454/[9]Result!$C$47</f>
        <v>-1.9816920944710024E-2</v>
      </c>
      <c r="I800" s="25">
        <f>+I454/[10]Result!$C$47</f>
        <v>-2.4646070208516103E-2</v>
      </c>
      <c r="J800" s="33">
        <f>+J454/[11]Result!$C$47</f>
        <v>-3.8563324098523047E-2</v>
      </c>
      <c r="K800" s="25">
        <f>+K454/[12]Result!$C$47</f>
        <v>-8.2450353756905392E-4</v>
      </c>
      <c r="L800" s="25">
        <f>+L454/[13]Result!$C$47</f>
        <v>-4.8651659431436359E-2</v>
      </c>
      <c r="M800" s="25">
        <f>+M454/[14]Result!$C$47</f>
        <v>2.3528740965096797</v>
      </c>
      <c r="N800" s="33">
        <f>+N454/[15]Result!$C$47</f>
        <v>2.499324091747817E-2</v>
      </c>
      <c r="O800" s="25">
        <f>+O454/[16]Result!$C$47</f>
        <v>6.0009168407386619E-2</v>
      </c>
      <c r="P800" s="25">
        <f>+P454/[17]Result!$C$47</f>
        <v>0.65136284553810941</v>
      </c>
      <c r="Q800" s="33">
        <f>+Q454/[18]Result!$C$47</f>
        <v>-8.2015124273463295E-3</v>
      </c>
      <c r="R800" s="33">
        <f>+R454/[19]Result!$C$47</f>
        <v>-2.0495144311991452E-4</v>
      </c>
      <c r="S800" s="34">
        <f>+S454/[20]Result!$C$47</f>
        <v>2.1015818427099524E-2</v>
      </c>
    </row>
    <row r="801" spans="1:20" hidden="1" outlineLevel="2" x14ac:dyDescent="0.25">
      <c r="A801" s="16" t="s">
        <v>50</v>
      </c>
      <c r="B801" s="25">
        <f>+B455/[21]Result!$C$48</f>
        <v>-2.7578612988314481E-2</v>
      </c>
      <c r="C801" s="25">
        <f>+C455/[1]Result!$C$48</f>
        <v>3.8435580418890621E-2</v>
      </c>
      <c r="D801" s="33">
        <f>+D455/[5]Result!$C$48</f>
        <v>-6.9756086573164885E-2</v>
      </c>
      <c r="E801" s="25">
        <f>+E455/[6]Result!$C$48</f>
        <v>3.2907895245691862E-2</v>
      </c>
      <c r="F801" s="25">
        <f>+F455/[7]Result!$C$48</f>
        <v>-4.0827254772340178E-2</v>
      </c>
      <c r="G801" s="33">
        <f>+G455/[8]Result!$C$48</f>
        <v>2.3482029784170438E-2</v>
      </c>
      <c r="H801" s="25">
        <f>+H455/[9]Result!$C$48</f>
        <v>-1.9863426931505022E-2</v>
      </c>
      <c r="I801" s="25">
        <f>+I455/[10]Result!$C$48</f>
        <v>-2.4805846131818819E-2</v>
      </c>
      <c r="J801" s="33">
        <f>+J455/[11]Result!$C$48</f>
        <v>-3.9055663301902827E-2</v>
      </c>
      <c r="K801" s="25">
        <f>+K455/[12]Result!$C$48</f>
        <v>-8.4385767583221825E-4</v>
      </c>
      <c r="L801" s="25">
        <f>+L455/[13]Result!$C$48</f>
        <v>-4.8963802979252305E-2</v>
      </c>
      <c r="M801" s="25">
        <f>+M455/[14]Result!$C$48</f>
        <v>1.7947395242336817</v>
      </c>
      <c r="N801" s="33">
        <f>+N455/[15]Result!$C$48</f>
        <v>2.5158936205264985E-2</v>
      </c>
      <c r="O801" s="25">
        <f>+O455/[16]Result!$C$48</f>
        <v>6.056603910100667E-2</v>
      </c>
      <c r="P801" s="25">
        <f>+P455/[17]Result!$C$48</f>
        <v>0.41661659063947909</v>
      </c>
      <c r="Q801" s="33">
        <f>+Q455/[18]Result!$C$48</f>
        <v>-8.3935703654949307E-3</v>
      </c>
      <c r="R801" s="33">
        <f>+R455/[19]Result!$C$48</f>
        <v>-2.1165263781969154E-4</v>
      </c>
      <c r="S801" s="34">
        <f>+S455/[20]Result!$C$48</f>
        <v>2.1084840477731192E-2</v>
      </c>
    </row>
    <row r="802" spans="1:20" hidden="1" outlineLevel="2" x14ac:dyDescent="0.25">
      <c r="A802" s="16" t="s">
        <v>51</v>
      </c>
      <c r="B802" s="25">
        <f>+B456/[21]Result!$C$49</f>
        <v>-2.7567255424331655E-2</v>
      </c>
      <c r="C802" s="25">
        <f>+C456/[1]Result!$C$49</f>
        <v>3.8430750084611394E-2</v>
      </c>
      <c r="D802" s="33">
        <f>+D456/[5]Result!$C$49</f>
        <v>-5.8986839534548065E-2</v>
      </c>
      <c r="E802" s="25">
        <f>+E456/[6]Result!$C$49</f>
        <v>3.277715178389428E-2</v>
      </c>
      <c r="F802" s="25">
        <f>+F456/[7]Result!$C$49</f>
        <v>-4.0703708019336787E-2</v>
      </c>
      <c r="G802" s="33">
        <f>+G456/[8]Result!$C$49</f>
        <v>3.0802799965074189E-2</v>
      </c>
      <c r="H802" s="25">
        <f>+H456/[9]Result!$C$49</f>
        <v>-1.9890891044235071E-2</v>
      </c>
      <c r="I802" s="25">
        <f>+I456/[10]Result!$C$49</f>
        <v>-2.4737177072275202E-2</v>
      </c>
      <c r="J802" s="33">
        <f>+J456/[11]Result!$C$49</f>
        <v>-3.6478275565591342E-2</v>
      </c>
      <c r="K802" s="25">
        <f>+K456/[12]Result!$C$49</f>
        <v>-8.632095610333877E-4</v>
      </c>
      <c r="L802" s="25">
        <f>+L456/[13]Result!$C$49</f>
        <v>-4.9034879293474304E-2</v>
      </c>
      <c r="M802" s="25">
        <f>+M456/[14]Result!$C$49</f>
        <v>1.5951007149401228</v>
      </c>
      <c r="N802" s="33">
        <f>+N456/[15]Result!$C$49</f>
        <v>2.530061177743903E-2</v>
      </c>
      <c r="O802" s="25">
        <f>+O456/[16]Result!$C$49</f>
        <v>6.1086239275788351E-2</v>
      </c>
      <c r="P802" s="25">
        <f>+P456/[17]Result!$C$49</f>
        <v>0.30480440683919446</v>
      </c>
      <c r="Q802" s="33">
        <f>+Q456/[18]Result!$C$49</f>
        <v>-8.3728887333611723E-3</v>
      </c>
      <c r="R802" s="33">
        <f>+R456/[19]Result!$C$49</f>
        <v>-2.1447048024830895E-4</v>
      </c>
      <c r="S802" s="34">
        <f>+S456/[20]Result!$C$49</f>
        <v>2.1353219126082543E-2</v>
      </c>
    </row>
    <row r="803" spans="1:20" hidden="1" outlineLevel="2" x14ac:dyDescent="0.25">
      <c r="A803" s="16" t="s">
        <v>52</v>
      </c>
      <c r="B803" s="25">
        <f>+B457/[21]Result!$C$50</f>
        <v>-2.7744020430334769E-2</v>
      </c>
      <c r="C803" s="25">
        <f>+C457/[1]Result!$C$50</f>
        <v>3.8614692691986655E-2</v>
      </c>
      <c r="D803" s="33">
        <f>+D457/[5]Result!$C$50</f>
        <v>-6.2065168921958562E-2</v>
      </c>
      <c r="E803" s="25">
        <f>+E457/[6]Result!$C$50</f>
        <v>3.2837979688198543E-2</v>
      </c>
      <c r="F803" s="25">
        <f>+F457/[7]Result!$C$50</f>
        <v>-4.0746784608141955E-2</v>
      </c>
      <c r="G803" s="33">
        <f>+G457/[8]Result!$C$50</f>
        <v>3.1997749422275415E-2</v>
      </c>
      <c r="H803" s="25">
        <f>+H457/[9]Result!$C$50</f>
        <v>-1.9683967713980576E-2</v>
      </c>
      <c r="I803" s="25">
        <f>+I457/[10]Result!$C$50</f>
        <v>-2.4852343134693276E-2</v>
      </c>
      <c r="J803" s="33">
        <f>+J457/[11]Result!$C$50</f>
        <v>-4.6395722795864916E-2</v>
      </c>
      <c r="K803" s="25">
        <f>+K457/[12]Result!$C$50</f>
        <v>-8.8255919356289671E-4</v>
      </c>
      <c r="L803" s="25">
        <f>+L457/[13]Result!$C$50</f>
        <v>-4.9057838497464208E-2</v>
      </c>
      <c r="M803" s="25">
        <f>+M457/[14]Result!$C$50</f>
        <v>1.4467929364576633</v>
      </c>
      <c r="N803" s="33">
        <f>+N457/[15]Result!$C$50</f>
        <v>2.5426969026785762E-2</v>
      </c>
      <c r="O803" s="25">
        <f>+O457/[16]Result!$C$50</f>
        <v>6.1328028455573329E-2</v>
      </c>
      <c r="P803" s="25">
        <f>+P457/[17]Result!$C$50</f>
        <v>0.30200256539088677</v>
      </c>
      <c r="Q803" s="33">
        <f>+Q457/[18]Result!$C$50</f>
        <v>-8.1230619735835913E-3</v>
      </c>
      <c r="R803" s="33">
        <f>+R457/[19]Result!$C$50</f>
        <v>-4.4067833916164203E-4</v>
      </c>
      <c r="S803" s="34">
        <f>+S457/[20]Result!$C$50</f>
        <v>2.1389835010069608E-2</v>
      </c>
    </row>
    <row r="804" spans="1:20" hidden="1" outlineLevel="2" x14ac:dyDescent="0.25">
      <c r="A804" s="16" t="s">
        <v>53</v>
      </c>
      <c r="B804" s="25">
        <f>+B458/[21]Result!$C$51</f>
        <v>-2.7682928640805838E-2</v>
      </c>
      <c r="C804" s="25">
        <f>+C458/[1]Result!$C$51</f>
        <v>3.8536770462485624E-2</v>
      </c>
      <c r="D804" s="33">
        <f>+D458/[5]Result!$C$51</f>
        <v>-5.986342434739339E-2</v>
      </c>
      <c r="E804" s="25">
        <f>+E458/[6]Result!$C$51</f>
        <v>3.286652181352618E-2</v>
      </c>
      <c r="F804" s="25">
        <f>+F458/[7]Result!$C$51</f>
        <v>-4.0968349727931785E-2</v>
      </c>
      <c r="G804" s="33">
        <f>+G458/[8]Result!$C$51</f>
        <v>4.3418017063715904E-2</v>
      </c>
      <c r="H804" s="25">
        <f>+H458/[9]Result!$C$51</f>
        <v>-1.966642264775963E-2</v>
      </c>
      <c r="I804" s="25">
        <f>+I458/[10]Result!$C$51</f>
        <v>-2.4952945220833016E-2</v>
      </c>
      <c r="J804" s="33">
        <f>+J458/[11]Result!$C$51</f>
        <v>-6.095726438770107E-2</v>
      </c>
      <c r="K804" s="25">
        <f>+K458/[12]Result!$C$51</f>
        <v>-9.0190657380520903E-4</v>
      </c>
      <c r="L804" s="25">
        <f>+L458/[13]Result!$C$51</f>
        <v>-4.92499376971497E-2</v>
      </c>
      <c r="M804" s="25">
        <f>+M458/[14]Result!$C$51</f>
        <v>1.0347392426223452</v>
      </c>
      <c r="N804" s="33">
        <f>+N458/[15]Result!$C$51</f>
        <v>2.5528624590937438E-2</v>
      </c>
      <c r="O804" s="25">
        <f>+O458/[16]Result!$C$51</f>
        <v>6.1758948550300938E-2</v>
      </c>
      <c r="P804" s="25">
        <f>+P458/[17]Result!$C$51</f>
        <v>0.4169499691917431</v>
      </c>
      <c r="Q804" s="33">
        <f>+Q458/[18]Result!$C$51</f>
        <v>-8.0761848684829177E-3</v>
      </c>
      <c r="R804" s="33">
        <f>+R458/[19]Result!$C$51</f>
        <v>-2.2641782437820269E-4</v>
      </c>
      <c r="S804" s="34">
        <f>+S458/[20]Result!$C$51</f>
        <v>2.117324224051122E-2</v>
      </c>
    </row>
    <row r="805" spans="1:20" hidden="1" outlineLevel="2" x14ac:dyDescent="0.25">
      <c r="A805" s="16" t="s">
        <v>54</v>
      </c>
      <c r="B805" s="25">
        <f>+B459/[21]Result!$C$52</f>
        <v>-2.7591252142748938E-2</v>
      </c>
      <c r="C805" s="25">
        <f>+C459/[1]Result!$C$52</f>
        <v>3.8413632297584599E-2</v>
      </c>
      <c r="D805" s="33">
        <f>+D459/[5]Result!$C$52</f>
        <v>-8.9720911811579887E-2</v>
      </c>
      <c r="E805" s="25">
        <f>+E459/[6]Result!$C$52</f>
        <v>3.3104730013086323E-2</v>
      </c>
      <c r="F805" s="25">
        <f>+F459/[7]Result!$C$52</f>
        <v>-4.1164336041494859E-2</v>
      </c>
      <c r="G805" s="33">
        <f>+G459/[8]Result!$C$52</f>
        <v>7.6088109986226005E-2</v>
      </c>
      <c r="H805" s="25">
        <f>+H459/[9]Result!$C$52</f>
        <v>-1.9859358668477357E-2</v>
      </c>
      <c r="I805" s="25">
        <f>+I459/[10]Result!$C$52</f>
        <v>-2.4806507932263626E-2</v>
      </c>
      <c r="J805" s="33">
        <f>+J459/[11]Result!$C$52</f>
        <v>-7.0551243107611683E-2</v>
      </c>
      <c r="K805" s="25">
        <f>+K459/[12]Result!$C$52</f>
        <v>-9.2125170216001708E-4</v>
      </c>
      <c r="L805" s="25">
        <f>+L459/[13]Result!$C$52</f>
        <v>-4.9187519389489981E-2</v>
      </c>
      <c r="M805" s="25">
        <f>+M459/[14]Result!$C$52</f>
        <v>0.2573742303992082</v>
      </c>
      <c r="N805" s="33">
        <f>+N459/[15]Result!$C$52</f>
        <v>2.5850132340961632E-2</v>
      </c>
      <c r="O805" s="25">
        <f>+O459/[16]Result!$C$52</f>
        <v>6.2149114945423911E-2</v>
      </c>
      <c r="P805" s="25">
        <f>+P459/[17]Result!$C$52</f>
        <v>0.90048768446672545</v>
      </c>
      <c r="Q805" s="33">
        <f>+Q459/[18]Result!$C$52</f>
        <v>-8.2490768960606572E-3</v>
      </c>
      <c r="R805" s="33">
        <f>+R459/[19]Result!$C$52</f>
        <v>-2.2874844435973304E-4</v>
      </c>
      <c r="S805" s="34">
        <f>+S459/[20]Result!$C$52</f>
        <v>2.1396836818420185E-2</v>
      </c>
    </row>
    <row r="806" spans="1:20" hidden="1" outlineLevel="2" x14ac:dyDescent="0.25">
      <c r="A806" s="16" t="s">
        <v>55</v>
      </c>
      <c r="B806" s="25">
        <f>+B460/[21]Result!$C$53</f>
        <v>-2.7701956230408723E-2</v>
      </c>
      <c r="C806" s="25">
        <f>+C460/[1]Result!$C$53</f>
        <v>3.8499243814454069E-2</v>
      </c>
      <c r="D806" s="33">
        <f>+D460/[5]Result!$C$53</f>
        <v>-0.11339434843659643</v>
      </c>
      <c r="E806" s="25">
        <f>+E460/[6]Result!$C$53</f>
        <v>3.3080699724360015E-2</v>
      </c>
      <c r="F806" s="25">
        <f>+F460/[7]Result!$C$53</f>
        <v>-4.1105160282377061E-2</v>
      </c>
      <c r="G806" s="33">
        <f>+G460/[8]Result!$C$53</f>
        <v>2.6288311724097763E-2</v>
      </c>
      <c r="H806" s="25">
        <f>+H460/[9]Result!$C$53</f>
        <v>-1.9810883349408639E-2</v>
      </c>
      <c r="I806" s="25">
        <f>+I460/[10]Result!$C$53</f>
        <v>-2.5090354582743179E-2</v>
      </c>
      <c r="J806" s="33">
        <f>+J460/[11]Result!$C$53</f>
        <v>-8.9903282665059245E-2</v>
      </c>
      <c r="K806" s="25">
        <f>+K460/[12]Result!$C$53</f>
        <v>-9.4060141241888821E-4</v>
      </c>
      <c r="L806" s="25">
        <f>+L460/[13]Result!$C$53</f>
        <v>-4.9298901274128511E-2</v>
      </c>
      <c r="M806" s="25">
        <f>+M460/[14]Result!$C$53</f>
        <v>-0.88847451230371277</v>
      </c>
      <c r="N806" s="33">
        <f>+N460/[15]Result!$C$53</f>
        <v>2.5680286012010049E-2</v>
      </c>
      <c r="O806" s="25">
        <f>+O460/[16]Result!$C$53</f>
        <v>6.2497877157391239E-2</v>
      </c>
      <c r="P806" s="25">
        <f>+P460/[17]Result!$C$53</f>
        <v>11.985975977112728</v>
      </c>
      <c r="Q806" s="33">
        <f>+Q460/[18]Result!$C$53</f>
        <v>-8.1902986052599432E-3</v>
      </c>
      <c r="R806" s="33">
        <f>+R460/[19]Result!$C$53</f>
        <v>-4.6971397821943766E-4</v>
      </c>
      <c r="S806" s="34">
        <f>+S460/[20]Result!$C$53</f>
        <v>2.1374568547981591E-2</v>
      </c>
    </row>
    <row r="807" spans="1:20" hidden="1" outlineLevel="2" x14ac:dyDescent="0.25">
      <c r="A807" s="16" t="s">
        <v>56</v>
      </c>
      <c r="B807" s="25">
        <f>+B461/[21]Result!$C$54</f>
        <v>-2.7793696193707258E-2</v>
      </c>
      <c r="C807" s="25">
        <f>+C461/[1]Result!$C$54</f>
        <v>3.8551652456326982E-2</v>
      </c>
      <c r="D807" s="33">
        <f>+D461/[5]Result!$C$54</f>
        <v>-0.1724865732070906</v>
      </c>
      <c r="E807" s="25">
        <f>+E461/[6]Result!$C$54</f>
        <v>3.2776733185724632E-2</v>
      </c>
      <c r="F807" s="25">
        <f>+F461/[7]Result!$C$54</f>
        <v>-4.1008693592993979E-2</v>
      </c>
      <c r="G807" s="33">
        <f>+G461/[8]Result!$C$54</f>
        <v>8.1966119616417171E-2</v>
      </c>
      <c r="H807" s="25">
        <f>+H461/[9]Result!$C$54</f>
        <v>-1.9743379323848839E-2</v>
      </c>
      <c r="I807" s="25">
        <f>+I461/[10]Result!$C$54</f>
        <v>-2.513474086540847E-2</v>
      </c>
      <c r="J807" s="33">
        <f>+J461/[11]Result!$C$54</f>
        <v>-9.8205718573856668E-2</v>
      </c>
      <c r="K807" s="25">
        <f>+K461/[12]Result!$C$54</f>
        <v>-9.5995153288235555E-4</v>
      </c>
      <c r="L807" s="25">
        <f>+L461/[13]Result!$C$54</f>
        <v>-4.9605460173349124E-2</v>
      </c>
      <c r="M807" s="25">
        <f>+M461/[14]Result!$C$54</f>
        <v>-1.0008895825851918</v>
      </c>
      <c r="N807" s="33">
        <f>+N461/[15]Result!$C$54</f>
        <v>2.5477760233334701E-2</v>
      </c>
      <c r="O807" s="25">
        <f>+O461/[16]Result!$C$54</f>
        <v>6.2805609131141249E-2</v>
      </c>
      <c r="P807" s="25">
        <f>+P461/[17]Result!$C$54</f>
        <v>-2.7095803696127872E-2</v>
      </c>
      <c r="Q807" s="33">
        <f>+Q461/[18]Result!$C$54</f>
        <v>-8.1191571783926983E-3</v>
      </c>
      <c r="R807" s="33">
        <f>+R461/[19]Result!$C$54</f>
        <v>-4.7938991344011314E-4</v>
      </c>
      <c r="S807" s="34">
        <f>+S461/[20]Result!$C$54</f>
        <v>2.1326867047867862E-2</v>
      </c>
    </row>
    <row r="808" spans="1:20" collapsed="1" x14ac:dyDescent="0.25">
      <c r="A808" s="12" t="s">
        <v>90</v>
      </c>
      <c r="B808" s="25">
        <f>+B462/SUM([21]Result!$K$5:$K$54)</f>
        <v>-9.8025246857751862E-4</v>
      </c>
      <c r="C808" s="25">
        <f>+C462/SUM([1]Result!$K$5:$K$54)</f>
        <v>1.6626735472960138E-3</v>
      </c>
      <c r="D808" s="33">
        <f>+D462/SUM([5]Result!$K$5:$K$54)</f>
        <v>3.2163105096854681E-2</v>
      </c>
      <c r="E808" s="25">
        <f>+E462/SUM([6]Result!$K$5:$K$54)</f>
        <v>3.6382205435640975E-3</v>
      </c>
      <c r="F808" s="25">
        <f>+F462/SUM([7]Result!$K$5:$K$54)</f>
        <v>-1.1931529162745732E-3</v>
      </c>
      <c r="G808" s="33">
        <f>+G462/SUM([8]Result!$K$5:$K$54)</f>
        <v>-3.0983530734237971E-2</v>
      </c>
      <c r="H808" s="29">
        <f>+H462/SUM([9]Result!$K$5:$K$54)</f>
        <v>-1.2597399004345131E-3</v>
      </c>
      <c r="I808" s="29">
        <f>+I462/SUM([10]Result!$K$5:$K$54)</f>
        <v>1.2713522986045403E-4</v>
      </c>
      <c r="J808" s="33">
        <f>+J462/SUM([11]Result!$K$5:$K$54)</f>
        <v>3.0923122279830095E-3</v>
      </c>
      <c r="K808" s="29">
        <f>+K462/SUM([12]Result!$K$5:$K$54)</f>
        <v>4.8541536817344448E-4</v>
      </c>
      <c r="L808" s="29">
        <f>+L462/SUM([13]Result!$K$5:$K$54)</f>
        <v>-1.530259069476525E-3</v>
      </c>
      <c r="M808" s="65">
        <f>+M462/SUM([14]Result!$K$5:$K$54)</f>
        <v>-0.10283742954504446</v>
      </c>
      <c r="N808" s="29">
        <f>+N462/SUM([15]Result!$K$5:$K$54)</f>
        <v>7.4572416586017696E-4</v>
      </c>
      <c r="O808" s="29">
        <f>+O462/SUM([16]Result!$K$5:$K$54)</f>
        <v>2.1967218135308404E-3</v>
      </c>
      <c r="P808" s="65">
        <f>+P462/SUM([17]Result!$K$5:$K$54)</f>
        <v>0.11495348194960617</v>
      </c>
      <c r="Q808" s="29">
        <f>+Q462/SUM([18]Result!$K$5:$K$54)</f>
        <v>-2.5164886765097774E-4</v>
      </c>
      <c r="R808" s="29">
        <f>+R462/SUM([19]Result!$K$5:$K$54)</f>
        <v>1.1493534785778038E-3</v>
      </c>
      <c r="S808" s="63">
        <f>+S462/SUM([20]Result!$K$5:$K$54)</f>
        <v>6.0035914404509569E-4</v>
      </c>
      <c r="T808" s="13"/>
    </row>
    <row r="809" spans="1:20" hidden="1" outlineLevel="1" x14ac:dyDescent="0.25">
      <c r="A809" s="15" t="s">
        <v>2</v>
      </c>
      <c r="B809" s="25">
        <f>+B463/'[21]Stat by Mat'!$M$3</f>
        <v>-3.6511586941508415E-4</v>
      </c>
      <c r="C809" s="25">
        <f>+C463/'[1]Stat by Mat'!$M$3</f>
        <v>7.436295213077282E-4</v>
      </c>
      <c r="D809" s="33">
        <f>+D463/'[5]Stat by Mat'!$M$3</f>
        <v>5.0885392810445851E-2</v>
      </c>
      <c r="E809" s="25">
        <f>+E463/'[6]Stat by Mat'!$M$3</f>
        <v>1.6274054456745135E-3</v>
      </c>
      <c r="F809" s="25">
        <f>+F463/'[7]Stat by Mat'!$M$3</f>
        <v>-2.970001447590684E-4</v>
      </c>
      <c r="G809" s="33">
        <f>+G463/'[8]Stat by Mat'!$M$3</f>
        <v>-3.6106578552289909E-2</v>
      </c>
      <c r="H809" s="25">
        <f>+H463/'[9]Stat by Mat'!$M$3</f>
        <v>-5.3554863815238744E-4</v>
      </c>
      <c r="I809" s="25">
        <f>+I463/'[10]Stat by Mat'!$M$3</f>
        <v>2.413772257721142E-4</v>
      </c>
      <c r="J809" s="33">
        <f>+J463/'[11]Stat by Mat'!$M$3</f>
        <v>2.2281877744640788E-3</v>
      </c>
      <c r="K809" s="25">
        <f>+K463/'[12]Stat by Mat'!$M$3</f>
        <v>1.9392707895269813E-4</v>
      </c>
      <c r="L809" s="25">
        <f>+L463/'[13]Stat by Mat'!$M$3</f>
        <v>-2.8724934061499134E-4</v>
      </c>
      <c r="M809" s="25">
        <f>+M463/'[14]Stat by Mat'!$M$3</f>
        <v>-7.9713441781710831E-2</v>
      </c>
      <c r="N809" s="33">
        <f>+N463/'[15]Stat by Mat'!$M$3</f>
        <v>2.4256487229954948E-4</v>
      </c>
      <c r="O809" s="25">
        <f>+O463/'[16]Stat by Mat'!$M$3</f>
        <v>5.8936617168307934E-4</v>
      </c>
      <c r="P809" s="25">
        <f>+P463/'[17]Stat by Mat'!$M$3</f>
        <v>0.12693181784567284</v>
      </c>
      <c r="Q809" s="33">
        <f>+Q463/'[18]Stat by Mat'!$M$3</f>
        <v>-1.4878551088065055E-4</v>
      </c>
      <c r="R809" s="33">
        <f>+R463/'[19]Stat by Mat'!$M$3</f>
        <v>6.2934449497603032E-4</v>
      </c>
      <c r="S809" s="34">
        <f>+S463/'[20]Stat by Mat'!$M$3</f>
        <v>1.0480443211386367E-4</v>
      </c>
    </row>
    <row r="810" spans="1:20" ht="15" hidden="1" customHeight="1" outlineLevel="2" x14ac:dyDescent="0.25">
      <c r="A810" s="16" t="s">
        <v>3</v>
      </c>
      <c r="B810" s="25">
        <f>+B464/[21]Result!$K$5</f>
        <v>-6.9407192106934115E-5</v>
      </c>
      <c r="C810" s="25">
        <f>+C464/[1]Result!$K$5</f>
        <v>1.8844900294185947E-4</v>
      </c>
      <c r="D810" s="33">
        <f>+D464/[5]Result!$K$5</f>
        <v>2.4696204844273512E-3</v>
      </c>
      <c r="E810" s="25">
        <f>+E464/[6]Result!$K$5</f>
        <v>3.5241242516001903E-4</v>
      </c>
      <c r="F810" s="25">
        <f>+F464/[7]Result!$K$5</f>
        <v>-1.9860462293743725E-5</v>
      </c>
      <c r="G810" s="33">
        <f>+G464/[8]Result!$K$5</f>
        <v>-9.1257896227801477E-2</v>
      </c>
      <c r="H810" s="25">
        <f>+H464/[9]Result!$K$5</f>
        <v>-8.4382176202094181E-5</v>
      </c>
      <c r="I810" s="25">
        <f>+I464/[10]Result!$K$5</f>
        <v>1.4890154163940109E-5</v>
      </c>
      <c r="J810" s="33">
        <f>+J464/[11]Result!$K$5</f>
        <v>-5.3417513485247099E-2</v>
      </c>
      <c r="K810" s="25">
        <f>+K464/[12]Result!$K$5</f>
        <v>-4.9622234507411672E-6</v>
      </c>
      <c r="L810" s="25">
        <f>+L464/[13]Result!$K$5</f>
        <v>-1.4886151775649589E-5</v>
      </c>
      <c r="M810" s="25">
        <f>+M464/[14]Result!$K$5</f>
        <v>-6.1928746903170143E-2</v>
      </c>
      <c r="N810" s="33">
        <f>+N464/[15]Result!$K$5</f>
        <v>4.9613587447420397E-6</v>
      </c>
      <c r="O810" s="25">
        <f>+O464/[16]Result!$K$5</f>
        <v>3.4732103129945236E-5</v>
      </c>
      <c r="P810" s="25">
        <f>+P464/[17]Result!$K$5</f>
        <v>0.1702352271247784</v>
      </c>
      <c r="Q810" s="33">
        <f>+Q464/[18]Result!$K$5</f>
        <v>-8.9110512939380361E-5</v>
      </c>
      <c r="R810" s="33">
        <f>+R464/[19]Result!$K$5</f>
        <v>1.03974629085422E-4</v>
      </c>
      <c r="S810" s="34">
        <f>+S464/[20]Result!$K$5</f>
        <v>4.9517402034137932E-6</v>
      </c>
    </row>
    <row r="811" spans="1:20" hidden="1" outlineLevel="2" x14ac:dyDescent="0.25">
      <c r="A811" s="16" t="s">
        <v>4</v>
      </c>
      <c r="B811" s="25">
        <f>+B465/[21]Result!$K$6</f>
        <v>-3.0700841316928069E-4</v>
      </c>
      <c r="C811" s="25">
        <f>+C465/[1]Result!$K$6</f>
        <v>6.2480760387826674E-4</v>
      </c>
      <c r="D811" s="33">
        <f>+D465/[5]Result!$K$6</f>
        <v>0.18239510347320342</v>
      </c>
      <c r="E811" s="25">
        <f>+E465/[6]Result!$K$6</f>
        <v>1.4139931610076097E-3</v>
      </c>
      <c r="F811" s="25">
        <f>+F465/[7]Result!$K$6</f>
        <v>-2.0801265084133863E-4</v>
      </c>
      <c r="G811" s="33">
        <f>+G465/[8]Result!$K$6</f>
        <v>2.3199431578165449E-2</v>
      </c>
      <c r="H811" s="25">
        <f>+H465/[9]Result!$K$6</f>
        <v>-4.2108388967804884E-4</v>
      </c>
      <c r="I811" s="25">
        <f>+I465/[10]Result!$K$6</f>
        <v>1.4353241197067725E-4</v>
      </c>
      <c r="J811" s="33">
        <f>+J465/[11]Result!$K$6</f>
        <v>3.5988720653977388E-2</v>
      </c>
      <c r="K811" s="25">
        <f>+K465/[12]Result!$K$6</f>
        <v>1.0372344209352055E-4</v>
      </c>
      <c r="L811" s="25">
        <f>+L465/[13]Result!$K$6</f>
        <v>-1.632239913130499E-4</v>
      </c>
      <c r="M811" s="25">
        <f>+M465/[14]Result!$K$6</f>
        <v>-8.4819762279227717E-2</v>
      </c>
      <c r="N811" s="33">
        <f>+N465/[15]Result!$K$6</f>
        <v>1.2352855745469701E-4</v>
      </c>
      <c r="O811" s="25">
        <f>+O465/[16]Result!$K$6</f>
        <v>3.0180431772508509E-4</v>
      </c>
      <c r="P811" s="25">
        <f>+P465/[17]Result!$K$6</f>
        <v>0.12457000217177365</v>
      </c>
      <c r="Q811" s="33">
        <f>+Q465/[18]Result!$K$6</f>
        <v>-2.7696400106861838E-4</v>
      </c>
      <c r="R811" s="33">
        <f>+R465/[19]Result!$K$6</f>
        <v>5.3833933083092861E-4</v>
      </c>
      <c r="S811" s="34">
        <f>+S465/[20]Result!$K$6</f>
        <v>7.3956746638961251E-5</v>
      </c>
    </row>
    <row r="812" spans="1:20" hidden="1" outlineLevel="2" x14ac:dyDescent="0.25">
      <c r="A812" s="16" t="s">
        <v>5</v>
      </c>
      <c r="B812" s="25">
        <f>+B466/[21]Result!$K$7</f>
        <v>-7.5620035469904201E-4</v>
      </c>
      <c r="C812" s="25">
        <f>+C466/[1]Result!$K$7</f>
        <v>1.3856296481780115E-3</v>
      </c>
      <c r="D812" s="33">
        <f>+D466/[5]Result!$K$7</f>
        <v>7.9103519745108101E-3</v>
      </c>
      <c r="E812" s="25">
        <f>+E466/[6]Result!$K$7</f>
        <v>3.0242087010374456E-3</v>
      </c>
      <c r="F812" s="25">
        <f>+F466/[7]Result!$K$7</f>
        <v>-5.8899116582231939E-4</v>
      </c>
      <c r="G812" s="33">
        <f>+G466/[8]Result!$K$7</f>
        <v>-5.296905760463824E-3</v>
      </c>
      <c r="H812" s="25">
        <f>+H466/[9]Result!$K$7</f>
        <v>-1.0334578837717058E-3</v>
      </c>
      <c r="I812" s="25">
        <f>+I466/[10]Result!$K$7</f>
        <v>5.1398591262811761E-4</v>
      </c>
      <c r="J812" s="33">
        <f>+J466/[11]Result!$K$7</f>
        <v>7.933912158677181E-2</v>
      </c>
      <c r="K812" s="25">
        <f>+K466/[12]Result!$K$7</f>
        <v>3.7571687319686253E-4</v>
      </c>
      <c r="L812" s="25">
        <f>+L466/[13]Result!$K$7</f>
        <v>-4.8929915995248301E-4</v>
      </c>
      <c r="M812" s="25">
        <f>+M466/[14]Result!$K$7</f>
        <v>-7.5696860318632445E-2</v>
      </c>
      <c r="N812" s="33">
        <f>+N466/[15]Result!$K$7</f>
        <v>5.0344527336338514E-4</v>
      </c>
      <c r="O812" s="25">
        <f>+O466/[16]Result!$K$7</f>
        <v>1.022934962641178E-3</v>
      </c>
      <c r="P812" s="25">
        <f>+P466/[17]Result!$K$7</f>
        <v>6.358027554966135E-2</v>
      </c>
      <c r="Q812" s="33">
        <f>+Q466/[18]Result!$K$7</f>
        <v>-2.0448420500248404E-4</v>
      </c>
      <c r="R812" s="33">
        <f>+R466/[19]Result!$K$7</f>
        <v>1.2341849947309514E-3</v>
      </c>
      <c r="S812" s="34">
        <f>+S466/[20]Result!$K$7</f>
        <v>1.581942751033002E-4</v>
      </c>
    </row>
    <row r="813" spans="1:20" hidden="1" outlineLevel="2" x14ac:dyDescent="0.25">
      <c r="A813" s="16" t="s">
        <v>6</v>
      </c>
      <c r="B813" s="25">
        <f>+B467/[21]Result!$K$8</f>
        <v>-1.1518058474964531E-3</v>
      </c>
      <c r="C813" s="25">
        <f>+C467/[1]Result!$K$8</f>
        <v>2.2179415962831411E-3</v>
      </c>
      <c r="D813" s="33">
        <f>+D467/[5]Result!$K$8</f>
        <v>2.059690581314964E-2</v>
      </c>
      <c r="E813" s="25">
        <f>+E467/[6]Result!$K$8</f>
        <v>4.9361305268509174E-3</v>
      </c>
      <c r="F813" s="25">
        <f>+F467/[7]Result!$K$8</f>
        <v>-1.092110406121801E-3</v>
      </c>
      <c r="G813" s="33">
        <f>+G467/[8]Result!$K$8</f>
        <v>8.1440874594380247E-4</v>
      </c>
      <c r="H813" s="25">
        <f>+H467/[9]Result!$K$8</f>
        <v>-1.6844042528707506E-3</v>
      </c>
      <c r="I813" s="25">
        <f>+I467/[10]Result!$K$8</f>
        <v>9.1994589231843608E-4</v>
      </c>
      <c r="J813" s="33">
        <f>+J467/[11]Result!$K$8</f>
        <v>4.3989536326083739E-2</v>
      </c>
      <c r="K813" s="25">
        <f>+K467/[12]Result!$K$8</f>
        <v>7.2128920628268729E-4</v>
      </c>
      <c r="L813" s="25">
        <f>+L467/[13]Result!$K$8</f>
        <v>-9.9163714844382762E-4</v>
      </c>
      <c r="M813" s="25">
        <f>+M467/[14]Result!$K$8</f>
        <v>-0.11148458259568765</v>
      </c>
      <c r="N813" s="33">
        <f>+N467/[15]Result!$K$8</f>
        <v>9.3863927747500403E-4</v>
      </c>
      <c r="O813" s="25">
        <f>+O467/[16]Result!$K$8</f>
        <v>2.2376094946372155E-3</v>
      </c>
      <c r="P813" s="25">
        <f>+P467/[17]Result!$K$8</f>
        <v>4.9016003889896367E-2</v>
      </c>
      <c r="Q813" s="33">
        <f>+Q467/[18]Result!$K$8</f>
        <v>4.3671331798626283E-5</v>
      </c>
      <c r="R813" s="33">
        <f>+R467/[19]Result!$K$8</f>
        <v>1.9634474102887471E-3</v>
      </c>
      <c r="S813" s="34">
        <f>+S467/[20]Result!$K$8</f>
        <v>3.4417998380675548E-4</v>
      </c>
    </row>
    <row r="814" spans="1:20" hidden="1" outlineLevel="2" x14ac:dyDescent="0.25">
      <c r="A814" s="16" t="s">
        <v>7</v>
      </c>
      <c r="B814" s="25">
        <f>+B468/[21]Result!$K$9</f>
        <v>-1.4216793915648048E-3</v>
      </c>
      <c r="C814" s="25">
        <f>+C468/[1]Result!$K$9</f>
        <v>3.0221886105701516E-3</v>
      </c>
      <c r="D814" s="33">
        <f>+D468/[5]Result!$K$9</f>
        <v>-9.33069904153222E-3</v>
      </c>
      <c r="E814" s="25">
        <f>+E468/[6]Result!$K$9</f>
        <v>6.987934287793352E-3</v>
      </c>
      <c r="F814" s="25">
        <f>+F468/[7]Result!$K$9</f>
        <v>-1.6294852768682973E-3</v>
      </c>
      <c r="G814" s="33">
        <f>+G468/[8]Result!$K$9</f>
        <v>2.7193687861678294E-3</v>
      </c>
      <c r="H814" s="25">
        <f>+H468/[9]Result!$K$9</f>
        <v>-2.2933655313020526E-3</v>
      </c>
      <c r="I814" s="25">
        <f>+I468/[10]Result!$K$9</f>
        <v>1.1761975596656404E-3</v>
      </c>
      <c r="J814" s="33">
        <f>+J468/[11]Result!$K$9</f>
        <v>2.3203529399669676E-2</v>
      </c>
      <c r="K814" s="25">
        <f>+K468/[12]Result!$K$9</f>
        <v>1.120659289557692E-3</v>
      </c>
      <c r="L814" s="25">
        <f>+L468/[13]Result!$K$9</f>
        <v>-1.7097150448721391E-3</v>
      </c>
      <c r="M814" s="25">
        <f>+M468/[14]Result!$K$9</f>
        <v>-0.1564277208160503</v>
      </c>
      <c r="N814" s="33">
        <f>+N468/[15]Result!$K$9</f>
        <v>1.3661867064862639E-3</v>
      </c>
      <c r="O814" s="25">
        <f>+O468/[16]Result!$K$9</f>
        <v>3.7546905460577691E-3</v>
      </c>
      <c r="P814" s="25">
        <f>+P468/[17]Result!$K$9</f>
        <v>5.9804640949319976E-2</v>
      </c>
      <c r="Q814" s="33">
        <f>+Q468/[18]Result!$K$9</f>
        <v>5.9772648677847632E-5</v>
      </c>
      <c r="R814" s="33">
        <f>+R468/[19]Result!$K$9</f>
        <v>2.6918972566029238E-3</v>
      </c>
      <c r="S814" s="34">
        <f>+S468/[20]Result!$K$9</f>
        <v>7.9650184424167822E-4</v>
      </c>
    </row>
    <row r="815" spans="1:20" hidden="1" outlineLevel="1" x14ac:dyDescent="0.25">
      <c r="A815" s="15" t="s">
        <v>8</v>
      </c>
      <c r="B815" s="25">
        <f>+B469/'[21]Stat by Mat'!$M$4</f>
        <v>-2.2593486544375727E-3</v>
      </c>
      <c r="C815" s="25">
        <f>+C469/'[1]Stat by Mat'!$M$4</f>
        <v>4.8320607463425147E-3</v>
      </c>
      <c r="D815" s="33">
        <f>+D469/'[5]Stat by Mat'!$M$4</f>
        <v>-3.5026812476340964E-2</v>
      </c>
      <c r="E815" s="25">
        <f>+E469/'[6]Stat by Mat'!$M$4</f>
        <v>1.1332498978562512E-2</v>
      </c>
      <c r="F815" s="25">
        <f>+F469/'[7]Stat by Mat'!$M$4</f>
        <v>-3.1318705117830792E-3</v>
      </c>
      <c r="G815" s="33">
        <f>+G469/'[8]Stat by Mat'!$M$4</f>
        <v>2.5912655285678095E-3</v>
      </c>
      <c r="H815" s="25">
        <f>+H469/'[9]Stat by Mat'!$M$4</f>
        <v>-3.5840641505859032E-3</v>
      </c>
      <c r="I815" s="25">
        <f>+I469/'[10]Stat by Mat'!$M$4</f>
        <v>1.3275004921225843E-3</v>
      </c>
      <c r="J815" s="33">
        <f>+J469/'[11]Stat by Mat'!$M$4</f>
        <v>3.1336303820442284E-3</v>
      </c>
      <c r="K815" s="25">
        <f>+K469/'[12]Stat by Mat'!$M$4</f>
        <v>1.9378388555105935E-3</v>
      </c>
      <c r="L815" s="25">
        <f>+L469/'[13]Stat by Mat'!$M$4</f>
        <v>-4.2734115773842025E-3</v>
      </c>
      <c r="M815" s="25">
        <f>+M469/'[14]Stat by Mat'!$M$4</f>
        <v>-0.20885874329926718</v>
      </c>
      <c r="N815" s="33">
        <f>+N469/'[15]Stat by Mat'!$M$4</f>
        <v>2.6236665096648123E-3</v>
      </c>
      <c r="O815" s="25">
        <f>+O469/'[16]Stat by Mat'!$M$4</f>
        <v>7.909030911290537E-3</v>
      </c>
      <c r="P815" s="25">
        <f>+P469/'[17]Stat by Mat'!$M$4</f>
        <v>4.9190478352970281E-2</v>
      </c>
      <c r="Q815" s="33">
        <f>+Q469/'[18]Stat by Mat'!$M$4</f>
        <v>-1.4425742258490225E-4</v>
      </c>
      <c r="R815" s="33">
        <f>+R469/'[19]Stat by Mat'!$M$4</f>
        <v>4.4272830871735312E-3</v>
      </c>
      <c r="S815" s="34">
        <f>+S469/'[20]Stat by Mat'!$M$4</f>
        <v>2.1654421172582084E-3</v>
      </c>
    </row>
    <row r="816" spans="1:20" hidden="1" outlineLevel="2" x14ac:dyDescent="0.25">
      <c r="A816" s="16" t="s">
        <v>9</v>
      </c>
      <c r="B816" s="25">
        <f>+B470/[21]Result!$K$10</f>
        <v>-1.765040194930634E-3</v>
      </c>
      <c r="C816" s="25">
        <f>+C470/[1]Result!$K$10</f>
        <v>3.9217003747986116E-3</v>
      </c>
      <c r="D816" s="33">
        <f>+D470/[5]Result!$K$10</f>
        <v>-2.0758657496530331E-2</v>
      </c>
      <c r="E816" s="25">
        <f>+E470/[6]Result!$K$10</f>
        <v>8.9504905304410038E-3</v>
      </c>
      <c r="F816" s="25">
        <f>+F470/[7]Result!$K$10</f>
        <v>-2.1790132657614064E-3</v>
      </c>
      <c r="G816" s="33">
        <f>+G470/[8]Result!$K$10</f>
        <v>-1.6353039830490582E-3</v>
      </c>
      <c r="H816" s="25">
        <f>+H470/[9]Result!$K$10</f>
        <v>-2.8716670024826274E-3</v>
      </c>
      <c r="I816" s="25">
        <f>+I470/[10]Result!$K$10</f>
        <v>1.3822171251972337E-3</v>
      </c>
      <c r="J816" s="33">
        <f>+J470/[11]Result!$K$10</f>
        <v>8.353988839009098E-3</v>
      </c>
      <c r="K816" s="25">
        <f>+K470/[12]Result!$K$10</f>
        <v>1.5244817717869146E-3</v>
      </c>
      <c r="L816" s="25">
        <f>+L470/[13]Result!$K$10</f>
        <v>-2.6511533847703808E-3</v>
      </c>
      <c r="M816" s="25">
        <f>+M470/[14]Result!$K$10</f>
        <v>-0.17137351808710172</v>
      </c>
      <c r="N816" s="33">
        <f>+N470/[15]Result!$K$10</f>
        <v>1.8776117791644356E-3</v>
      </c>
      <c r="O816" s="25">
        <f>+O470/[16]Result!$K$10</f>
        <v>5.3542052329510273E-3</v>
      </c>
      <c r="P816" s="25">
        <f>+P470/[17]Result!$K$10</f>
        <v>4.9071342105606867E-2</v>
      </c>
      <c r="Q816" s="33">
        <f>+Q470/[18]Result!$K$10</f>
        <v>0</v>
      </c>
      <c r="R816" s="33">
        <f>+R470/[19]Result!$K$10</f>
        <v>3.4483490551251118E-3</v>
      </c>
      <c r="S816" s="34">
        <f>+S470/[20]Result!$K$10</f>
        <v>1.3379736767036895E-3</v>
      </c>
    </row>
    <row r="817" spans="1:19" hidden="1" outlineLevel="2" x14ac:dyDescent="0.25">
      <c r="A817" s="16" t="s">
        <v>10</v>
      </c>
      <c r="B817" s="25">
        <f>+B471/[21]Result!$K$11</f>
        <v>-1.9767834103125736E-3</v>
      </c>
      <c r="C817" s="25">
        <f>+C471/[1]Result!$K$11</f>
        <v>4.5199768399373013E-3</v>
      </c>
      <c r="D817" s="33">
        <f>+D471/[5]Result!$K$11</f>
        <v>-2.4356134162011257E-2</v>
      </c>
      <c r="E817" s="25">
        <f>+E471/[6]Result!$K$11</f>
        <v>1.0659758364871281E-2</v>
      </c>
      <c r="F817" s="25">
        <f>+F471/[7]Result!$K$11</f>
        <v>-2.7576734906409601E-3</v>
      </c>
      <c r="G817" s="33">
        <f>+G471/[8]Result!$K$11</f>
        <v>3.010648301148367E-3</v>
      </c>
      <c r="H817" s="25">
        <f>+H471/[9]Result!$K$11</f>
        <v>-3.3210693620441328E-3</v>
      </c>
      <c r="I817" s="25">
        <f>+I471/[10]Result!$K$11</f>
        <v>1.4998556742791857E-3</v>
      </c>
      <c r="J817" s="33">
        <f>+J471/[11]Result!$K$11</f>
        <v>5.2781037675674429E-3</v>
      </c>
      <c r="K817" s="25">
        <f>+K471/[12]Result!$K$11</f>
        <v>1.8247590176089837E-3</v>
      </c>
      <c r="L817" s="25">
        <f>+L471/[13]Result!$K$11</f>
        <v>-3.6557572977343787E-3</v>
      </c>
      <c r="M817" s="25">
        <f>+M471/[14]Result!$K$11</f>
        <v>-0.1877337889480391</v>
      </c>
      <c r="N817" s="33">
        <f>+N471/[15]Result!$K$11</f>
        <v>2.4416621142296026E-3</v>
      </c>
      <c r="O817" s="25">
        <f>+O471/[16]Result!$K$11</f>
        <v>7.0566296971658832E-3</v>
      </c>
      <c r="P817" s="25">
        <f>+P471/[17]Result!$K$11</f>
        <v>5.1348175116998469E-2</v>
      </c>
      <c r="Q817" s="33">
        <f>+Q471/[18]Result!$K$11</f>
        <v>-3.3992762829813574E-5</v>
      </c>
      <c r="R817" s="33">
        <f>+R471/[19]Result!$K$11</f>
        <v>4.160923070522903E-3</v>
      </c>
      <c r="S817" s="34">
        <f>+S471/[20]Result!$K$11</f>
        <v>1.8294025572426181E-3</v>
      </c>
    </row>
    <row r="818" spans="1:19" hidden="1" outlineLevel="2" x14ac:dyDescent="0.25">
      <c r="A818" s="16" t="s">
        <v>11</v>
      </c>
      <c r="B818" s="25">
        <f>+B472/[21]Result!$K$12</f>
        <v>-2.1802397162934985E-3</v>
      </c>
      <c r="C818" s="25">
        <f>+C472/[1]Result!$K$12</f>
        <v>4.9614308830903823E-3</v>
      </c>
      <c r="D818" s="33">
        <f>+D472/[5]Result!$K$12</f>
        <v>-2.9992220757390144E-2</v>
      </c>
      <c r="E818" s="25">
        <f>+E472/[6]Result!$K$12</f>
        <v>1.2183315403695608E-2</v>
      </c>
      <c r="F818" s="25">
        <f>+F472/[7]Result!$K$12</f>
        <v>-3.3632764018383509E-3</v>
      </c>
      <c r="G818" s="33">
        <f>+G472/[8]Result!$K$12</f>
        <v>6.6786842924717116E-3</v>
      </c>
      <c r="H818" s="25">
        <f>+H472/[9]Result!$K$12</f>
        <v>-3.7193568944116724E-3</v>
      </c>
      <c r="I818" s="25">
        <f>+I472/[10]Result!$K$12</f>
        <v>1.4304168488801436E-3</v>
      </c>
      <c r="J818" s="33">
        <f>+J472/[11]Result!$K$12</f>
        <v>3.3676913632514002E-3</v>
      </c>
      <c r="K818" s="25">
        <f>+K472/[12]Result!$K$12</f>
        <v>2.0689854585807738E-3</v>
      </c>
      <c r="L818" s="25">
        <f>+L472/[13]Result!$K$12</f>
        <v>-4.6893958587675994E-3</v>
      </c>
      <c r="M818" s="25">
        <f>+M472/[14]Result!$K$12</f>
        <v>-0.20531731978909995</v>
      </c>
      <c r="N818" s="33">
        <f>+N472/[15]Result!$K$12</f>
        <v>2.9527330207296367E-3</v>
      </c>
      <c r="O818" s="25">
        <f>+O472/[16]Result!$K$12</f>
        <v>8.8332737876573725E-3</v>
      </c>
      <c r="P818" s="25">
        <f>+P472/[17]Result!$K$12</f>
        <v>4.854587490185077E-2</v>
      </c>
      <c r="Q818" s="33">
        <f>+Q472/[18]Result!$K$12</f>
        <v>-1.8985399123409405E-4</v>
      </c>
      <c r="R818" s="33">
        <f>+R472/[19]Result!$K$12</f>
        <v>4.9143867391514282E-3</v>
      </c>
      <c r="S818" s="34">
        <f>+S472/[20]Result!$K$12</f>
        <v>2.3680907687197265E-3</v>
      </c>
    </row>
    <row r="819" spans="1:19" hidden="1" outlineLevel="2" x14ac:dyDescent="0.25">
      <c r="A819" s="16" t="s">
        <v>12</v>
      </c>
      <c r="B819" s="25">
        <f>+B473/[21]Result!$K$13</f>
        <v>-2.639265201579298E-3</v>
      </c>
      <c r="C819" s="25">
        <f>+C473/[1]Result!$K$13</f>
        <v>5.4967820411858217E-3</v>
      </c>
      <c r="D819" s="33">
        <f>+D473/[5]Result!$K$13</f>
        <v>-6.9106583384865375E-2</v>
      </c>
      <c r="E819" s="25">
        <f>+E473/[6]Result!$K$13</f>
        <v>1.3680158107584753E-2</v>
      </c>
      <c r="F819" s="25">
        <f>+F473/[7]Result!$K$13</f>
        <v>-4.099351748282961E-3</v>
      </c>
      <c r="G819" s="33">
        <f>+G473/[8]Result!$K$13</f>
        <v>-1.2124886292133427E-3</v>
      </c>
      <c r="H819" s="25">
        <f>+H473/[9]Result!$K$13</f>
        <v>-4.1702074385661274E-3</v>
      </c>
      <c r="I819" s="25">
        <f>+I473/[10]Result!$K$13</f>
        <v>1.2029443076243666E-3</v>
      </c>
      <c r="J819" s="33">
        <f>+J473/[11]Result!$K$13</f>
        <v>-2.2297470700081957E-3</v>
      </c>
      <c r="K819" s="25">
        <f>+K473/[12]Result!$K$13</f>
        <v>2.3425833208160275E-3</v>
      </c>
      <c r="L819" s="25">
        <f>+L473/[13]Result!$K$13</f>
        <v>-5.8424855351319176E-3</v>
      </c>
      <c r="M819" s="25">
        <f>+M473/[14]Result!$K$13</f>
        <v>-0.21296384246969174</v>
      </c>
      <c r="N819" s="33">
        <f>+N473/[15]Result!$K$13</f>
        <v>3.3430016827537545E-3</v>
      </c>
      <c r="O819" s="25">
        <f>+O473/[16]Result!$K$13</f>
        <v>1.0765166891425478E-2</v>
      </c>
      <c r="P819" s="25">
        <f>+P473/[17]Result!$K$13</f>
        <v>4.7364711780101328E-2</v>
      </c>
      <c r="Q819" s="33">
        <f>+Q473/[18]Result!$K$13</f>
        <v>-2.4629254200378843E-4</v>
      </c>
      <c r="R819" s="33">
        <f>+R473/[19]Result!$K$13</f>
        <v>5.5531678349502091E-3</v>
      </c>
      <c r="S819" s="34">
        <f>+S473/[20]Result!$K$13</f>
        <v>3.1892558854451289E-3</v>
      </c>
    </row>
    <row r="820" spans="1:19" hidden="1" outlineLevel="2" x14ac:dyDescent="0.25">
      <c r="A820" s="16" t="s">
        <v>13</v>
      </c>
      <c r="B820" s="25">
        <f>+B474/[21]Result!$K$14</f>
        <v>-3.711234048526516E-3</v>
      </c>
      <c r="C820" s="25">
        <f>+C474/[1]Result!$K$14</f>
        <v>6.733590348397535E-3</v>
      </c>
      <c r="D820" s="33">
        <f>+D474/[5]Result!$K$14</f>
        <v>-5.863659335330209E-2</v>
      </c>
      <c r="E820" s="25">
        <f>+E474/[6]Result!$K$14</f>
        <v>1.4800333608712066E-2</v>
      </c>
      <c r="F820" s="25">
        <f>+F474/[7]Result!$K$14</f>
        <v>-4.8507361227070308E-3</v>
      </c>
      <c r="G820" s="33">
        <f>+G474/[8]Result!$K$14</f>
        <v>1.0776932108947557E-2</v>
      </c>
      <c r="H820" s="25">
        <f>+H474/[9]Result!$K$14</f>
        <v>-5.0416268207394387E-3</v>
      </c>
      <c r="I820" s="25">
        <f>+I474/[10]Result!$K$14</f>
        <v>8.2914385887581223E-4</v>
      </c>
      <c r="J820" s="33">
        <f>+J474/[11]Result!$K$14</f>
        <v>-8.6829448022771281E-3</v>
      </c>
      <c r="K820" s="25">
        <f>+K474/[12]Result!$K$14</f>
        <v>2.5675286844816063E-3</v>
      </c>
      <c r="L820" s="25">
        <f>+L474/[13]Result!$K$14</f>
        <v>-7.2680293157627134E-3</v>
      </c>
      <c r="M820" s="25">
        <f>+M474/[14]Result!$K$14</f>
        <v>-0.35044596394329663</v>
      </c>
      <c r="N820" s="33">
        <f>+N474/[15]Result!$K$14</f>
        <v>3.927300310484984E-3</v>
      </c>
      <c r="O820" s="25">
        <f>+O474/[16]Result!$K$14</f>
        <v>1.2772375019408744E-2</v>
      </c>
      <c r="P820" s="25">
        <f>+P474/[17]Result!$K$14</f>
        <v>4.7968259928167237E-2</v>
      </c>
      <c r="Q820" s="33">
        <f>+Q474/[18]Result!$K$14</f>
        <v>-6.6878078358864721E-4</v>
      </c>
      <c r="R820" s="33">
        <f>+R474/[19]Result!$K$14</f>
        <v>5.8252789247063702E-3</v>
      </c>
      <c r="S820" s="34">
        <f>+S474/[20]Result!$K$14</f>
        <v>3.9188118286512799E-3</v>
      </c>
    </row>
    <row r="821" spans="1:19" hidden="1" outlineLevel="1" x14ac:dyDescent="0.25">
      <c r="A821" s="15" t="s">
        <v>14</v>
      </c>
      <c r="B821" s="25">
        <f>+B475/'[21]Stat by Mat'!$M$5</f>
        <v>-5.816905946917951E-3</v>
      </c>
      <c r="C821" s="25">
        <f>+C475/'[1]Stat by Mat'!$M$5</f>
        <v>7.415014507497303E-3</v>
      </c>
      <c r="D821" s="33">
        <f>+D475/'[5]Stat by Mat'!$M$5</f>
        <v>-0.10997612162670697</v>
      </c>
      <c r="E821" s="25">
        <f>+E475/'[6]Stat by Mat'!$M$5</f>
        <v>2.064934994142896E-2</v>
      </c>
      <c r="F821" s="25">
        <f>+F475/'[7]Stat by Mat'!$M$5</f>
        <v>-9.578540845065351E-3</v>
      </c>
      <c r="G821" s="33">
        <f>+G475/'[8]Stat by Mat'!$M$5</f>
        <v>-1.0580826426778675E-2</v>
      </c>
      <c r="H821" s="25">
        <f>+H475/'[9]Stat by Mat'!$M$5</f>
        <v>-7.2833440950527562E-3</v>
      </c>
      <c r="I821" s="25">
        <f>+I475/'[10]Stat by Mat'!$M$5</f>
        <v>-2.5073595336198152E-3</v>
      </c>
      <c r="J821" s="33">
        <f>+J475/'[11]Stat by Mat'!$M$5</f>
        <v>8.2541970872657498E-3</v>
      </c>
      <c r="K821" s="25">
        <f>+K475/'[12]Stat by Mat'!$M$5</f>
        <v>2.5569731258965915E-3</v>
      </c>
      <c r="L821" s="25">
        <f>+L475/'[13]Stat by Mat'!$M$5</f>
        <v>-1.3391070032804304E-2</v>
      </c>
      <c r="M821" s="25">
        <f>+M475/'[14]Stat by Mat'!$M$5</f>
        <v>-0.2588597954945005</v>
      </c>
      <c r="N821" s="33">
        <f>+N475/'[15]Stat by Mat'!$M$5</f>
        <v>5.9329085265989213E-3</v>
      </c>
      <c r="O821" s="25">
        <f>+O475/'[16]Stat by Mat'!$M$5</f>
        <v>2.0087685655663597E-2</v>
      </c>
      <c r="P821" s="25">
        <f>+P475/'[17]Stat by Mat'!$M$5</f>
        <v>1.6537367755346619E-2</v>
      </c>
      <c r="Q821" s="33">
        <f>+Q475/'[18]Stat by Mat'!$M$5</f>
        <v>-2.09843581292893E-3</v>
      </c>
      <c r="R821" s="33">
        <f>+R475/'[19]Stat by Mat'!$M$5</f>
        <v>5.917563940604568E-3</v>
      </c>
      <c r="S821" s="34">
        <f>+S475/'[20]Stat by Mat'!$M$5</f>
        <v>7.1131648992688477E-3</v>
      </c>
    </row>
    <row r="822" spans="1:19" hidden="1" outlineLevel="2" x14ac:dyDescent="0.25">
      <c r="A822" s="16" t="s">
        <v>15</v>
      </c>
      <c r="B822" s="25">
        <f>+B476/[21]Result!$K$15</f>
        <v>-4.1533000569143677E-3</v>
      </c>
      <c r="C822" s="25">
        <f>+C476/[1]Result!$K$15</f>
        <v>7.1184690806428133E-3</v>
      </c>
      <c r="D822" s="33">
        <f>+D476/[5]Result!$K$15</f>
        <v>-8.3384980463682229E-2</v>
      </c>
      <c r="E822" s="25">
        <f>+E476/[6]Result!$K$15</f>
        <v>1.612595657912835E-2</v>
      </c>
      <c r="F822" s="25">
        <f>+F476/[7]Result!$K$15</f>
        <v>-5.6680318029472872E-3</v>
      </c>
      <c r="G822" s="33">
        <f>+G476/[8]Result!$K$15</f>
        <v>7.4084613574317542E-3</v>
      </c>
      <c r="H822" s="25">
        <f>+H476/[9]Result!$K$15</f>
        <v>-5.7489400447435189E-3</v>
      </c>
      <c r="I822" s="25">
        <f>+I476/[10]Result!$K$15</f>
        <v>1.3830541721541903E-4</v>
      </c>
      <c r="J822" s="33">
        <f>+J476/[11]Result!$K$15</f>
        <v>-1.388017219009849E-3</v>
      </c>
      <c r="K822" s="25">
        <f>+K476/[12]Result!$K$15</f>
        <v>2.7331685064745843E-3</v>
      </c>
      <c r="L822" s="25">
        <f>+L476/[13]Result!$K$15</f>
        <v>-8.5683815458547762E-3</v>
      </c>
      <c r="M822" s="25">
        <f>+M476/[14]Result!$K$15</f>
        <v>-0.38245778189389706</v>
      </c>
      <c r="N822" s="33">
        <f>+N476/[15]Result!$K$15</f>
        <v>4.4838141501547767E-3</v>
      </c>
      <c r="O822" s="25">
        <f>+O476/[16]Result!$K$15</f>
        <v>1.4633509858320274E-2</v>
      </c>
      <c r="P822" s="25">
        <f>+P476/[17]Result!$K$15</f>
        <v>4.6332548964698232E-2</v>
      </c>
      <c r="Q822" s="33">
        <f>+Q476/[18]Result!$K$15</f>
        <v>-7.5474821935706102E-4</v>
      </c>
      <c r="R822" s="33">
        <f>+R476/[19]Result!$K$15</f>
        <v>6.1343618797683273E-3</v>
      </c>
      <c r="S822" s="34">
        <f>+S476/[20]Result!$K$15</f>
        <v>4.7576897747468169E-3</v>
      </c>
    </row>
    <row r="823" spans="1:19" hidden="1" outlineLevel="2" x14ac:dyDescent="0.25">
      <c r="A823" s="16" t="s">
        <v>16</v>
      </c>
      <c r="B823" s="25">
        <f>+B477/[21]Result!$K$16</f>
        <v>-3.7760104886549665E-3</v>
      </c>
      <c r="C823" s="25">
        <f>+C477/[1]Result!$K$16</f>
        <v>6.7510104156166175E-3</v>
      </c>
      <c r="D823" s="33">
        <f>+D477/[5]Result!$K$16</f>
        <v>-0.12239182980597947</v>
      </c>
      <c r="E823" s="25">
        <f>+E477/[6]Result!$K$16</f>
        <v>1.7888327653658127E-2</v>
      </c>
      <c r="F823" s="25">
        <f>+F477/[7]Result!$K$16</f>
        <v>-6.7090015886213219E-3</v>
      </c>
      <c r="G823" s="33">
        <f>+G477/[8]Result!$K$16</f>
        <v>-6.0972089653785018E-3</v>
      </c>
      <c r="H823" s="25">
        <f>+H477/[9]Result!$K$16</f>
        <v>-5.7279501541095739E-3</v>
      </c>
      <c r="I823" s="25">
        <f>+I477/[10]Result!$K$16</f>
        <v>-5.7069853922683453E-4</v>
      </c>
      <c r="J823" s="33">
        <f>+J477/[11]Result!$K$16</f>
        <v>7.3054770525516058E-3</v>
      </c>
      <c r="K823" s="25">
        <f>+K477/[12]Result!$K$16</f>
        <v>2.8209497149967754E-3</v>
      </c>
      <c r="L823" s="25">
        <f>+L477/[13]Result!$K$16</f>
        <v>-9.9464104363060583E-3</v>
      </c>
      <c r="M823" s="25">
        <f>+M477/[14]Result!$K$16</f>
        <v>-0.27411652589831009</v>
      </c>
      <c r="N823" s="33">
        <f>+N477/[15]Result!$K$16</f>
        <v>4.7958412235163126E-3</v>
      </c>
      <c r="O823" s="25">
        <f>+O477/[16]Result!$K$16</f>
        <v>1.6426229352794919E-2</v>
      </c>
      <c r="P823" s="25">
        <f>+P477/[17]Result!$K$16</f>
        <v>2.9094728089815135E-2</v>
      </c>
      <c r="Q823" s="33">
        <f>+Q477/[18]Result!$K$16</f>
        <v>2.8096388798881548E-2</v>
      </c>
      <c r="R823" s="33">
        <f>+R477/[19]Result!$K$16</f>
        <v>3.4659504378083086E-2</v>
      </c>
      <c r="S823" s="34">
        <f>+S477/[20]Result!$K$16</f>
        <v>4.0488397838299411E-2</v>
      </c>
    </row>
    <row r="824" spans="1:19" hidden="1" outlineLevel="2" x14ac:dyDescent="0.25">
      <c r="A824" s="16" t="s">
        <v>17</v>
      </c>
      <c r="B824" s="25">
        <f>+B478/[21]Result!$K$17</f>
        <v>-3.9248147100617988E-3</v>
      </c>
      <c r="C824" s="25">
        <f>+C478/[1]Result!$K$17</f>
        <v>7.0230119009062368E-3</v>
      </c>
      <c r="D824" s="33">
        <f>+D478/[5]Result!$K$17</f>
        <v>-0.1230649372410632</v>
      </c>
      <c r="E824" s="25">
        <f>+E478/[6]Result!$K$17</f>
        <v>1.9321826432176555E-2</v>
      </c>
      <c r="F824" s="25">
        <f>+F478/[7]Result!$K$17</f>
        <v>-7.8323016217907923E-3</v>
      </c>
      <c r="G824" s="33">
        <f>+G478/[8]Result!$K$17</f>
        <v>-1.1417575070751083E-2</v>
      </c>
      <c r="H824" s="25">
        <f>+H478/[9]Result!$K$17</f>
        <v>-5.741664707748363E-3</v>
      </c>
      <c r="I824" s="25">
        <f>+I478/[10]Result!$K$17</f>
        <v>-1.423023251929545E-3</v>
      </c>
      <c r="J824" s="33">
        <f>+J478/[11]Result!$K$17</f>
        <v>5.9882103805696156E-3</v>
      </c>
      <c r="K824" s="25">
        <f>+K478/[12]Result!$K$17</f>
        <v>2.7564864135724691E-3</v>
      </c>
      <c r="L824" s="25">
        <f>+L478/[13]Result!$K$17</f>
        <v>-1.1329250163057145E-2</v>
      </c>
      <c r="M824" s="25">
        <f>+M478/[14]Result!$K$17</f>
        <v>-0.25254638934894535</v>
      </c>
      <c r="N824" s="33">
        <f>+N478/[15]Result!$K$17</f>
        <v>5.5920892882476477E-3</v>
      </c>
      <c r="O824" s="25">
        <f>+O478/[16]Result!$K$17</f>
        <v>1.8229575597715705E-2</v>
      </c>
      <c r="P824" s="25">
        <f>+P478/[17]Result!$K$17</f>
        <v>1.5012082593204244E-2</v>
      </c>
      <c r="Q824" s="33">
        <f>+Q478/[18]Result!$K$17</f>
        <v>-1.0400042196543645E-3</v>
      </c>
      <c r="R824" s="33">
        <f>+R478/[19]Result!$K$17</f>
        <v>6.6776364020154303E-3</v>
      </c>
      <c r="S824" s="34">
        <f>+S478/[20]Result!$K$17</f>
        <v>7.1234642966897486E-3</v>
      </c>
    </row>
    <row r="825" spans="1:19" hidden="1" outlineLevel="2" x14ac:dyDescent="0.25">
      <c r="A825" s="16" t="s">
        <v>18</v>
      </c>
      <c r="B825" s="25">
        <f>+B479/[21]Result!$K$18</f>
        <v>-4.8485831379230463E-3</v>
      </c>
      <c r="C825" s="25">
        <f>+C479/[1]Result!$K$18</f>
        <v>7.6697665681921814E-3</v>
      </c>
      <c r="D825" s="33">
        <f>+D479/[5]Result!$K$18</f>
        <v>-0.11932777057786748</v>
      </c>
      <c r="E825" s="25">
        <f>+E479/[6]Result!$K$18</f>
        <v>2.040126297371582E-2</v>
      </c>
      <c r="F825" s="25">
        <f>+F479/[7]Result!$K$18</f>
        <v>-9.047039484714775E-3</v>
      </c>
      <c r="G825" s="33">
        <f>+G479/[8]Result!$K$18</f>
        <v>-7.0810713977216373E-3</v>
      </c>
      <c r="H825" s="25">
        <f>+H479/[9]Result!$K$18</f>
        <v>-6.3397521727360353E-3</v>
      </c>
      <c r="I825" s="25">
        <f>+I479/[10]Result!$K$18</f>
        <v>-2.4530967806812225E-3</v>
      </c>
      <c r="J825" s="33">
        <f>+J479/[11]Result!$K$18</f>
        <v>7.8065014805929287E-3</v>
      </c>
      <c r="K825" s="25">
        <f>+K479/[12]Result!$K$18</f>
        <v>2.7145878715359494E-3</v>
      </c>
      <c r="L825" s="25">
        <f>+L479/[13]Result!$K$18</f>
        <v>-1.256052270703876E-2</v>
      </c>
      <c r="M825" s="25">
        <f>+M479/[14]Result!$K$18</f>
        <v>-0.22976987797484943</v>
      </c>
      <c r="N825" s="33">
        <f>+N479/[15]Result!$K$18</f>
        <v>6.5601659708781805E-3</v>
      </c>
      <c r="O825" s="25">
        <f>+O479/[16]Result!$K$18</f>
        <v>1.9753977248969167E-2</v>
      </c>
      <c r="P825" s="25">
        <f>+P479/[17]Result!$K$18</f>
        <v>1.42072351209274E-2</v>
      </c>
      <c r="Q825" s="33">
        <f>+Q479/[18]Result!$K$18</f>
        <v>-9.1698015290800816E-4</v>
      </c>
      <c r="R825" s="33">
        <f>+R479/[19]Result!$K$18</f>
        <v>6.8198921230702009E-3</v>
      </c>
      <c r="S825" s="34">
        <f>+S479/[20]Result!$K$18</f>
        <v>7.6184667861227389E-3</v>
      </c>
    </row>
    <row r="826" spans="1:19" hidden="1" outlineLevel="2" x14ac:dyDescent="0.25">
      <c r="A826" s="16" t="s">
        <v>19</v>
      </c>
      <c r="B826" s="25">
        <f>+B480/[21]Result!$K$19</f>
        <v>-6.5507311795722205E-3</v>
      </c>
      <c r="C826" s="25">
        <f>+C480/[1]Result!$K$19</f>
        <v>8.8819239963129834E-3</v>
      </c>
      <c r="D826" s="33">
        <f>+D480/[5]Result!$K$19</f>
        <v>-0.11611933675709357</v>
      </c>
      <c r="E826" s="25">
        <f>+E480/[6]Result!$K$19</f>
        <v>2.134649529894168E-2</v>
      </c>
      <c r="F826" s="25">
        <f>+F480/[7]Result!$K$19</f>
        <v>-1.041381985922416E-2</v>
      </c>
      <c r="G826" s="33">
        <f>+G480/[8]Result!$K$19</f>
        <v>-1.5457316453853348E-2</v>
      </c>
      <c r="H826" s="25">
        <f>+H480/[9]Result!$K$19</f>
        <v>-7.5843961986508911E-3</v>
      </c>
      <c r="I826" s="25">
        <f>+I480/[10]Result!$K$19</f>
        <v>-3.1954510858248032E-3</v>
      </c>
      <c r="J826" s="33">
        <f>+J480/[11]Result!$K$19</f>
        <v>7.276123651231318E-4</v>
      </c>
      <c r="K826" s="25">
        <f>+K480/[12]Result!$K$19</f>
        <v>2.6999087272757249E-3</v>
      </c>
      <c r="L826" s="25">
        <f>+L480/[13]Result!$K$19</f>
        <v>-1.4533915749449717E-2</v>
      </c>
      <c r="M826" s="25">
        <f>+M480/[14]Result!$K$19</f>
        <v>-0.21440260282640403</v>
      </c>
      <c r="N826" s="33">
        <f>+N480/[15]Result!$K$19</f>
        <v>6.6776499583356026E-3</v>
      </c>
      <c r="O826" s="25">
        <f>+O480/[16]Result!$K$19</f>
        <v>2.1302638945213684E-2</v>
      </c>
      <c r="P826" s="25">
        <f>+P480/[17]Result!$K$19</f>
        <v>3.4316265600068344E-3</v>
      </c>
      <c r="Q826" s="33">
        <f>+Q480/[18]Result!$K$19</f>
        <v>-1.5740301209497369E-3</v>
      </c>
      <c r="R826" s="33">
        <f>+R480/[19]Result!$K$19</f>
        <v>6.6722963250028895E-3</v>
      </c>
      <c r="S826" s="34">
        <f>+S480/[20]Result!$K$19</f>
        <v>7.8262460692550655E-3</v>
      </c>
    </row>
    <row r="827" spans="1:19" hidden="1" outlineLevel="2" x14ac:dyDescent="0.25">
      <c r="A827" s="16" t="s">
        <v>20</v>
      </c>
      <c r="B827" s="25">
        <f>+B481/[21]Result!$K$20</f>
        <v>-7.9729964632419513E-3</v>
      </c>
      <c r="C827" s="25">
        <f>+C481/[1]Result!$K$20</f>
        <v>9.0890361364182222E-3</v>
      </c>
      <c r="D827" s="33">
        <f>+D481/[5]Result!$K$20</f>
        <v>-0.11677947255786424</v>
      </c>
      <c r="E827" s="25">
        <f>+E481/[6]Result!$K$20</f>
        <v>2.2689103660713431E-2</v>
      </c>
      <c r="F827" s="25">
        <f>+F481/[7]Result!$K$20</f>
        <v>-1.18045597617416E-2</v>
      </c>
      <c r="G827" s="33">
        <f>+G481/[8]Result!$K$20</f>
        <v>-2.2073129094124514E-2</v>
      </c>
      <c r="H827" s="25">
        <f>+H481/[9]Result!$K$20</f>
        <v>-8.775822460738986E-3</v>
      </c>
      <c r="I827" s="25">
        <f>+I481/[10]Result!$K$20</f>
        <v>-3.9472927850077635E-3</v>
      </c>
      <c r="J827" s="33">
        <f>+J481/[11]Result!$K$20</f>
        <v>6.0610917057614252E-3</v>
      </c>
      <c r="K827" s="25">
        <f>+K481/[12]Result!$K$20</f>
        <v>2.5035603114603663E-3</v>
      </c>
      <c r="L827" s="25">
        <f>+L481/[13]Result!$K$20</f>
        <v>-1.6641247171877704E-2</v>
      </c>
      <c r="M827" s="25">
        <f>+M481/[14]Result!$K$20</f>
        <v>-0.20424153448955121</v>
      </c>
      <c r="N827" s="33">
        <f>+N481/[15]Result!$K$20</f>
        <v>6.3008464771258238E-3</v>
      </c>
      <c r="O827" s="25">
        <f>+O481/[16]Result!$K$20</f>
        <v>2.3015120311714318E-2</v>
      </c>
      <c r="P827" s="25">
        <f>+P481/[17]Result!$K$20</f>
        <v>2.6383501846669469E-3</v>
      </c>
      <c r="Q827" s="33">
        <f>+Q481/[18]Result!$K$20</f>
        <v>-3.1896878401866235E-3</v>
      </c>
      <c r="R827" s="33">
        <f>+R481/[19]Result!$K$20</f>
        <v>5.8343161818717858E-3</v>
      </c>
      <c r="S827" s="34">
        <f>+S481/[20]Result!$K$20</f>
        <v>7.9834402108625857E-3</v>
      </c>
    </row>
    <row r="828" spans="1:19" hidden="1" outlineLevel="2" x14ac:dyDescent="0.25">
      <c r="A828" s="16" t="s">
        <v>21</v>
      </c>
      <c r="B828" s="25">
        <f>+B482/[21]Result!$K$21</f>
        <v>-8.6394610366597509E-3</v>
      </c>
      <c r="C828" s="25">
        <f>+C482/[1]Result!$K$21</f>
        <v>7.8744969182188464E-3</v>
      </c>
      <c r="D828" s="33">
        <f>+D482/[5]Result!$K$21</f>
        <v>-0.11640128812950742</v>
      </c>
      <c r="E828" s="25">
        <f>+E482/[6]Result!$K$21</f>
        <v>2.4760417600684561E-2</v>
      </c>
      <c r="F828" s="25">
        <f>+F482/[7]Result!$K$21</f>
        <v>-1.3281840850893989E-2</v>
      </c>
      <c r="G828" s="33">
        <f>+G482/[8]Result!$K$21</f>
        <v>-2.4582322144682048E-2</v>
      </c>
      <c r="H828" s="25">
        <f>+H482/[9]Result!$K$21</f>
        <v>-9.7408526234181916E-3</v>
      </c>
      <c r="I828" s="25">
        <f>+I482/[10]Result!$K$21</f>
        <v>-4.8437201749895213E-3</v>
      </c>
      <c r="J828" s="33">
        <f>+J482/[11]Result!$K$21</f>
        <v>1.1384554975647552E-2</v>
      </c>
      <c r="K828" s="25">
        <f>+K482/[12]Result!$K$21</f>
        <v>2.2625898399761773E-3</v>
      </c>
      <c r="L828" s="25">
        <f>+L482/[13]Result!$K$21</f>
        <v>-1.8495803577533089E-2</v>
      </c>
      <c r="M828" s="25">
        <f>+M482/[14]Result!$K$21</f>
        <v>-0.19799404333201309</v>
      </c>
      <c r="N828" s="33">
        <f>+N482/[15]Result!$K$21</f>
        <v>6.3111977927075152E-3</v>
      </c>
      <c r="O828" s="25">
        <f>+O482/[16]Result!$K$21</f>
        <v>2.4431667500654394E-2</v>
      </c>
      <c r="P828" s="25">
        <f>+P482/[17]Result!$K$21</f>
        <v>4.0500771923577877E-3</v>
      </c>
      <c r="Q828" s="33">
        <f>+Q482/[18]Result!$K$21</f>
        <v>-4.3505402963228785E-3</v>
      </c>
      <c r="R828" s="33">
        <f>+R482/[19]Result!$K$21</f>
        <v>5.0027188403524749E-3</v>
      </c>
      <c r="S828" s="34">
        <f>+S482/[20]Result!$K$21</f>
        <v>8.0958679277846265E-3</v>
      </c>
    </row>
    <row r="829" spans="1:19" hidden="1" outlineLevel="2" x14ac:dyDescent="0.25">
      <c r="A829" s="16" t="s">
        <v>22</v>
      </c>
      <c r="B829" s="25">
        <f>+B483/[21]Result!$K$22</f>
        <v>-8.9916378945601692E-3</v>
      </c>
      <c r="C829" s="25">
        <f>+C483/[1]Result!$K$22</f>
        <v>6.4568461823534574E-3</v>
      </c>
      <c r="D829" s="33">
        <f>+D483/[5]Result!$K$22</f>
        <v>-0.11128358325052015</v>
      </c>
      <c r="E829" s="25">
        <f>+E483/[6]Result!$K$22</f>
        <v>2.6889116659978327E-2</v>
      </c>
      <c r="F829" s="25">
        <f>+F483/[7]Result!$K$22</f>
        <v>-1.4840953017371124E-2</v>
      </c>
      <c r="G829" s="33">
        <f>+G483/[8]Result!$K$22</f>
        <v>-2.6847788844150958E-2</v>
      </c>
      <c r="H829" s="25">
        <f>+H483/[9]Result!$K$22</f>
        <v>-1.0577456011627417E-2</v>
      </c>
      <c r="I829" s="25">
        <f>+I483/[10]Result!$K$22</f>
        <v>-5.9911843125032864E-3</v>
      </c>
      <c r="J829" s="33">
        <f>+J483/[11]Result!$K$22</f>
        <v>2.3826604826035179E-2</v>
      </c>
      <c r="K829" s="25">
        <f>+K483/[12]Result!$K$22</f>
        <v>2.0563411922535561E-3</v>
      </c>
      <c r="L829" s="25">
        <f>+L483/[13]Result!$K$22</f>
        <v>-2.0186562960486189E-2</v>
      </c>
      <c r="M829" s="25">
        <f>+M483/[14]Result!$K$22</f>
        <v>-0.18754958615931441</v>
      </c>
      <c r="N829" s="33">
        <f>+N483/[15]Result!$K$22</f>
        <v>6.8691493328708834E-3</v>
      </c>
      <c r="O829" s="25">
        <f>+O483/[16]Result!$K$22</f>
        <v>2.5752673430171347E-2</v>
      </c>
      <c r="P829" s="25">
        <f>+P483/[17]Result!$K$22</f>
        <v>1.0873414933774779E-2</v>
      </c>
      <c r="Q829" s="33">
        <f>+Q483/[18]Result!$K$22</f>
        <v>-5.1207802654772263E-3</v>
      </c>
      <c r="R829" s="33">
        <f>+R483/[19]Result!$K$22</f>
        <v>4.3634959395971746E-3</v>
      </c>
      <c r="S829" s="34">
        <f>+S483/[20]Result!$K$22</f>
        <v>8.5941775555210247E-3</v>
      </c>
    </row>
    <row r="830" spans="1:19" hidden="1" outlineLevel="2" x14ac:dyDescent="0.25">
      <c r="A830" s="16" t="s">
        <v>23</v>
      </c>
      <c r="B830" s="25">
        <f>+B484/[21]Result!$K$23</f>
        <v>-9.4176704020974399E-3</v>
      </c>
      <c r="C830" s="25">
        <f>+C484/[1]Result!$K$23</f>
        <v>5.9288583092872611E-3</v>
      </c>
      <c r="D830" s="33">
        <f>+D484/[5]Result!$K$23</f>
        <v>-9.9710789192654442E-2</v>
      </c>
      <c r="E830" s="25">
        <f>+E484/[6]Result!$K$23</f>
        <v>2.8070416811940325E-2</v>
      </c>
      <c r="F830" s="25">
        <f>+F484/[7]Result!$K$23</f>
        <v>-1.6401657492582423E-2</v>
      </c>
      <c r="G830" s="33">
        <f>+G484/[8]Result!$K$23</f>
        <v>-2.2689651316907894E-2</v>
      </c>
      <c r="H830" s="25">
        <f>+H484/[9]Result!$K$23</f>
        <v>-1.1089288339719337E-2</v>
      </c>
      <c r="I830" s="25">
        <f>+I484/[10]Result!$K$23</f>
        <v>-7.1393338403910244E-3</v>
      </c>
      <c r="J830" s="33">
        <f>+J484/[11]Result!$K$23</f>
        <v>3.7430588119135522E-2</v>
      </c>
      <c r="K830" s="25">
        <f>+K484/[12]Result!$K$23</f>
        <v>1.8108167551215222E-3</v>
      </c>
      <c r="L830" s="25">
        <f>+L484/[13]Result!$K$23</f>
        <v>-2.1505029094840367E-2</v>
      </c>
      <c r="M830" s="25">
        <f>+M484/[14]Result!$K$23</f>
        <v>-0.17222299164459184</v>
      </c>
      <c r="N830" s="33">
        <f>+N484/[15]Result!$K$23</f>
        <v>7.6288009595768579E-3</v>
      </c>
      <c r="O830" s="25">
        <f>+O484/[16]Result!$K$23</f>
        <v>2.6872305162122547E-2</v>
      </c>
      <c r="P830" s="25">
        <f>+P484/[17]Result!$K$23</f>
        <v>1.4032285861560944E-2</v>
      </c>
      <c r="Q830" s="33">
        <f>+Q484/[18]Result!$K$23</f>
        <v>-5.4075182015661562E-3</v>
      </c>
      <c r="R830" s="33">
        <f>+R484/[19]Result!$K$23</f>
        <v>3.7981362767392974E-3</v>
      </c>
      <c r="S830" s="34">
        <f>+S484/[20]Result!$K$23</f>
        <v>9.0830014238311163E-3</v>
      </c>
    </row>
    <row r="831" spans="1:19" hidden="1" outlineLevel="2" x14ac:dyDescent="0.25">
      <c r="A831" s="16" t="s">
        <v>24</v>
      </c>
      <c r="B831" s="25">
        <f>+B485/[21]Result!$K$24</f>
        <v>-1.0312006343131048E-2</v>
      </c>
      <c r="C831" s="25">
        <f>+C485/[1]Result!$K$24</f>
        <v>7.3367737088289248E-3</v>
      </c>
      <c r="D831" s="33">
        <f>+D485/[5]Result!$K$24</f>
        <v>-0.10229953806193394</v>
      </c>
      <c r="E831" s="25">
        <f>+E485/[6]Result!$K$24</f>
        <v>2.8131524388920661E-2</v>
      </c>
      <c r="F831" s="25">
        <f>+F485/[7]Result!$K$24</f>
        <v>-1.8034043370203683E-2</v>
      </c>
      <c r="G831" s="33">
        <f>+G485/[8]Result!$K$24</f>
        <v>-2.9924958542848563E-2</v>
      </c>
      <c r="H831" s="25">
        <f>+H485/[9]Result!$K$24</f>
        <v>-1.1401356102700533E-2</v>
      </c>
      <c r="I831" s="25">
        <f>+I485/[10]Result!$K$24</f>
        <v>-8.2841034431098103E-3</v>
      </c>
      <c r="J831" s="33">
        <f>+J485/[11]Result!$K$24</f>
        <v>3.1851746576988797E-2</v>
      </c>
      <c r="K831" s="25">
        <f>+K485/[12]Result!$K$24</f>
        <v>1.526823139613015E-3</v>
      </c>
      <c r="L831" s="25">
        <f>+L485/[13]Result!$K$24</f>
        <v>-2.2654485124737438E-2</v>
      </c>
      <c r="M831" s="25">
        <f>+M485/[14]Result!$K$24</f>
        <v>-0.16832265615660322</v>
      </c>
      <c r="N831" s="33">
        <f>+N485/[15]Result!$K$24</f>
        <v>8.3289638795365026E-3</v>
      </c>
      <c r="O831" s="25">
        <f>+O485/[16]Result!$K$24</f>
        <v>2.7956589105466126E-2</v>
      </c>
      <c r="P831" s="25">
        <f>+P485/[17]Result!$K$24</f>
        <v>3.6263492483685482E-2</v>
      </c>
      <c r="Q831" s="33">
        <f>+Q485/[18]Result!$K$24</f>
        <v>3.052023266343629E-2</v>
      </c>
      <c r="R831" s="33">
        <f>+R485/[19]Result!$K$24</f>
        <v>3.4024063999208431E-2</v>
      </c>
      <c r="S831" s="34">
        <f>+S485/[20]Result!$K$24</f>
        <v>4.3396737369323118E-2</v>
      </c>
    </row>
    <row r="832" spans="1:19" hidden="1" outlineLevel="1" x14ac:dyDescent="0.25">
      <c r="A832" s="15" t="s">
        <v>25</v>
      </c>
      <c r="B832" s="25">
        <f>+B486/'[21]Stat by Mat'!$M$6</f>
        <v>-1.435044385418156E-2</v>
      </c>
      <c r="C832" s="25">
        <f>+C486/'[1]Stat by Mat'!$M$6</f>
        <v>1.5693135163416298E-2</v>
      </c>
      <c r="D832" s="33">
        <f>+D486/'[5]Stat by Mat'!$M$6</f>
        <v>-9.6030612765863693E-2</v>
      </c>
      <c r="E832" s="25">
        <f>+E486/'[6]Stat by Mat'!$M$6</f>
        <v>2.6441861279325674E-2</v>
      </c>
      <c r="F832" s="25">
        <f>+F486/'[7]Stat by Mat'!$M$6</f>
        <v>-2.286041068421692E-2</v>
      </c>
      <c r="G832" s="33">
        <f>+G486/'[8]Stat by Mat'!$M$6</f>
        <v>-2.6841863511601713E-2</v>
      </c>
      <c r="H832" s="25">
        <f>+H486/'[9]Stat by Mat'!$M$6</f>
        <v>-1.2560085670881654E-2</v>
      </c>
      <c r="I832" s="25">
        <f>+I486/'[10]Stat by Mat'!$M$6</f>
        <v>-1.184073719165997E-2</v>
      </c>
      <c r="J832" s="33">
        <f>+J486/'[11]Stat by Mat'!$M$6</f>
        <v>6.3895199333551686E-2</v>
      </c>
      <c r="K832" s="25">
        <f>+K486/'[12]Stat by Mat'!$M$6</f>
        <v>7.2834656957512279E-4</v>
      </c>
      <c r="L832" s="25">
        <f>+L486/'[13]Stat by Mat'!$M$6</f>
        <v>-2.7065165524997225E-2</v>
      </c>
      <c r="M832" s="25">
        <f>+M486/'[14]Stat by Mat'!$M$6</f>
        <v>-0.26831020273326023</v>
      </c>
      <c r="N832" s="33">
        <f>+N486/'[15]Stat by Mat'!$M$6</f>
        <v>1.122733827987972E-2</v>
      </c>
      <c r="O832" s="25">
        <f>+O486/'[16]Stat by Mat'!$M$6</f>
        <v>3.168735788888092E-2</v>
      </c>
      <c r="P832" s="25">
        <f>+P486/'[17]Stat by Mat'!$M$6</f>
        <v>2.0832883506718948E-2</v>
      </c>
      <c r="Q832" s="33">
        <f>+Q486/'[18]Stat by Mat'!$M$6</f>
        <v>-5.6825816099210884E-3</v>
      </c>
      <c r="R832" s="33">
        <f>+R486/'[19]Stat by Mat'!$M$6</f>
        <v>2.1800128771952264E-3</v>
      </c>
      <c r="S832" s="34">
        <f>+S486/'[20]Stat by Mat'!$M$6</f>
        <v>1.1460961140299821E-2</v>
      </c>
    </row>
    <row r="833" spans="1:19" hidden="1" outlineLevel="2" x14ac:dyDescent="0.25">
      <c r="A833" s="16" t="s">
        <v>26</v>
      </c>
      <c r="B833" s="25">
        <f>+B487/[21]Result!$K$25</f>
        <v>-1.1634728212021802E-2</v>
      </c>
      <c r="C833" s="25">
        <f>+C487/[1]Result!$K$25</f>
        <v>1.005029612313648E-2</v>
      </c>
      <c r="D833" s="33">
        <f>+D487/[5]Result!$K$25</f>
        <v>-0.10549417660072252</v>
      </c>
      <c r="E833" s="25">
        <f>+E487/[6]Result!$K$25</f>
        <v>2.7634840384068368E-2</v>
      </c>
      <c r="F833" s="25">
        <f>+F487/[7]Result!$K$25</f>
        <v>-1.9539267837217069E-2</v>
      </c>
      <c r="G833" s="33">
        <f>+G487/[8]Result!$K$25</f>
        <v>-3.4528743673987061E-2</v>
      </c>
      <c r="H833" s="25">
        <f>+H487/[9]Result!$K$25</f>
        <v>-1.1685812857485874E-2</v>
      </c>
      <c r="I833" s="25">
        <f>+I487/[10]Result!$K$25</f>
        <v>-9.3983090742166559E-3</v>
      </c>
      <c r="J833" s="33">
        <f>+J487/[11]Result!$K$25</f>
        <v>3.8188609314902353E-2</v>
      </c>
      <c r="K833" s="25">
        <f>+K487/[12]Result!$K$25</f>
        <v>1.2031385698475559E-3</v>
      </c>
      <c r="L833" s="25">
        <f>+L487/[13]Result!$K$25</f>
        <v>-2.389961649807601E-2</v>
      </c>
      <c r="M833" s="25">
        <f>+M487/[14]Result!$K$25</f>
        <v>-0.185822229021568</v>
      </c>
      <c r="N833" s="33">
        <f>+N487/[15]Result!$K$25</f>
        <v>9.163690912799902E-3</v>
      </c>
      <c r="O833" s="25">
        <f>+O487/[16]Result!$K$25</f>
        <v>2.9097376834764023E-2</v>
      </c>
      <c r="P833" s="25">
        <f>+P487/[17]Result!$K$25</f>
        <v>8.3641626415677604E-3</v>
      </c>
      <c r="Q833" s="33">
        <f>+Q487/[18]Result!$K$25</f>
        <v>-5.4952831438915542E-3</v>
      </c>
      <c r="R833" s="33">
        <f>+R487/[19]Result!$K$25</f>
        <v>2.9063469285387283E-3</v>
      </c>
      <c r="S833" s="34">
        <f>+S487/[20]Result!$K$25</f>
        <v>1.0176842302961822E-2</v>
      </c>
    </row>
    <row r="834" spans="1:19" hidden="1" outlineLevel="2" x14ac:dyDescent="0.25">
      <c r="A834" s="16" t="s">
        <v>27</v>
      </c>
      <c r="B834" s="25">
        <f>+B488/[21]Result!$K$26</f>
        <v>-1.2926862686430824E-2</v>
      </c>
      <c r="C834" s="25">
        <f>+C488/[1]Result!$K$26</f>
        <v>1.2677201095002491E-2</v>
      </c>
      <c r="D834" s="33">
        <f>+D488/[5]Result!$K$26</f>
        <v>-0.10808458749370413</v>
      </c>
      <c r="E834" s="25">
        <f>+E488/[6]Result!$K$26</f>
        <v>2.7161806451563596E-2</v>
      </c>
      <c r="F834" s="25">
        <f>+F488/[7]Result!$K$26</f>
        <v>-2.1000492441112423E-2</v>
      </c>
      <c r="G834" s="33">
        <f>+G488/[8]Result!$K$26</f>
        <v>-3.7760590368172954E-2</v>
      </c>
      <c r="H834" s="25">
        <f>+H488/[9]Result!$K$26</f>
        <v>-1.2148967806467605E-2</v>
      </c>
      <c r="I834" s="25">
        <f>+I488/[10]Result!$K$26</f>
        <v>-1.0376062315508703E-2</v>
      </c>
      <c r="J834" s="33">
        <f>+J488/[11]Result!$K$26</f>
        <v>4.6447681625660431E-2</v>
      </c>
      <c r="K834" s="25">
        <f>+K488/[12]Result!$K$26</f>
        <v>1.0537006280966267E-3</v>
      </c>
      <c r="L834" s="25">
        <f>+L488/[13]Result!$K$26</f>
        <v>-2.5253533944826104E-2</v>
      </c>
      <c r="M834" s="25">
        <f>+M488/[14]Result!$K$26</f>
        <v>-0.2081604979220413</v>
      </c>
      <c r="N834" s="33">
        <f>+N488/[15]Result!$K$26</f>
        <v>1.0140971846883654E-2</v>
      </c>
      <c r="O834" s="25">
        <f>+O488/[16]Result!$K$26</f>
        <v>2.9992275564727347E-2</v>
      </c>
      <c r="P834" s="25">
        <f>+P488/[17]Result!$K$26</f>
        <v>1.0647819795882914E-2</v>
      </c>
      <c r="Q834" s="33">
        <f>+Q488/[18]Result!$K$26</f>
        <v>-5.5535822420249388E-3</v>
      </c>
      <c r="R834" s="33">
        <f>+R488/[19]Result!$K$26</f>
        <v>2.5229456951637976E-3</v>
      </c>
      <c r="S834" s="34">
        <f>+S488/[20]Result!$K$26</f>
        <v>1.0780411966721332E-2</v>
      </c>
    </row>
    <row r="835" spans="1:19" hidden="1" outlineLevel="2" x14ac:dyDescent="0.25">
      <c r="A835" s="16" t="s">
        <v>28</v>
      </c>
      <c r="B835" s="25">
        <f>+B489/[21]Result!$K$27</f>
        <v>-1.3956205405543605E-2</v>
      </c>
      <c r="C835" s="25">
        <f>+C489/[1]Result!$K$27</f>
        <v>1.4833535986413685E-2</v>
      </c>
      <c r="D835" s="33">
        <f>+D489/[5]Result!$K$27</f>
        <v>-0.10609068270081028</v>
      </c>
      <c r="E835" s="25">
        <f>+E489/[6]Result!$K$27</f>
        <v>2.6628285879577839E-2</v>
      </c>
      <c r="F835" s="25">
        <f>+F489/[7]Result!$K$27</f>
        <v>-2.2285094076765696E-2</v>
      </c>
      <c r="G835" s="33">
        <f>+G489/[8]Result!$K$27</f>
        <v>-3.7562921376071208E-2</v>
      </c>
      <c r="H835" s="25">
        <f>+H489/[9]Result!$K$27</f>
        <v>-1.2489282105230159E-2</v>
      </c>
      <c r="I835" s="25">
        <f>+I489/[10]Result!$K$27</f>
        <v>-1.1288415384849725E-2</v>
      </c>
      <c r="J835" s="33">
        <f>+J489/[11]Result!$K$27</f>
        <v>6.0295968979605437E-2</v>
      </c>
      <c r="K835" s="25">
        <f>+K489/[12]Result!$K$27</f>
        <v>8.7961271865596785E-4</v>
      </c>
      <c r="L835" s="25">
        <f>+L489/[13]Result!$K$27</f>
        <v>-2.6407660088745042E-2</v>
      </c>
      <c r="M835" s="25">
        <f>+M489/[14]Result!$K$27</f>
        <v>-0.22977226961492386</v>
      </c>
      <c r="N835" s="33">
        <f>+N489/[15]Result!$K$27</f>
        <v>1.0833972749786622E-2</v>
      </c>
      <c r="O835" s="25">
        <f>+O489/[16]Result!$K$27</f>
        <v>3.1069126982248299E-2</v>
      </c>
      <c r="P835" s="25">
        <f>+P489/[17]Result!$K$27</f>
        <v>1.7804699234111859E-2</v>
      </c>
      <c r="Q835" s="33">
        <f>+Q489/[18]Result!$K$27</f>
        <v>-5.5924025102517321E-3</v>
      </c>
      <c r="R835" s="33">
        <f>+R489/[19]Result!$K$27</f>
        <v>2.3110271519126138E-3</v>
      </c>
      <c r="S835" s="34">
        <f>+S489/[20]Result!$K$27</f>
        <v>1.1171825958022059E-2</v>
      </c>
    </row>
    <row r="836" spans="1:19" hidden="1" outlineLevel="2" x14ac:dyDescent="0.25">
      <c r="A836" s="16" t="s">
        <v>29</v>
      </c>
      <c r="B836" s="25">
        <f>+B490/[21]Result!$K$28</f>
        <v>-1.4798050664296097E-2</v>
      </c>
      <c r="C836" s="25">
        <f>+C490/[1]Result!$K$28</f>
        <v>1.6551125732352776E-2</v>
      </c>
      <c r="D836" s="33">
        <f>+D490/[5]Result!$K$28</f>
        <v>-9.7799498517261385E-2</v>
      </c>
      <c r="E836" s="25">
        <f>+E490/[6]Result!$K$28</f>
        <v>2.617242395278771E-2</v>
      </c>
      <c r="F836" s="25">
        <f>+F490/[7]Result!$K$28</f>
        <v>-2.3376472578384443E-2</v>
      </c>
      <c r="G836" s="33">
        <f>+G490/[8]Result!$K$28</f>
        <v>-2.2644768971511881E-2</v>
      </c>
      <c r="H836" s="25">
        <f>+H490/[9]Result!$K$28</f>
        <v>-1.2585196699225684E-2</v>
      </c>
      <c r="I836" s="25">
        <f>+I490/[10]Result!$K$28</f>
        <v>-1.2128411225265515E-2</v>
      </c>
      <c r="J836" s="33">
        <f>+J490/[11]Result!$K$28</f>
        <v>7.178419678115637E-2</v>
      </c>
      <c r="K836" s="25">
        <f>+K490/[12]Result!$K$28</f>
        <v>6.9078340431970428E-4</v>
      </c>
      <c r="L836" s="25">
        <f>+L490/[13]Result!$K$28</f>
        <v>-2.7339029264394261E-2</v>
      </c>
      <c r="M836" s="25">
        <f>+M490/[14]Result!$K$28</f>
        <v>-0.24739911702134063</v>
      </c>
      <c r="N836" s="33">
        <f>+N490/[15]Result!$K$28</f>
        <v>1.155148780136127E-2</v>
      </c>
      <c r="O836" s="25">
        <f>+O490/[16]Result!$K$28</f>
        <v>3.2229662091048189E-2</v>
      </c>
      <c r="P836" s="25">
        <f>+P490/[17]Result!$K$28</f>
        <v>2.0116035077577647E-2</v>
      </c>
      <c r="Q836" s="33">
        <f>+Q490/[18]Result!$K$28</f>
        <v>-5.7270750735853799E-3</v>
      </c>
      <c r="R836" s="33">
        <f>+R490/[19]Result!$K$28</f>
        <v>2.0674682888955015E-3</v>
      </c>
      <c r="S836" s="34">
        <f>+S490/[20]Result!$K$28</f>
        <v>1.1673097816294763E-2</v>
      </c>
    </row>
    <row r="837" spans="1:19" hidden="1" outlineLevel="2" x14ac:dyDescent="0.25">
      <c r="A837" s="16" t="s">
        <v>30</v>
      </c>
      <c r="B837" s="25">
        <f>+B491/[21]Result!$K$29</f>
        <v>-1.5538163686704666E-2</v>
      </c>
      <c r="C837" s="25">
        <f>+C491/[1]Result!$K$29</f>
        <v>1.8239869244173892E-2</v>
      </c>
      <c r="D837" s="33">
        <f>+D491/[5]Result!$K$29</f>
        <v>-9.6173145656555728E-2</v>
      </c>
      <c r="E837" s="25">
        <f>+E491/[6]Result!$K$29</f>
        <v>2.5819002325808998E-2</v>
      </c>
      <c r="F837" s="25">
        <f>+F491/[7]Result!$K$29</f>
        <v>-2.4354513637496095E-2</v>
      </c>
      <c r="G837" s="33">
        <f>+G491/[8]Result!$K$29</f>
        <v>-2.7306065504852605E-2</v>
      </c>
      <c r="H837" s="25">
        <f>+H491/[9]Result!$K$29</f>
        <v>-1.2761962452284647E-2</v>
      </c>
      <c r="I837" s="25">
        <f>+I491/[10]Result!$K$29</f>
        <v>-1.2994220697084863E-2</v>
      </c>
      <c r="J837" s="33">
        <f>+J491/[11]Result!$K$29</f>
        <v>5.9607478851385141E-2</v>
      </c>
      <c r="K837" s="25">
        <f>+K491/[12]Result!$K$29</f>
        <v>4.7789437568807741E-4</v>
      </c>
      <c r="L837" s="25">
        <f>+L491/[13]Result!$K$29</f>
        <v>-2.8250191856214652E-2</v>
      </c>
      <c r="M837" s="25">
        <f>+M491/[14]Result!$K$29</f>
        <v>-0.27390841567261026</v>
      </c>
      <c r="N837" s="33">
        <f>+N491/[15]Result!$K$29</f>
        <v>1.2285217685965492E-2</v>
      </c>
      <c r="O837" s="25">
        <f>+O491/[16]Result!$K$29</f>
        <v>3.3125856543807598E-2</v>
      </c>
      <c r="P837" s="25">
        <f>+P491/[17]Result!$K$29</f>
        <v>8.5833181031957258E-3</v>
      </c>
      <c r="Q837" s="33">
        <f>+Q491/[18]Result!$K$29</f>
        <v>-5.8497767748351128E-3</v>
      </c>
      <c r="R837" s="33">
        <f>+R491/[19]Result!$K$29</f>
        <v>1.7967549717589129E-3</v>
      </c>
      <c r="S837" s="34">
        <f>+S491/[20]Result!$K$29</f>
        <v>1.2170089175480089E-2</v>
      </c>
    </row>
    <row r="838" spans="1:19" hidden="1" outlineLevel="2" x14ac:dyDescent="0.25">
      <c r="A838" s="16" t="s">
        <v>31</v>
      </c>
      <c r="B838" s="25">
        <f>+B492/[21]Result!$K$30</f>
        <v>-1.628952197153908E-2</v>
      </c>
      <c r="C838" s="25">
        <f>+C492/[1]Result!$K$30</f>
        <v>1.9752706223305844E-2</v>
      </c>
      <c r="D838" s="33">
        <f>+D492/[5]Result!$K$30</f>
        <v>-9.8965365581675985E-2</v>
      </c>
      <c r="E838" s="25">
        <f>+E492/[6]Result!$K$30</f>
        <v>2.5603559635687466E-2</v>
      </c>
      <c r="F838" s="25">
        <f>+F492/[7]Result!$K$30</f>
        <v>-2.5089768807121986E-2</v>
      </c>
      <c r="G838" s="33">
        <f>+G492/[8]Result!$K$30</f>
        <v>-3.5213108562264624E-2</v>
      </c>
      <c r="H838" s="25">
        <f>+H492/[9]Result!$K$30</f>
        <v>-1.3031772612531177E-2</v>
      </c>
      <c r="I838" s="25">
        <f>+I492/[10]Result!$K$30</f>
        <v>-1.364196547400499E-2</v>
      </c>
      <c r="J838" s="33">
        <f>+J492/[11]Result!$K$30</f>
        <v>7.4152613652025801E-2</v>
      </c>
      <c r="K838" s="25">
        <f>+K492/[12]Result!$K$30</f>
        <v>2.4975763106503728E-4</v>
      </c>
      <c r="L838" s="25">
        <f>+L492/[13]Result!$K$30</f>
        <v>-2.9141424877114235E-2</v>
      </c>
      <c r="M838" s="25">
        <f>+M492/[14]Result!$K$30</f>
        <v>-0.32562984934072314</v>
      </c>
      <c r="N838" s="33">
        <f>+N492/[15]Result!$K$30</f>
        <v>1.2915950566599962E-2</v>
      </c>
      <c r="O838" s="25">
        <f>+O492/[16]Result!$K$30</f>
        <v>3.3852424755441771E-2</v>
      </c>
      <c r="P838" s="25">
        <f>+P492/[17]Result!$K$30</f>
        <v>9.5455705004552759E-3</v>
      </c>
      <c r="Q838" s="33">
        <f>+Q492/[18]Result!$K$30</f>
        <v>-5.8399143285968579E-3</v>
      </c>
      <c r="R838" s="33">
        <f>+R492/[19]Result!$K$30</f>
        <v>1.6205087165946195E-3</v>
      </c>
      <c r="S838" s="34">
        <f>+S492/[20]Result!$K$30</f>
        <v>1.241703889820135E-2</v>
      </c>
    </row>
    <row r="839" spans="1:19" hidden="1" outlineLevel="2" x14ac:dyDescent="0.25">
      <c r="A839" s="16" t="s">
        <v>32</v>
      </c>
      <c r="B839" s="25">
        <f>+B493/[21]Result!$K$31</f>
        <v>-1.6918187930287144E-2</v>
      </c>
      <c r="C839" s="25">
        <f>+C493/[1]Result!$K$31</f>
        <v>2.1064151502437296E-2</v>
      </c>
      <c r="D839" s="33">
        <f>+D493/[5]Result!$K$31</f>
        <v>-9.4015670050650799E-2</v>
      </c>
      <c r="E839" s="25">
        <f>+E493/[6]Result!$K$31</f>
        <v>2.5416885126983084E-2</v>
      </c>
      <c r="F839" s="25">
        <f>+F493/[7]Result!$K$31</f>
        <v>-2.593250842069058E-2</v>
      </c>
      <c r="G839" s="33">
        <f>+G493/[8]Result!$K$31</f>
        <v>-3.5872541864868268E-2</v>
      </c>
      <c r="H839" s="25">
        <f>+H493/[9]Result!$K$31</f>
        <v>-1.3282040140375024E-2</v>
      </c>
      <c r="I839" s="25">
        <f>+I493/[10]Result!$K$31</f>
        <v>-1.404308562460572E-2</v>
      </c>
      <c r="J839" s="33">
        <f>+J493/[11]Result!$K$31</f>
        <v>9.4477429051005937E-2</v>
      </c>
      <c r="K839" s="25">
        <f>+K493/[12]Result!$K$31</f>
        <v>3.9025676097024375E-4</v>
      </c>
      <c r="L839" s="25">
        <f>+L493/[13]Result!$K$31</f>
        <v>-3.0012971352664342E-2</v>
      </c>
      <c r="M839" s="25">
        <f>+M493/[14]Result!$K$31</f>
        <v>-0.40209657901612356</v>
      </c>
      <c r="N839" s="33">
        <f>+N493/[15]Result!$K$31</f>
        <v>1.368715143231207E-2</v>
      </c>
      <c r="O839" s="25">
        <f>+O493/[16]Result!$K$31</f>
        <v>3.453084998487034E-2</v>
      </c>
      <c r="P839" s="25">
        <f>+P493/[17]Result!$K$31</f>
        <v>7.4003238383587317E-3</v>
      </c>
      <c r="Q839" s="33">
        <f>+Q493/[18]Result!$K$31</f>
        <v>-5.9402535746693299E-3</v>
      </c>
      <c r="R839" s="33">
        <f>+R493/[19]Result!$K$31</f>
        <v>1.5553301698498106E-3</v>
      </c>
      <c r="S839" s="34">
        <f>+S493/[20]Result!$K$31</f>
        <v>1.2644217538770503E-2</v>
      </c>
    </row>
    <row r="840" spans="1:19" hidden="1" outlineLevel="2" x14ac:dyDescent="0.25">
      <c r="A840" s="16" t="s">
        <v>33</v>
      </c>
      <c r="B840" s="25">
        <f>+B494/[21]Result!$K$32</f>
        <v>-1.7282910554898515E-2</v>
      </c>
      <c r="C840" s="25">
        <f>+C494/[1]Result!$K$32</f>
        <v>2.2138456824929369E-2</v>
      </c>
      <c r="D840" s="33">
        <f>+D494/[5]Result!$K$32</f>
        <v>-8.8255216893997207E-2</v>
      </c>
      <c r="E840" s="25">
        <f>+E494/[6]Result!$K$32</f>
        <v>2.514159391022474E-2</v>
      </c>
      <c r="F840" s="25">
        <f>+F494/[7]Result!$K$32</f>
        <v>-2.6630202544048173E-2</v>
      </c>
      <c r="G840" s="33">
        <f>+G494/[8]Result!$K$32</f>
        <v>-3.3555895987800614E-2</v>
      </c>
      <c r="H840" s="25">
        <f>+H494/[9]Result!$K$32</f>
        <v>-1.3512894374408458E-2</v>
      </c>
      <c r="I840" s="25">
        <f>+I494/[10]Result!$K$32</f>
        <v>-1.4569698303307373E-2</v>
      </c>
      <c r="J840" s="33">
        <f>+J494/[11]Result!$K$32</f>
        <v>0.14507147064576123</v>
      </c>
      <c r="K840" s="25">
        <f>+K494/[12]Result!$K$32</f>
        <v>2.675888143681386E-4</v>
      </c>
      <c r="L840" s="25">
        <f>+L494/[13]Result!$K$32</f>
        <v>-3.060205363838038E-2</v>
      </c>
      <c r="M840" s="25">
        <f>+M494/[14]Result!$K$32</f>
        <v>-0.47497468558307815</v>
      </c>
      <c r="N840" s="33">
        <f>+N494/[15]Result!$K$32</f>
        <v>1.4067665816289644E-2</v>
      </c>
      <c r="O840" s="25">
        <f>+O494/[16]Result!$K$32</f>
        <v>3.5437183797644954E-2</v>
      </c>
      <c r="P840" s="25">
        <f>+P494/[17]Result!$K$32</f>
        <v>8.0211097570971002E-2</v>
      </c>
      <c r="Q840" s="33">
        <f>+Q494/[18]Result!$K$32</f>
        <v>-6.0290665097779798E-3</v>
      </c>
      <c r="R840" s="33">
        <f>+R494/[19]Result!$K$32</f>
        <v>1.3431619762348148E-3</v>
      </c>
      <c r="S840" s="34">
        <f>+S494/[20]Result!$K$32</f>
        <v>1.3125656448274252E-2</v>
      </c>
    </row>
    <row r="841" spans="1:19" hidden="1" outlineLevel="2" x14ac:dyDescent="0.25">
      <c r="A841" s="16" t="s">
        <v>34</v>
      </c>
      <c r="B841" s="25">
        <f>+B495/[21]Result!$K$33</f>
        <v>-1.7766506205936779E-2</v>
      </c>
      <c r="C841" s="25">
        <f>+C495/[1]Result!$K$33</f>
        <v>2.2949162781568215E-2</v>
      </c>
      <c r="D841" s="33">
        <f>+D495/[5]Result!$K$33</f>
        <v>-9.3478183134194526E-3</v>
      </c>
      <c r="E841" s="25">
        <f>+E495/[6]Result!$K$33</f>
        <v>2.5062172673704447E-2</v>
      </c>
      <c r="F841" s="25">
        <f>+F495/[7]Result!$K$33</f>
        <v>-2.7038075360871969E-2</v>
      </c>
      <c r="G841" s="33">
        <f>+G495/[8]Result!$K$33</f>
        <v>6.2290609619555348E-2</v>
      </c>
      <c r="H841" s="25">
        <f>+H495/[9]Result!$K$33</f>
        <v>-1.3862821696889859E-2</v>
      </c>
      <c r="I841" s="25">
        <f>+I495/[10]Result!$K$33</f>
        <v>-1.5092504817408136E-2</v>
      </c>
      <c r="J841" s="33">
        <f>+J495/[11]Result!$K$33</f>
        <v>0.16643547115967258</v>
      </c>
      <c r="K841" s="25">
        <f>+K495/[12]Result!$K$33</f>
        <v>0</v>
      </c>
      <c r="L841" s="25">
        <f>+L495/[13]Result!$K$33</f>
        <v>-3.1156066577917446E-2</v>
      </c>
      <c r="M841" s="25">
        <f>+M495/[14]Result!$K$33</f>
        <v>-0.44880624181112877</v>
      </c>
      <c r="N841" s="33">
        <f>+N495/[15]Result!$K$33</f>
        <v>1.430110743593605E-2</v>
      </c>
      <c r="O841" s="25">
        <f>+O495/[16]Result!$K$33</f>
        <v>3.6312413895683147E-2</v>
      </c>
      <c r="P841" s="25">
        <f>+P495/[17]Result!$K$33</f>
        <v>0.14388429866875338</v>
      </c>
      <c r="Q841" s="33">
        <f>+Q495/[18]Result!$K$33</f>
        <v>-5.970588545466139E-3</v>
      </c>
      <c r="R841" s="33">
        <f>+R495/[19]Result!$K$33</f>
        <v>1.1148038377980247E-3</v>
      </c>
      <c r="S841" s="34">
        <f>+S495/[20]Result!$K$33</f>
        <v>1.3603880452582665E-2</v>
      </c>
    </row>
    <row r="842" spans="1:19" hidden="1" outlineLevel="2" x14ac:dyDescent="0.25">
      <c r="A842" s="16" t="s">
        <v>35</v>
      </c>
      <c r="B842" s="25">
        <f>+B496/[21]Result!$K$34</f>
        <v>-1.8238151627220429E-2</v>
      </c>
      <c r="C842" s="25">
        <f>+C496/[1]Result!$K$34</f>
        <v>2.3760201004266623E-2</v>
      </c>
      <c r="D842" s="33">
        <f>+D496/[5]Result!$K$34</f>
        <v>-1.4339585708563878E-2</v>
      </c>
      <c r="E842" s="25">
        <f>+E496/[6]Result!$K$34</f>
        <v>2.4910336941600279E-2</v>
      </c>
      <c r="F842" s="25">
        <f>+F496/[7]Result!$K$34</f>
        <v>-2.754882368028929E-2</v>
      </c>
      <c r="G842" s="33">
        <f>+G496/[8]Result!$K$34</f>
        <v>5.5067598847210755E-2</v>
      </c>
      <c r="H842" s="25">
        <f>+H496/[9]Result!$K$34</f>
        <v>-1.4058060937393525E-2</v>
      </c>
      <c r="I842" s="25">
        <f>+I496/[10]Result!$K$34</f>
        <v>-1.5475260244767973E-2</v>
      </c>
      <c r="J842" s="33">
        <f>+J496/[11]Result!$K$34</f>
        <v>1.1994958346227031E-2</v>
      </c>
      <c r="K842" s="25">
        <f>+K496/[12]Result!$K$34</f>
        <v>0</v>
      </c>
      <c r="L842" s="25">
        <f>+L496/[13]Result!$K$34</f>
        <v>-3.1809220174586449E-2</v>
      </c>
      <c r="M842" s="25">
        <f>+M496/[14]Result!$K$34</f>
        <v>-0.36682794397429214</v>
      </c>
      <c r="N842" s="33">
        <f>+N496/[15]Result!$K$34</f>
        <v>1.4952470036584361E-2</v>
      </c>
      <c r="O842" s="25">
        <f>+O496/[16]Result!$K$34</f>
        <v>3.7159635012818888E-2</v>
      </c>
      <c r="P842" s="25">
        <f>+P496/[17]Result!$K$34</f>
        <v>8.4052299647496637E-2</v>
      </c>
      <c r="Q842" s="33">
        <f>+Q496/[18]Result!$K$34</f>
        <v>-5.8926666885685333E-3</v>
      </c>
      <c r="R842" s="33">
        <f>+R496/[19]Result!$K$34</f>
        <v>8.6390050327389664E-4</v>
      </c>
      <c r="S842" s="34">
        <f>+S496/[20]Result!$K$34</f>
        <v>1.3791496465496255E-2</v>
      </c>
    </row>
    <row r="843" spans="1:19" hidden="1" outlineLevel="1" x14ac:dyDescent="0.25">
      <c r="A843" s="15" t="s">
        <v>36</v>
      </c>
      <c r="B843" s="25">
        <f>+B497/'[21]Stat by Mat'!$M$7</f>
        <v>-1.9057037221259742E-2</v>
      </c>
      <c r="C843" s="25">
        <f>+C497/'[1]Stat by Mat'!$M$7</f>
        <v>2.5554149469323759E-2</v>
      </c>
      <c r="D843" s="33">
        <f>+D497/'[5]Stat by Mat'!$M$7</f>
        <v>-3.1643143831286857E-2</v>
      </c>
      <c r="E843" s="25">
        <f>+E497/'[6]Stat by Mat'!$M$7</f>
        <v>2.4507731206436983E-2</v>
      </c>
      <c r="F843" s="25">
        <f>+F497/'[7]Stat by Mat'!$M$7</f>
        <v>-2.8683104055127855E-2</v>
      </c>
      <c r="G843" s="33">
        <f>+G497/'[8]Stat by Mat'!$M$7</f>
        <v>2.5019413028680652E-2</v>
      </c>
      <c r="H843" s="25">
        <f>+H497/'[9]Stat by Mat'!$M$7</f>
        <v>-1.4226956772591923E-2</v>
      </c>
      <c r="I843" s="25">
        <f>+I497/'[10]Stat by Mat'!$M$7</f>
        <v>-1.6565898573077168E-2</v>
      </c>
      <c r="J843" s="33">
        <f>+J497/'[11]Stat by Mat'!$M$7</f>
        <v>4.2305454678069329E-2</v>
      </c>
      <c r="K843" s="25">
        <f>+K497/'[12]Stat by Mat'!$M$7</f>
        <v>-2.353069810457748E-4</v>
      </c>
      <c r="L843" s="25">
        <f>+L497/'[13]Stat by Mat'!$M$7</f>
        <v>-3.3441957067533182E-2</v>
      </c>
      <c r="M843" s="25">
        <f>+M497/'[14]Stat by Mat'!$M$7</f>
        <v>-0.53926308654143729</v>
      </c>
      <c r="N843" s="33">
        <f>+N497/'[15]Stat by Mat'!$M$7</f>
        <v>1.614104109884567E-2</v>
      </c>
      <c r="O843" s="25">
        <f>+O497/'[16]Stat by Mat'!$M$7</f>
        <v>3.944187175747646E-2</v>
      </c>
      <c r="P843" s="25">
        <f>+P497/'[16]Stat by Mat'!$M$7</f>
        <v>0.36359040584112273</v>
      </c>
      <c r="Q843" s="33">
        <f>+Q497/'[16]Stat by Mat'!$M$7</f>
        <v>-8.2060744982696415E-3</v>
      </c>
      <c r="R843" s="33">
        <f>+R497/'[16]Stat by Mat'!$M$7</f>
        <v>6.659072275055156E-4</v>
      </c>
      <c r="S843" s="34">
        <f>+S497/'[16]Stat by Mat'!$M$7</f>
        <v>2.0056430869147077E-2</v>
      </c>
    </row>
    <row r="844" spans="1:19" hidden="1" outlineLevel="2" x14ac:dyDescent="0.25">
      <c r="A844" s="16" t="s">
        <v>37</v>
      </c>
      <c r="B844" s="25">
        <f>+B498/[21]Result!$K$35</f>
        <v>-1.8553620112980014E-2</v>
      </c>
      <c r="C844" s="25">
        <f>+C498/[1]Result!$K$35</f>
        <v>2.4417232061445932E-2</v>
      </c>
      <c r="D844" s="33">
        <f>+D498/[5]Result!$K$35</f>
        <v>-2.3073395808559497E-2</v>
      </c>
      <c r="E844" s="25">
        <f>+E498/[6]Result!$K$35</f>
        <v>2.4689785330387851E-2</v>
      </c>
      <c r="F844" s="25">
        <f>+F498/[7]Result!$K$35</f>
        <v>-2.8028902332321089E-2</v>
      </c>
      <c r="G844" s="33">
        <f>+G498/[8]Result!$K$35</f>
        <v>3.3568191251415844E-2</v>
      </c>
      <c r="H844" s="25">
        <f>+H498/[9]Result!$K$35</f>
        <v>-1.4088921028820842E-2</v>
      </c>
      <c r="I844" s="25">
        <f>+I498/[10]Result!$K$35</f>
        <v>-1.5846690800599E-2</v>
      </c>
      <c r="J844" s="33">
        <f>+J498/[11]Result!$K$35</f>
        <v>1.9625611560856099E-2</v>
      </c>
      <c r="K844" s="25">
        <f>+K498/[12]Result!$K$35</f>
        <v>0</v>
      </c>
      <c r="L844" s="25">
        <f>+L498/[13]Result!$K$35</f>
        <v>-3.2434819124098457E-2</v>
      </c>
      <c r="M844" s="25">
        <f>+M498/[14]Result!$K$35</f>
        <v>-0.41013441184769078</v>
      </c>
      <c r="N844" s="33">
        <f>+N498/[15]Result!$K$35</f>
        <v>1.5461085211868881E-2</v>
      </c>
      <c r="O844" s="25">
        <f>+O498/[16]Result!$K$35</f>
        <v>3.7975523985231303E-2</v>
      </c>
      <c r="P844" s="25">
        <f>+P498/[17]Result!$K$35</f>
        <v>0.12304402539481611</v>
      </c>
      <c r="Q844" s="33">
        <f>+Q498/[18]Result!$K$35</f>
        <v>-5.7953236368605051E-3</v>
      </c>
      <c r="R844" s="33">
        <f>+R498/[19]Result!$K$35</f>
        <v>7.4609108587516293E-4</v>
      </c>
      <c r="S844" s="34">
        <f>+S498/[20]Result!$K$35</f>
        <v>1.3807567740820145E-2</v>
      </c>
    </row>
    <row r="845" spans="1:19" hidden="1" outlineLevel="2" x14ac:dyDescent="0.25">
      <c r="A845" s="16" t="s">
        <v>38</v>
      </c>
      <c r="B845" s="25">
        <f>+B499/[21]Result!$K$36</f>
        <v>-1.8849608518102131E-2</v>
      </c>
      <c r="C845" s="25">
        <f>+C499/[1]Result!$K$36</f>
        <v>2.5066044119254512E-2</v>
      </c>
      <c r="D845" s="33">
        <f>+D499/[5]Result!$K$36</f>
        <v>-3.7314272365379299E-2</v>
      </c>
      <c r="E845" s="25">
        <f>+E499/[6]Result!$K$36</f>
        <v>2.4556354367406826E-2</v>
      </c>
      <c r="F845" s="25">
        <f>+F499/[7]Result!$K$36</f>
        <v>-2.8330736006586529E-2</v>
      </c>
      <c r="G845" s="33">
        <f>+G499/[8]Result!$K$36</f>
        <v>1.6801722238871386E-2</v>
      </c>
      <c r="H845" s="25">
        <f>+H499/[9]Result!$K$36</f>
        <v>-1.4242176295259866E-2</v>
      </c>
      <c r="I845" s="25">
        <f>+I499/[10]Result!$K$36</f>
        <v>-1.620961289511676E-2</v>
      </c>
      <c r="J845" s="33">
        <f>+J499/[11]Result!$K$36</f>
        <v>4.7622789220543631E-2</v>
      </c>
      <c r="K845" s="25">
        <f>+K499/[12]Result!$K$36</f>
        <v>-1.5472763405868792E-4</v>
      </c>
      <c r="L845" s="25">
        <f>+L499/[13]Result!$K$36</f>
        <v>-3.2880818836114566E-2</v>
      </c>
      <c r="M845" s="25">
        <f>+M499/[14]Result!$K$36</f>
        <v>-0.51426184118821905</v>
      </c>
      <c r="N845" s="33">
        <f>+N499/[15]Result!$K$36</f>
        <v>1.5658646602385109E-2</v>
      </c>
      <c r="O845" s="25">
        <f>+O499/[16]Result!$K$36</f>
        <v>3.8602163886182705E-2</v>
      </c>
      <c r="P845" s="25">
        <f>+P499/[17]Result!$K$36</f>
        <v>0.2241718423479587</v>
      </c>
      <c r="Q845" s="33">
        <f>+Q499/[18]Result!$K$36</f>
        <v>-5.8321235911651843E-3</v>
      </c>
      <c r="R845" s="33">
        <f>+R499/[19]Result!$K$36</f>
        <v>7.6931227942732619E-4</v>
      </c>
      <c r="S845" s="34">
        <f>+S499/[20]Result!$K$36</f>
        <v>1.3951874446601101E-2</v>
      </c>
    </row>
    <row r="846" spans="1:19" hidden="1" outlineLevel="2" x14ac:dyDescent="0.25">
      <c r="A846" s="16" t="s">
        <v>39</v>
      </c>
      <c r="B846" s="25">
        <f>+B500/[21]Result!$K$37</f>
        <v>-1.8969034159343194E-2</v>
      </c>
      <c r="C846" s="25">
        <f>+C500/[1]Result!$K$37</f>
        <v>2.5539242522369832E-2</v>
      </c>
      <c r="D846" s="33">
        <f>+D500/[5]Result!$K$37</f>
        <v>-3.2999062722046425E-2</v>
      </c>
      <c r="E846" s="25">
        <f>+E500/[6]Result!$K$37</f>
        <v>2.4362671443778981E-2</v>
      </c>
      <c r="F846" s="25">
        <f>+F500/[7]Result!$K$37</f>
        <v>-2.8594280884555453E-2</v>
      </c>
      <c r="G846" s="33">
        <f>+G500/[8]Result!$K$37</f>
        <v>1.6376594510123903E-2</v>
      </c>
      <c r="H846" s="25">
        <f>+H500/[9]Result!$K$37</f>
        <v>-1.421870706254348E-2</v>
      </c>
      <c r="I846" s="25">
        <f>+I500/[10]Result!$K$37</f>
        <v>-1.6561617144281462E-2</v>
      </c>
      <c r="J846" s="33">
        <f>+J500/[11]Result!$K$37</f>
        <v>8.2846530694753298E-2</v>
      </c>
      <c r="K846" s="25">
        <f>+K500/[12]Result!$K$37</f>
        <v>-3.1803418512954594E-4</v>
      </c>
      <c r="L846" s="25">
        <f>+L500/[13]Result!$K$37</f>
        <v>-3.3290878160367826E-2</v>
      </c>
      <c r="M846" s="25">
        <f>+M500/[14]Result!$K$37</f>
        <v>-0.59648442660773437</v>
      </c>
      <c r="N846" s="33">
        <f>+N500/[15]Result!$K$37</f>
        <v>1.5997980821531959E-2</v>
      </c>
      <c r="O846" s="25">
        <f>+O500/[16]Result!$K$37</f>
        <v>3.9188445416874232E-2</v>
      </c>
      <c r="P846" s="25">
        <f>+P500/[17]Result!$K$37</f>
        <v>0.35089225199952989</v>
      </c>
      <c r="Q846" s="33">
        <f>+Q500/[18]Result!$K$37</f>
        <v>-5.8580795193656646E-3</v>
      </c>
      <c r="R846" s="33">
        <f>+R500/[19]Result!$K$37</f>
        <v>6.3537195793380782E-4</v>
      </c>
      <c r="S846" s="34">
        <f>+S500/[20]Result!$K$37</f>
        <v>1.4235630784317164E-2</v>
      </c>
    </row>
    <row r="847" spans="1:19" hidden="1" outlineLevel="2" x14ac:dyDescent="0.25">
      <c r="A847" s="16" t="s">
        <v>40</v>
      </c>
      <c r="B847" s="25">
        <f>+B501/[21]Result!$K$38</f>
        <v>-1.9060692123354046E-2</v>
      </c>
      <c r="C847" s="25">
        <f>+C501/[1]Result!$K$38</f>
        <v>2.5825504335115969E-2</v>
      </c>
      <c r="D847" s="33">
        <f>+D501/[5]Result!$K$38</f>
        <v>-2.6112357216033267E-2</v>
      </c>
      <c r="E847" s="25">
        <f>+E501/[6]Result!$K$38</f>
        <v>2.4446484024191622E-2</v>
      </c>
      <c r="F847" s="25">
        <f>+F501/[7]Result!$K$38</f>
        <v>-2.8979721111478313E-2</v>
      </c>
      <c r="G847" s="33">
        <f>+G501/[8]Result!$K$38</f>
        <v>2.003856417483978E-2</v>
      </c>
      <c r="H847" s="25">
        <f>+H501/[9]Result!$K$38</f>
        <v>-1.4005150120435761E-2</v>
      </c>
      <c r="I847" s="25">
        <f>+I501/[10]Result!$K$38</f>
        <v>-1.6904826182811802E-2</v>
      </c>
      <c r="J847" s="33">
        <f>+J501/[11]Result!$K$38</f>
        <v>4.8529600748885807E-2</v>
      </c>
      <c r="K847" s="25">
        <f>+K501/[12]Result!$K$38</f>
        <v>-3.2779077208617478E-4</v>
      </c>
      <c r="L847" s="25">
        <f>+L501/[13]Result!$K$38</f>
        <v>-3.3819803501069418E-2</v>
      </c>
      <c r="M847" s="25">
        <f>+M501/[14]Result!$K$38</f>
        <v>-0.64664147268476546</v>
      </c>
      <c r="N847" s="33">
        <f>+N501/[15]Result!$K$38</f>
        <v>1.6326739949532414E-2</v>
      </c>
      <c r="O847" s="25">
        <f>+O501/[16]Result!$K$38</f>
        <v>3.9905343514996576E-2</v>
      </c>
      <c r="P847" s="25">
        <f>+P501/[17]Result!$K$38</f>
        <v>0.40166110189045989</v>
      </c>
      <c r="Q847" s="33">
        <f>+Q501/[18]Result!$K$38</f>
        <v>-5.8753026675949886E-3</v>
      </c>
      <c r="R847" s="33">
        <f>+R501/[19]Result!$K$38</f>
        <v>4.9071861095957353E-4</v>
      </c>
      <c r="S847" s="34">
        <f>+S501/[20]Result!$K$38</f>
        <v>1.4510498623514462E-2</v>
      </c>
    </row>
    <row r="848" spans="1:19" hidden="1" outlineLevel="2" x14ac:dyDescent="0.25">
      <c r="A848" s="16" t="s">
        <v>41</v>
      </c>
      <c r="B848" s="25">
        <f>+B502/[21]Result!$K$39</f>
        <v>-1.9455485440784862E-2</v>
      </c>
      <c r="C848" s="25">
        <f>+C502/[1]Result!$K$39</f>
        <v>2.642906278850209E-2</v>
      </c>
      <c r="D848" s="33">
        <f>+D502/[5]Result!$K$39</f>
        <v>-5.1410781103252895E-2</v>
      </c>
      <c r="E848" s="25">
        <f>+E502/[6]Result!$K$39</f>
        <v>2.4487794205726304E-2</v>
      </c>
      <c r="F848" s="25">
        <f>+F502/[7]Result!$K$39</f>
        <v>-2.9170590384424946E-2</v>
      </c>
      <c r="G848" s="33">
        <f>+G502/[8]Result!$K$39</f>
        <v>7.7015519173174564E-3</v>
      </c>
      <c r="H848" s="25">
        <f>+H502/[9]Result!$K$39</f>
        <v>-1.4086802672784999E-2</v>
      </c>
      <c r="I848" s="25">
        <f>+I502/[10]Result!$K$39</f>
        <v>-1.7071031583881176E-2</v>
      </c>
      <c r="J848" s="33">
        <f>+J502/[11]Result!$K$39</f>
        <v>2.7390409296645494E-2</v>
      </c>
      <c r="K848" s="25">
        <f>+K502/[12]Result!$K$39</f>
        <v>-3.3754554513645439E-4</v>
      </c>
      <c r="L848" s="25">
        <f>+L502/[13]Result!$K$39</f>
        <v>-3.4157617605886065E-2</v>
      </c>
      <c r="M848" s="25">
        <f>+M502/[14]Result!$K$39</f>
        <v>-0.70175660828264297</v>
      </c>
      <c r="N848" s="33">
        <f>+N502/[15]Result!$K$39</f>
        <v>1.6646396102871337E-2</v>
      </c>
      <c r="O848" s="25">
        <f>+O502/[16]Result!$K$39</f>
        <v>4.0415500329265004E-2</v>
      </c>
      <c r="P848" s="25">
        <f>+P502/[17]Result!$K$39</f>
        <v>0.4887639439346062</v>
      </c>
      <c r="Q848" s="33">
        <f>+Q502/[18]Result!$K$39</f>
        <v>-5.881958414572821E-3</v>
      </c>
      <c r="R848" s="33">
        <f>+R502/[19]Result!$K$39</f>
        <v>1.6821810471517111E-4</v>
      </c>
      <c r="S848" s="34">
        <f>+S502/[20]Result!$K$39</f>
        <v>1.4774571007346478E-2</v>
      </c>
    </row>
    <row r="849" spans="1:20" hidden="1" outlineLevel="2" x14ac:dyDescent="0.25">
      <c r="A849" s="16" t="s">
        <v>42</v>
      </c>
      <c r="B849" s="25">
        <f>+B503/[21]Result!$K$40</f>
        <v>-1.9668448078835277E-2</v>
      </c>
      <c r="C849" s="25">
        <f>+C503/[1]Result!$K$40</f>
        <v>2.6842606083722534E-2</v>
      </c>
      <c r="D849" s="33">
        <f>+D503/[5]Result!$K$40</f>
        <v>-4.411371104633359E-2</v>
      </c>
      <c r="E849" s="25">
        <f>+E503/[6]Result!$K$40</f>
        <v>2.4312075547221559E-2</v>
      </c>
      <c r="F849" s="25">
        <f>+F503/[7]Result!$K$40</f>
        <v>-2.9325023359099534E-2</v>
      </c>
      <c r="G849" s="33">
        <f>+G503/[8]Result!$K$40</f>
        <v>2.0586698580024935E-2</v>
      </c>
      <c r="H849" s="25">
        <f>+H503/[9]Result!$K$40</f>
        <v>-1.4490892416762064E-2</v>
      </c>
      <c r="I849" s="25">
        <f>+I503/[10]Result!$K$40</f>
        <v>-1.7219418307121717E-2</v>
      </c>
      <c r="J849" s="33">
        <f>+J503/[11]Result!$K$40</f>
        <v>5.8100595344299899E-2</v>
      </c>
      <c r="K849" s="25">
        <f>+K503/[12]Result!$K$40</f>
        <v>-5.212127141019893E-4</v>
      </c>
      <c r="L849" s="25">
        <f>+L503/[13]Result!$K$40</f>
        <v>-3.4457486313524792E-2</v>
      </c>
      <c r="M849" s="25">
        <f>+M503/[14]Result!$K$40</f>
        <v>-0.81629015642823377</v>
      </c>
      <c r="N849" s="33">
        <f>+N503/[15]Result!$K$40</f>
        <v>1.6955517944243267E-2</v>
      </c>
      <c r="O849" s="25">
        <f>+O503/[16]Result!$K$40</f>
        <v>4.1067290823655359E-2</v>
      </c>
      <c r="P849" s="25">
        <f>+P503/[17]Result!$K$40</f>
        <v>0.9994414447516381</v>
      </c>
      <c r="Q849" s="33">
        <f>+Q503/[18]Result!$K$40</f>
        <v>-5.8796106790310766E-3</v>
      </c>
      <c r="R849" s="33">
        <f>+R503/[19]Result!$K$40</f>
        <v>1.737466365037654E-4</v>
      </c>
      <c r="S849" s="34">
        <f>+S503/[20]Result!$K$40</f>
        <v>1.4676880630385797E-2</v>
      </c>
    </row>
    <row r="850" spans="1:20" hidden="1" outlineLevel="2" x14ac:dyDescent="0.25">
      <c r="A850" s="16" t="s">
        <v>43</v>
      </c>
      <c r="B850" s="25">
        <f>+B504/[21]Result!$K$41</f>
        <v>-1.9863504175653864E-2</v>
      </c>
      <c r="C850" s="25">
        <f>+C504/[1]Result!$K$41</f>
        <v>2.7053143270927189E-2</v>
      </c>
      <c r="D850" s="33">
        <f>+D504/[5]Result!$K$41</f>
        <v>-2.8616316252332435E-2</v>
      </c>
      <c r="E850" s="25">
        <f>+E504/[6]Result!$K$41</f>
        <v>2.4269125281128279E-2</v>
      </c>
      <c r="F850" s="25">
        <f>+F504/[7]Result!$K$41</f>
        <v>-2.9613902802614722E-2</v>
      </c>
      <c r="G850" s="33">
        <f>+G504/[8]Result!$K$41</f>
        <v>3.1140953008726605E-2</v>
      </c>
      <c r="H850" s="25">
        <f>+H504/[9]Result!$K$41</f>
        <v>-1.4542172709886189E-2</v>
      </c>
      <c r="I850" s="25">
        <f>+I504/[10]Result!$K$41</f>
        <v>-1.7523072901042117E-2</v>
      </c>
      <c r="J850" s="33">
        <f>+J504/[11]Result!$K$41</f>
        <v>9.2201377670919571E-2</v>
      </c>
      <c r="K850" s="25">
        <f>+K504/[12]Result!$K$41</f>
        <v>-5.3529805407213612E-4</v>
      </c>
      <c r="L850" s="25">
        <f>+L504/[13]Result!$K$41</f>
        <v>-3.4892019852425557E-2</v>
      </c>
      <c r="M850" s="25">
        <f>+M504/[14]Result!$K$41</f>
        <v>-0.92681800932145064</v>
      </c>
      <c r="N850" s="33">
        <f>+N504/[15]Result!$K$41</f>
        <v>1.7255335778284881E-2</v>
      </c>
      <c r="O850" s="25">
        <f>+O504/[16]Result!$K$41</f>
        <v>4.1687475988207233E-2</v>
      </c>
      <c r="P850" s="25">
        <f>+P504/[17]Result!$K$41</f>
        <v>3.0053348093866168</v>
      </c>
      <c r="Q850" s="33">
        <f>+Q504/[18]Result!$K$41</f>
        <v>-5.8669750896141208E-3</v>
      </c>
      <c r="R850" s="33">
        <f>+R504/[19]Result!$K$41</f>
        <v>1.7811479399864902E-4</v>
      </c>
      <c r="S850" s="34">
        <f>+S504/[20]Result!$K$41</f>
        <v>1.4912534415093298E-2</v>
      </c>
    </row>
    <row r="851" spans="1:20" hidden="1" outlineLevel="2" x14ac:dyDescent="0.25">
      <c r="A851" s="16" t="s">
        <v>44</v>
      </c>
      <c r="B851" s="25">
        <f>+B505/[21]Result!$K$42</f>
        <v>-2.0038114224391793E-2</v>
      </c>
      <c r="C851" s="25">
        <f>+C505/[1]Result!$K$42</f>
        <v>2.7422245449376808E-2</v>
      </c>
      <c r="D851" s="33">
        <f>+D505/[5]Result!$K$42</f>
        <v>-2.5106950021046904E-3</v>
      </c>
      <c r="E851" s="25">
        <f>+E505/[6]Result!$K$42</f>
        <v>2.418600359728923E-2</v>
      </c>
      <c r="F851" s="25">
        <f>+F505/[7]Result!$K$42</f>
        <v>-2.9696190048978454E-2</v>
      </c>
      <c r="G851" s="33">
        <f>+G505/[8]Result!$K$42</f>
        <v>4.7770278716192723E-2</v>
      </c>
      <c r="H851" s="25">
        <f>+H505/[9]Result!$K$42</f>
        <v>-1.4575127321056629E-2</v>
      </c>
      <c r="I851" s="25">
        <f>+I505/[10]Result!$K$42</f>
        <v>-1.7637105846087076E-2</v>
      </c>
      <c r="J851" s="33">
        <f>+J505/[11]Result!$K$42</f>
        <v>0.12330928587449093</v>
      </c>
      <c r="K851" s="25">
        <f>+K505/[12]Result!$K$42</f>
        <v>-5.5031284912869494E-4</v>
      </c>
      <c r="L851" s="25">
        <f>+L505/[13]Result!$K$42</f>
        <v>-3.5297541389492051E-2</v>
      </c>
      <c r="M851" s="25">
        <f>+M505/[14]Result!$K$42</f>
        <v>-0.97823829389633332</v>
      </c>
      <c r="N851" s="33">
        <f>+N505/[15]Result!$K$42</f>
        <v>1.773131839246329E-2</v>
      </c>
      <c r="O851" s="25">
        <f>+O505/[16]Result!$K$42</f>
        <v>4.2087583963791329E-2</v>
      </c>
      <c r="P851" s="25">
        <f>+P505/[17]Result!$K$42</f>
        <v>12.246657511130289</v>
      </c>
      <c r="Q851" s="33">
        <f>+Q505/[18]Result!$K$42</f>
        <v>-6.0272838342723643E-3</v>
      </c>
      <c r="R851" s="33">
        <f>+R505/[19]Result!$K$42</f>
        <v>0</v>
      </c>
      <c r="S851" s="34">
        <f>+S505/[20]Result!$K$42</f>
        <v>1.5322976704450982E-2</v>
      </c>
    </row>
    <row r="852" spans="1:20" hidden="1" outlineLevel="2" x14ac:dyDescent="0.25">
      <c r="A852" s="16" t="s">
        <v>45</v>
      </c>
      <c r="B852" s="25">
        <f>+B506/[21]Result!$K$43</f>
        <v>-2.0009152955106215E-2</v>
      </c>
      <c r="C852" s="25">
        <f>+C506/[1]Result!$K$43</f>
        <v>2.7577028420623619E-2</v>
      </c>
      <c r="D852" s="33">
        <f>+D506/[5]Result!$K$43</f>
        <v>3.6888453719196002E-3</v>
      </c>
      <c r="E852" s="25">
        <f>+E506/[6]Result!$K$43</f>
        <v>2.4256237722968227E-2</v>
      </c>
      <c r="F852" s="25">
        <f>+F506/[7]Result!$K$43</f>
        <v>-2.9923663510247212E-2</v>
      </c>
      <c r="G852" s="33">
        <f>+G506/[8]Result!$K$43</f>
        <v>3.0366933032803047E-2</v>
      </c>
      <c r="H852" s="25">
        <f>+H506/[9]Result!$K$43</f>
        <v>-1.4773862467659738E-2</v>
      </c>
      <c r="I852" s="25">
        <f>+I506/[10]Result!$K$43</f>
        <v>-1.7916877170335348E-2</v>
      </c>
      <c r="J852" s="33">
        <f>+J506/[11]Result!$K$43</f>
        <v>3.768849319398835E-2</v>
      </c>
      <c r="K852" s="25">
        <f>+K506/[12]Result!$K$43</f>
        <v>-5.6469626100300323E-4</v>
      </c>
      <c r="L852" s="25">
        <f>+L506/[13]Result!$K$43</f>
        <v>-3.5493343241105438E-2</v>
      </c>
      <c r="M852" s="25">
        <f>+M506/[14]Result!$K$43</f>
        <v>-1.0048303848432263</v>
      </c>
      <c r="N852" s="33">
        <f>+N506/[15]Result!$K$43</f>
        <v>1.8016120218909477E-2</v>
      </c>
      <c r="O852" s="25">
        <f>+O506/[16]Result!$K$43</f>
        <v>4.26425676687886E-2</v>
      </c>
      <c r="P852" s="25">
        <f>+P506/[17]Result!$K$43</f>
        <v>-48.186772119798526</v>
      </c>
      <c r="Q852" s="33">
        <f>+Q506/[18]Result!$K$43</f>
        <v>-5.9999872433939604E-3</v>
      </c>
      <c r="R852" s="33">
        <f>+R506/[19]Result!$K$43</f>
        <v>0</v>
      </c>
      <c r="S852" s="34">
        <f>+S506/[20]Result!$K$43</f>
        <v>1.5160942151452951E-2</v>
      </c>
    </row>
    <row r="853" spans="1:20" hidden="1" outlineLevel="2" x14ac:dyDescent="0.25">
      <c r="A853" s="16" t="s">
        <v>46</v>
      </c>
      <c r="B853" s="25">
        <f>+B507/[21]Result!$K$44</f>
        <v>-2.0141068425121481E-2</v>
      </c>
      <c r="C853" s="25">
        <f>+C507/[1]Result!$K$44</f>
        <v>2.7701862228041201E-2</v>
      </c>
      <c r="D853" s="33">
        <f>+D507/[5]Result!$K$44</f>
        <v>-8.5666883603792862E-2</v>
      </c>
      <c r="E853" s="25">
        <f>+E507/[6]Result!$K$44</f>
        <v>2.4494363869357865E-2</v>
      </c>
      <c r="F853" s="25">
        <f>+F507/[7]Result!$K$44</f>
        <v>-3.030996302259744E-2</v>
      </c>
      <c r="G853" s="33">
        <f>+G507/[8]Result!$K$44</f>
        <v>5.0767852279225825E-2</v>
      </c>
      <c r="H853" s="25">
        <f>+H507/[9]Result!$K$44</f>
        <v>-1.4772689708075853E-2</v>
      </c>
      <c r="I853" s="25">
        <f>+I507/[10]Result!$K$44</f>
        <v>-1.8186881487123396E-2</v>
      </c>
      <c r="J853" s="33">
        <f>+J507/[11]Result!$K$44</f>
        <v>-6.1529874815648956E-2</v>
      </c>
      <c r="K853" s="25">
        <f>+K507/[12]Result!$K$44</f>
        <v>-3.8630266662241139E-4</v>
      </c>
      <c r="L853" s="25">
        <f>+L507/[13]Result!$K$44</f>
        <v>-3.5837614617320726E-2</v>
      </c>
      <c r="M853" s="25">
        <f>+M507/[14]Result!$K$44</f>
        <v>-1.0392226987098527</v>
      </c>
      <c r="N853" s="33">
        <f>+N507/[15]Result!$K$44</f>
        <v>1.8094801278694572E-2</v>
      </c>
      <c r="O853" s="25">
        <f>+O507/[16]Result!$K$44</f>
        <v>4.3167323720221661E-2</v>
      </c>
      <c r="P853" s="25">
        <f>+P507/[17]Result!$K$44</f>
        <v>-7.2082531269513765</v>
      </c>
      <c r="Q853" s="33">
        <f>+Q507/[18]Result!$K$44</f>
        <v>-5.7716165067167868E-3</v>
      </c>
      <c r="R853" s="33">
        <f>+R507/[19]Result!$K$44</f>
        <v>0</v>
      </c>
      <c r="S853" s="34">
        <f>+S507/[20]Result!$K$44</f>
        <v>1.5165294912590516E-2</v>
      </c>
    </row>
    <row r="854" spans="1:20" hidden="1" outlineLevel="2" x14ac:dyDescent="0.25">
      <c r="A854" s="16" t="s">
        <v>47</v>
      </c>
      <c r="B854" s="25">
        <f>+B508/[21]Result!$K$45</f>
        <v>-2.0253705581568329E-2</v>
      </c>
      <c r="C854" s="25">
        <f>+C508/[1]Result!$K$45</f>
        <v>2.8000545030735728E-2</v>
      </c>
      <c r="D854" s="33">
        <f>+D508/[5]Result!$K$45</f>
        <v>-6.7885899634172117E-2</v>
      </c>
      <c r="E854" s="25">
        <f>+E508/[6]Result!$K$45</f>
        <v>2.4509127541707372E-2</v>
      </c>
      <c r="F854" s="25">
        <f>+F508/[7]Result!$K$45</f>
        <v>-3.0484740014777696E-2</v>
      </c>
      <c r="G854" s="33">
        <f>+G508/[8]Result!$K$45</f>
        <v>5.5978212634545069E-2</v>
      </c>
      <c r="H854" s="25">
        <f>+H508/[9]Result!$K$45</f>
        <v>-1.4752237301604465E-2</v>
      </c>
      <c r="I854" s="25">
        <f>+I508/[10]Result!$K$45</f>
        <v>-1.8252818435072322E-2</v>
      </c>
      <c r="J854" s="33">
        <f>+J508/[11]Result!$K$45</f>
        <v>-6.4139541556117424E-2</v>
      </c>
      <c r="K854" s="25">
        <f>+K508/[12]Result!$K$45</f>
        <v>-5.9398568120361207E-4</v>
      </c>
      <c r="L854" s="25">
        <f>+L508/[13]Result!$K$45</f>
        <v>-3.6153461684237782E-2</v>
      </c>
      <c r="M854" s="25">
        <f>+M508/[14]Result!$K$45</f>
        <v>3.9506454195200469</v>
      </c>
      <c r="N854" s="33">
        <f>+N508/[15]Result!$K$45</f>
        <v>1.815359730236641E-2</v>
      </c>
      <c r="O854" s="25">
        <f>+O508/[16]Result!$K$45</f>
        <v>4.3661707800131393E-2</v>
      </c>
      <c r="P854" s="25">
        <f>+P508/[17]Result!$K$45</f>
        <v>0.40290260920700444</v>
      </c>
      <c r="Q854" s="33">
        <f>+Q508/[18]Result!$K$45</f>
        <v>-5.9170170364942209E-3</v>
      </c>
      <c r="R854" s="33">
        <f>+R508/[19]Result!$K$45</f>
        <v>-1.977016826841837E-4</v>
      </c>
      <c r="S854" s="34">
        <f>+S508/[20]Result!$K$45</f>
        <v>1.5551328875086378E-2</v>
      </c>
    </row>
    <row r="855" spans="1:20" hidden="1" outlineLevel="2" x14ac:dyDescent="0.25">
      <c r="A855" s="16" t="s">
        <v>48</v>
      </c>
      <c r="B855" s="25">
        <f>+B509/[21]Result!$K$46</f>
        <v>-2.0347185664107634E-2</v>
      </c>
      <c r="C855" s="25">
        <f>+C509/[1]Result!$K$46</f>
        <v>2.8279222281931526E-2</v>
      </c>
      <c r="D855" s="33">
        <f>+D509/[5]Result!$K$46</f>
        <v>-5.4450918442005794E-2</v>
      </c>
      <c r="E855" s="25">
        <f>+E509/[6]Result!$K$46</f>
        <v>2.4493859405239508E-2</v>
      </c>
      <c r="F855" s="25">
        <f>+F509/[7]Result!$K$46</f>
        <v>-3.0631051480793162E-2</v>
      </c>
      <c r="G855" s="33">
        <f>+G509/[8]Result!$K$46</f>
        <v>5.6645162214249201E-2</v>
      </c>
      <c r="H855" s="25">
        <f>+H509/[9]Result!$K$46</f>
        <v>-1.4712497151099896E-2</v>
      </c>
      <c r="I855" s="25">
        <f>+I509/[10]Result!$K$46</f>
        <v>-1.8299544555032146E-2</v>
      </c>
      <c r="J855" s="33">
        <f>+J509/[11]Result!$K$46</f>
        <v>-5.1436915760067245E-2</v>
      </c>
      <c r="K855" s="25">
        <f>+K509/[12]Result!$K$46</f>
        <v>-6.0878719204201864E-4</v>
      </c>
      <c r="L855" s="25">
        <f>+L509/[13]Result!$K$46</f>
        <v>-3.6245502334643E-2</v>
      </c>
      <c r="M855" s="25">
        <f>+M509/[14]Result!$K$46</f>
        <v>3.4095632818464749</v>
      </c>
      <c r="N855" s="33">
        <f>+N509/[15]Result!$K$46</f>
        <v>1.8398639615674308E-2</v>
      </c>
      <c r="O855" s="25">
        <f>+O509/[16]Result!$K$46</f>
        <v>4.3914129330205325E-2</v>
      </c>
      <c r="P855" s="25">
        <f>+P509/[17]Result!$K$46</f>
        <v>0.74098998636506164</v>
      </c>
      <c r="Q855" s="33">
        <f>+Q509/[18]Result!$K$46</f>
        <v>-5.8610360403016067E-3</v>
      </c>
      <c r="R855" s="33">
        <f>+R509/[19]Result!$K$46</f>
        <v>-2.0277301141125229E-4</v>
      </c>
      <c r="S855" s="34">
        <f>+S509/[20]Result!$K$46</f>
        <v>1.5526006977032743E-2</v>
      </c>
    </row>
    <row r="856" spans="1:20" hidden="1" outlineLevel="2" x14ac:dyDescent="0.25">
      <c r="A856" s="16" t="s">
        <v>49</v>
      </c>
      <c r="B856" s="25">
        <f>+B510/[21]Result!$K$47</f>
        <v>-2.0421506497929894E-2</v>
      </c>
      <c r="C856" s="25">
        <f>+C510/[1]Result!$K$47</f>
        <v>2.832357291313433E-2</v>
      </c>
      <c r="D856" s="33">
        <f>+D510/[5]Result!$K$47</f>
        <v>-3.6876150112787609E-2</v>
      </c>
      <c r="E856" s="25">
        <f>+E510/[6]Result!$K$47</f>
        <v>2.4448661047247001E-2</v>
      </c>
      <c r="F856" s="25">
        <f>+F510/[7]Result!$K$47</f>
        <v>-3.0748989270968849E-2</v>
      </c>
      <c r="G856" s="33">
        <f>+G510/[8]Result!$K$47</f>
        <v>4.6277459127454942E-2</v>
      </c>
      <c r="H856" s="25">
        <f>+H510/[9]Result!$K$47</f>
        <v>-1.4858164835859647E-2</v>
      </c>
      <c r="I856" s="25">
        <f>+I510/[10]Result!$K$47</f>
        <v>-1.8327052565895351E-2</v>
      </c>
      <c r="J856" s="33">
        <f>+J510/[11]Result!$K$47</f>
        <v>-4.069384031184143E-2</v>
      </c>
      <c r="K856" s="25">
        <f>+K510/[12]Result!$K$47</f>
        <v>-6.2306295896245748E-4</v>
      </c>
      <c r="L856" s="25">
        <f>+L510/[13]Result!$K$47</f>
        <v>-3.6499685818010746E-2</v>
      </c>
      <c r="M856" s="25">
        <f>+M510/[14]Result!$K$47</f>
        <v>2.407205999741834</v>
      </c>
      <c r="N856" s="33">
        <f>+N510/[15]Result!$K$47</f>
        <v>1.8845262728008304E-2</v>
      </c>
      <c r="O856" s="25">
        <f>+O510/[16]Result!$K$47</f>
        <v>4.4125970285624011E-2</v>
      </c>
      <c r="P856" s="25">
        <f>+P510/[17]Result!$K$47</f>
        <v>0.66505104812034666</v>
      </c>
      <c r="Q856" s="33">
        <f>+Q510/[18]Result!$K$47</f>
        <v>-5.7950640388138176E-3</v>
      </c>
      <c r="R856" s="33">
        <f>+R510/[19]Result!$K$47</f>
        <v>-2.0730290270704605E-4</v>
      </c>
      <c r="S856" s="34">
        <f>+S510/[20]Result!$K$47</f>
        <v>1.5480296497551291E-2</v>
      </c>
    </row>
    <row r="857" spans="1:20" hidden="1" outlineLevel="2" x14ac:dyDescent="0.25">
      <c r="A857" s="16" t="s">
        <v>50</v>
      </c>
      <c r="B857" s="25">
        <f>+B511/[21]Result!$K$48</f>
        <v>-2.0476590896672742E-2</v>
      </c>
      <c r="C857" s="25">
        <f>+C511/[1]Result!$K$48</f>
        <v>2.8337329915510356E-2</v>
      </c>
      <c r="D857" s="33">
        <f>+D511/[5]Result!$K$48</f>
        <v>-4.8070155849110688E-2</v>
      </c>
      <c r="E857" s="25">
        <f>+E511/[6]Result!$K$48</f>
        <v>2.4373003727394302E-2</v>
      </c>
      <c r="F857" s="25">
        <f>+F511/[7]Result!$K$48</f>
        <v>-3.0631837741789816E-2</v>
      </c>
      <c r="G857" s="33">
        <f>+G511/[8]Result!$K$48</f>
        <v>3.6916460798804923E-2</v>
      </c>
      <c r="H857" s="25">
        <f>+H511/[9]Result!$K$48</f>
        <v>-1.4994546816016406E-2</v>
      </c>
      <c r="I857" s="25">
        <f>+I511/[10]Result!$K$48</f>
        <v>-1.8543816902897841E-2</v>
      </c>
      <c r="J857" s="33">
        <f>+J511/[11]Result!$K$48</f>
        <v>-4.1031108624108262E-2</v>
      </c>
      <c r="K857" s="25">
        <f>+K511/[12]Result!$K$48</f>
        <v>-6.3813041050902694E-4</v>
      </c>
      <c r="L857" s="25">
        <f>+L511/[13]Result!$K$48</f>
        <v>-3.6930568522080098E-2</v>
      </c>
      <c r="M857" s="25">
        <f>+M511/[14]Result!$K$48</f>
        <v>1.8405302520569728</v>
      </c>
      <c r="N857" s="33">
        <f>+N511/[15]Result!$K$48</f>
        <v>1.8859993168441207E-2</v>
      </c>
      <c r="O857" s="25">
        <f>+O511/[16]Result!$K$48</f>
        <v>4.4740232418068238E-2</v>
      </c>
      <c r="P857" s="25">
        <f>+P511/[17]Result!$K$48</f>
        <v>0.42834117845974273</v>
      </c>
      <c r="Q857" s="33">
        <f>+Q511/[18]Result!$K$48</f>
        <v>-6.1415856475054752E-3</v>
      </c>
      <c r="R857" s="33">
        <f>+R511/[19]Result!$K$48</f>
        <v>-2.1270713405656193E-4</v>
      </c>
      <c r="S857" s="34">
        <f>+S511/[20]Result!$K$48</f>
        <v>1.5631058691406501E-2</v>
      </c>
    </row>
    <row r="858" spans="1:20" hidden="1" outlineLevel="2" x14ac:dyDescent="0.25">
      <c r="A858" s="16" t="s">
        <v>51</v>
      </c>
      <c r="B858" s="25">
        <f>+B512/[21]Result!$K$49</f>
        <v>-2.0725858420606147E-2</v>
      </c>
      <c r="C858" s="25">
        <f>+C512/[1]Result!$K$49</f>
        <v>2.8545449434385362E-2</v>
      </c>
      <c r="D858" s="33">
        <f>+D512/[5]Result!$K$49</f>
        <v>-3.7369200935156638E-2</v>
      </c>
      <c r="E858" s="25">
        <f>+E512/[6]Result!$K$49</f>
        <v>2.4490794714045475E-2</v>
      </c>
      <c r="F858" s="25">
        <f>+F512/[7]Result!$K$49</f>
        <v>-3.0476867666349331E-2</v>
      </c>
      <c r="G858" s="33">
        <f>+G512/[8]Result!$K$49</f>
        <v>4.4197863709859189E-2</v>
      </c>
      <c r="H858" s="25">
        <f>+H512/[9]Result!$K$49</f>
        <v>-1.4906697257854788E-2</v>
      </c>
      <c r="I858" s="25">
        <f>+I512/[10]Result!$K$49</f>
        <v>-1.8538373010098974E-2</v>
      </c>
      <c r="J858" s="33">
        <f>+J512/[11]Result!$K$49</f>
        <v>-3.8715723444484235E-2</v>
      </c>
      <c r="K858" s="25">
        <f>+K512/[12]Result!$K$49</f>
        <v>-4.3503103068565546E-4</v>
      </c>
      <c r="L858" s="25">
        <f>+L512/[13]Result!$K$49</f>
        <v>-3.6924383805521738E-2</v>
      </c>
      <c r="M858" s="25">
        <f>+M512/[14]Result!$K$49</f>
        <v>1.6374789570074688</v>
      </c>
      <c r="N858" s="33">
        <f>+N512/[15]Result!$K$49</f>
        <v>1.885346104286964E-2</v>
      </c>
      <c r="O858" s="25">
        <f>+O512/[16]Result!$K$49</f>
        <v>4.5335640440180659E-2</v>
      </c>
      <c r="P858" s="25">
        <f>+P512/[17]Result!$K$49</f>
        <v>0.31557587574529167</v>
      </c>
      <c r="Q858" s="33">
        <f>+Q512/[18]Result!$K$49</f>
        <v>-6.2826761822007979E-3</v>
      </c>
      <c r="R858" s="33">
        <f>+R512/[19]Result!$K$49</f>
        <v>-2.1689696878486302E-4</v>
      </c>
      <c r="S858" s="34">
        <f>+S512/[20]Result!$K$49</f>
        <v>1.5991768485373974E-2</v>
      </c>
    </row>
    <row r="859" spans="1:20" hidden="1" outlineLevel="2" x14ac:dyDescent="0.25">
      <c r="A859" s="16" t="s">
        <v>52</v>
      </c>
      <c r="B859" s="25">
        <f>+B513/[21]Result!$K$50</f>
        <v>-2.0966113217520503E-2</v>
      </c>
      <c r="C859" s="25">
        <f>+C513/[1]Result!$K$50</f>
        <v>2.8733544513002605E-2</v>
      </c>
      <c r="D859" s="33">
        <f>+D513/[5]Result!$K$50</f>
        <v>-4.0446570187197495E-2</v>
      </c>
      <c r="E859" s="25">
        <f>+E513/[6]Result!$K$50</f>
        <v>2.458862944472924E-2</v>
      </c>
      <c r="F859" s="25">
        <f>+F513/[7]Result!$K$50</f>
        <v>-3.0715207883172797E-2</v>
      </c>
      <c r="G859" s="33">
        <f>+G513/[8]Result!$K$50</f>
        <v>4.5485040988393045E-2</v>
      </c>
      <c r="H859" s="25">
        <f>+H513/[9]Result!$K$50</f>
        <v>-1.4799579656142814E-2</v>
      </c>
      <c r="I859" s="25">
        <f>+I513/[10]Result!$K$50</f>
        <v>-1.8512419761742612E-2</v>
      </c>
      <c r="J859" s="33">
        <f>+J513/[11]Result!$K$50</f>
        <v>-4.8661571563469584E-2</v>
      </c>
      <c r="K859" s="25">
        <f>+K513/[12]Result!$K$50</f>
        <v>-6.6666233542186004E-4</v>
      </c>
      <c r="L859" s="25">
        <f>+L513/[13]Result!$K$50</f>
        <v>-3.6879013463693079E-2</v>
      </c>
      <c r="M859" s="25">
        <f>+M513/[14]Result!$K$50</f>
        <v>1.4871268025884854</v>
      </c>
      <c r="N859" s="33">
        <f>+N513/[15]Result!$K$50</f>
        <v>1.9054522633520865E-2</v>
      </c>
      <c r="O859" s="25">
        <f>+O513/[16]Result!$K$50</f>
        <v>4.5445522011726906E-2</v>
      </c>
      <c r="P859" s="25">
        <f>+P513/[17]Result!$K$50</f>
        <v>0.31271116563319507</v>
      </c>
      <c r="Q859" s="33">
        <f>+Q513/[18]Result!$K$50</f>
        <v>-6.2019405444135355E-3</v>
      </c>
      <c r="R859" s="33">
        <f>+R513/[19]Result!$K$50</f>
        <v>-2.2254970051478772E-4</v>
      </c>
      <c r="S859" s="34">
        <f>+S513/[20]Result!$K$50</f>
        <v>1.6128658380610908E-2</v>
      </c>
    </row>
    <row r="860" spans="1:20" hidden="1" outlineLevel="2" x14ac:dyDescent="0.25">
      <c r="A860" s="16" t="s">
        <v>53</v>
      </c>
      <c r="B860" s="25">
        <f>+B514/[21]Result!$K$51</f>
        <v>-2.0973291279626216E-2</v>
      </c>
      <c r="C860" s="25">
        <f>+C514/[1]Result!$K$51</f>
        <v>2.8667504472673314E-2</v>
      </c>
      <c r="D860" s="33">
        <f>+D514/[5]Result!$K$51</f>
        <v>-3.8138321773085196E-2</v>
      </c>
      <c r="E860" s="25">
        <f>+E514/[6]Result!$K$51</f>
        <v>2.4666491026709973E-2</v>
      </c>
      <c r="F860" s="25">
        <f>+F514/[7]Result!$K$51</f>
        <v>-3.1156267949335598E-2</v>
      </c>
      <c r="G860" s="33">
        <f>+G514/[8]Result!$K$51</f>
        <v>5.7125490897767334E-2</v>
      </c>
      <c r="H860" s="25">
        <f>+H514/[9]Result!$K$51</f>
        <v>-1.4896791547893034E-2</v>
      </c>
      <c r="I860" s="25">
        <f>+I514/[10]Result!$K$51</f>
        <v>-1.8691494456175212E-2</v>
      </c>
      <c r="J860" s="33">
        <f>+J514/[11]Result!$K$51</f>
        <v>-6.3026502222645178E-2</v>
      </c>
      <c r="K860" s="25">
        <f>+K514/[12]Result!$K$51</f>
        <v>-6.821947754570921E-4</v>
      </c>
      <c r="L860" s="25">
        <f>+L514/[13]Result!$K$51</f>
        <v>-3.7234335565023702E-2</v>
      </c>
      <c r="M860" s="25">
        <f>+M514/[14]Result!$K$51</f>
        <v>1.068576373090903</v>
      </c>
      <c r="N860" s="33">
        <f>+N514/[15]Result!$K$51</f>
        <v>1.9244672482540932E-2</v>
      </c>
      <c r="O860" s="25">
        <f>+O514/[16]Result!$K$51</f>
        <v>4.5751580440967776E-2</v>
      </c>
      <c r="P860" s="25">
        <f>+P514/[17]Result!$K$51</f>
        <v>0.4285449092434736</v>
      </c>
      <c r="Q860" s="33">
        <f>+Q514/[18]Result!$K$51</f>
        <v>-6.1123694080644107E-3</v>
      </c>
      <c r="R860" s="33">
        <f>+R514/[19]Result!$K$51</f>
        <v>0</v>
      </c>
      <c r="S860" s="34">
        <f>+S514/[20]Result!$K$51</f>
        <v>1.5792634833811405E-2</v>
      </c>
    </row>
    <row r="861" spans="1:20" hidden="1" outlineLevel="2" x14ac:dyDescent="0.25">
      <c r="A861" s="16" t="s">
        <v>54</v>
      </c>
      <c r="B861" s="25">
        <f>+B515/[21]Result!$K$52</f>
        <v>-2.0961275327416276E-2</v>
      </c>
      <c r="C861" s="25">
        <f>+C515/[1]Result!$K$52</f>
        <v>2.8809276922893423E-2</v>
      </c>
      <c r="D861" s="33">
        <f>+D515/[5]Result!$K$52</f>
        <v>-6.8869015551159846E-2</v>
      </c>
      <c r="E861" s="25">
        <f>+E515/[6]Result!$K$52</f>
        <v>2.4962002202418357E-2</v>
      </c>
      <c r="F861" s="25">
        <f>+F515/[7]Result!$K$52</f>
        <v>-3.1361963921092799E-2</v>
      </c>
      <c r="G861" s="33">
        <f>+G515/[8]Result!$K$52</f>
        <v>9.0032417969425876E-2</v>
      </c>
      <c r="H861" s="25">
        <f>+H515/[9]Result!$K$52</f>
        <v>-1.4985306283315483E-2</v>
      </c>
      <c r="I861" s="25">
        <f>+I515/[10]Result!$K$52</f>
        <v>-1.863268987101642E-2</v>
      </c>
      <c r="J861" s="33">
        <f>+J515/[11]Result!$K$52</f>
        <v>-7.2646708419794634E-2</v>
      </c>
      <c r="K861" s="25">
        <f>+K515/[12]Result!$K$52</f>
        <v>-4.6425089824348798E-4</v>
      </c>
      <c r="L861" s="25">
        <f>+L515/[13]Result!$K$52</f>
        <v>-3.73478882415735E-2</v>
      </c>
      <c r="M861" s="25">
        <f>+M515/[14]Result!$K$52</f>
        <v>0.27845203117664524</v>
      </c>
      <c r="N861" s="33">
        <f>+N515/[15]Result!$K$52</f>
        <v>1.9426024752913346E-2</v>
      </c>
      <c r="O861" s="25">
        <f>+O515/[16]Result!$K$52</f>
        <v>4.6270266549874289E-2</v>
      </c>
      <c r="P861" s="25">
        <f>+P515/[17]Result!$K$52</f>
        <v>0.91549949222950577</v>
      </c>
      <c r="Q861" s="33">
        <f>+Q515/[18]Result!$K$52</f>
        <v>-6.0120718267874232E-3</v>
      </c>
      <c r="R861" s="33">
        <f>+R515/[19]Result!$K$52</f>
        <v>-2.3128520867302514E-4</v>
      </c>
      <c r="S861" s="34">
        <f>+S515/[20]Result!$K$52</f>
        <v>1.5897895454310917E-2</v>
      </c>
    </row>
    <row r="862" spans="1:20" hidden="1" outlineLevel="2" x14ac:dyDescent="0.25">
      <c r="A862" s="16" t="s">
        <v>55</v>
      </c>
      <c r="B862" s="25">
        <f>+B516/[21]Result!$K$53</f>
        <v>-2.0930166890007516E-2</v>
      </c>
      <c r="C862" s="25">
        <f>+C516/[1]Result!$K$53</f>
        <v>2.8933198059115945E-2</v>
      </c>
      <c r="D862" s="33">
        <f>+D516/[5]Result!$K$53</f>
        <v>-9.3287520446934988E-2</v>
      </c>
      <c r="E862" s="25">
        <f>+E516/[6]Result!$K$53</f>
        <v>2.5005904699683782E-2</v>
      </c>
      <c r="F862" s="25">
        <f>+F516/[7]Result!$K$53</f>
        <v>-3.1319290835792921E-2</v>
      </c>
      <c r="G862" s="33">
        <f>+G516/[8]Result!$K$53</f>
        <v>3.9382874807728167E-2</v>
      </c>
      <c r="H862" s="25">
        <f>+H516/[9]Result!$K$53</f>
        <v>-1.4830095069213733E-2</v>
      </c>
      <c r="I862" s="25">
        <f>+I516/[10]Result!$K$53</f>
        <v>-1.9018641112440393E-2</v>
      </c>
      <c r="J862" s="33">
        <f>+J516/[11]Result!$K$53</f>
        <v>-9.1782337766877331E-2</v>
      </c>
      <c r="K862" s="25">
        <f>+K516/[12]Result!$K$53</f>
        <v>-7.1029681757762053E-4</v>
      </c>
      <c r="L862" s="25">
        <f>+L516/[13]Result!$K$53</f>
        <v>-3.7432070304621742E-2</v>
      </c>
      <c r="M862" s="25">
        <f>+M516/[14]Result!$K$53</f>
        <v>-0.88661745487334243</v>
      </c>
      <c r="N862" s="33">
        <f>+N516/[15]Result!$K$53</f>
        <v>1.9355561170814703E-2</v>
      </c>
      <c r="O862" s="25">
        <f>+O516/[16]Result!$K$53</f>
        <v>4.676841666499959E-2</v>
      </c>
      <c r="P862" s="25">
        <f>+P516/[17]Result!$K$53</f>
        <v>12.087716462840149</v>
      </c>
      <c r="Q862" s="33">
        <f>+Q516/[18]Result!$K$53</f>
        <v>-6.137967859676287E-3</v>
      </c>
      <c r="R862" s="33">
        <f>+R516/[19]Result!$K$53</f>
        <v>-4.734616947541997E-4</v>
      </c>
      <c r="S862" s="34">
        <f>+S516/[20]Result!$K$53</f>
        <v>1.5994459891401171E-2</v>
      </c>
    </row>
    <row r="863" spans="1:20" hidden="1" outlineLevel="2" x14ac:dyDescent="0.25">
      <c r="A863" s="16" t="s">
        <v>56</v>
      </c>
      <c r="B863" s="25">
        <f>+B517/[21]Result!$K$54</f>
        <v>-2.0879887973526481E-2</v>
      </c>
      <c r="C863" s="25">
        <f>+C517/[1]Result!$K$54</f>
        <v>2.8785498126992579E-2</v>
      </c>
      <c r="D863" s="33">
        <f>+D517/[5]Result!$K$54</f>
        <v>-0.15372818654308026</v>
      </c>
      <c r="E863" s="25">
        <f>+E517/[6]Result!$K$54</f>
        <v>2.45319764964223E-2</v>
      </c>
      <c r="F863" s="25">
        <f>+F517/[7]Result!$K$54</f>
        <v>-3.1012837220149199E-2</v>
      </c>
      <c r="G863" s="33">
        <f>+G517/[8]Result!$K$54</f>
        <v>9.5799013394746488E-2</v>
      </c>
      <c r="H863" s="25">
        <f>+H517/[9]Result!$K$54</f>
        <v>-1.489341020808249E-2</v>
      </c>
      <c r="I863" s="25">
        <f>+I517/[10]Result!$K$54</f>
        <v>-1.9170418649867113E-2</v>
      </c>
      <c r="J863" s="33">
        <f>+J517/[11]Result!$K$54</f>
        <v>-9.9889117027494395E-2</v>
      </c>
      <c r="K863" s="25">
        <f>+K517/[12]Result!$K$54</f>
        <v>-9.6722708819283235E-4</v>
      </c>
      <c r="L863" s="25">
        <f>+L517/[13]Result!$K$54</f>
        <v>-3.7489452379241624E-2</v>
      </c>
      <c r="M863" s="25">
        <f>+M517/[14]Result!$K$54</f>
        <v>-1.0009040568557366</v>
      </c>
      <c r="N863" s="33">
        <f>+N517/[15]Result!$K$54</f>
        <v>1.9265191470206149E-2</v>
      </c>
      <c r="O863" s="25">
        <f>+O517/[16]Result!$K$54</f>
        <v>4.6993980422772114E-2</v>
      </c>
      <c r="P863" s="25">
        <f>+P517/[17]Result!$K$54</f>
        <v>-1.9310205564529007E-2</v>
      </c>
      <c r="Q863" s="33">
        <f>+Q517/[18]Result!$K$54</f>
        <v>-6.2637899033892728E-3</v>
      </c>
      <c r="R863" s="33">
        <f>+R517/[19]Result!$K$54</f>
        <v>-2.4238488804111921E-4</v>
      </c>
      <c r="S863" s="34">
        <f>+S517/[20]Result!$K$54</f>
        <v>1.6079834301710269E-2</v>
      </c>
    </row>
    <row r="864" spans="1:20" collapsed="1" x14ac:dyDescent="0.25">
      <c r="A864" s="12" t="s">
        <v>91</v>
      </c>
      <c r="B864" s="25">
        <f>+B518/SUM([21]Result!$L$5:$L$54)</f>
        <v>2.5138869966293449E-2</v>
      </c>
      <c r="C864" s="25">
        <f>+C518/SUM([1]Result!$L$5:$L$54)</f>
        <v>-4.8728356380165684E-2</v>
      </c>
      <c r="D864" s="33">
        <f>+D518/SUM([5]Result!$L$5:$L$54)</f>
        <v>8.2979478531636688E-2</v>
      </c>
      <c r="E864" s="25">
        <f>+E518/SUM([6]Result!$L$5:$L$54)</f>
        <v>-0.10677274936766737</v>
      </c>
      <c r="F864" s="25">
        <f>+F518/SUM([7]Result!$L$5:$L$54)</f>
        <v>2.5697784766463765E-2</v>
      </c>
      <c r="G864" s="33">
        <f>+G518/SUM([8]Result!$L$5:$L$54)</f>
        <v>2.5609010095174054E-2</v>
      </c>
      <c r="H864" s="29">
        <f>+H518/SUM([9]Result!$L$5:$L$54)</f>
        <v>3.5281530512566203E-2</v>
      </c>
      <c r="I864" s="29">
        <f>+I518/SUM([10]Result!$L$5:$L$54)</f>
        <v>-1.0611722027385391E-2</v>
      </c>
      <c r="J864" s="33">
        <f>+J518/SUM([11]Result!$L$5:$L$54)</f>
        <v>4.7399326912775382E-2</v>
      </c>
      <c r="K864" s="29">
        <f>+K518/SUM([12]Result!$L$5:$L$54)</f>
        <v>-1.1160419661458669E-2</v>
      </c>
      <c r="L864" s="29">
        <f>+L518/SUM([13]Result!$L$5:$L$54)</f>
        <v>2.4428404905221031E-2</v>
      </c>
      <c r="M864" s="65">
        <f>+M518/SUM([14]Result!$L$5:$L$54)</f>
        <v>-0.11353277331344426</v>
      </c>
      <c r="N864" s="29">
        <f>+N518/SUM([15]Result!$L$5:$L$54)</f>
        <v>-1.4737986147527153E-2</v>
      </c>
      <c r="O864" s="29">
        <f>+O518/SUM([16]Result!$L$5:$L$54)</f>
        <v>-4.1969976581626038E-2</v>
      </c>
      <c r="P864" s="65">
        <f>+P518/SUM([17]Result!$L$5:$L$54)</f>
        <v>0.31608572647862498</v>
      </c>
      <c r="Q864" s="29">
        <f>+Q518/SUM([18]Result!$L$5:$L$54)</f>
        <v>1.0129005351791006E-2</v>
      </c>
      <c r="R864" s="29">
        <f>+R518/SUM([19]Result!$L$5:$L$54)</f>
        <v>-3.2205086750828206E-2</v>
      </c>
      <c r="S864" s="63">
        <f>+S518/SUM([20]Result!$L$5:$L$54)</f>
        <v>-8.4041112277699406E-3</v>
      </c>
      <c r="T864" s="13"/>
    </row>
    <row r="865" spans="1:19" hidden="1" outlineLevel="1" x14ac:dyDescent="0.25">
      <c r="A865" s="15" t="s">
        <v>2</v>
      </c>
      <c r="B865" s="25">
        <f>+B519/'[21]Stat by Mat 2'!$G$3</f>
        <v>2.9386024152875303E-2</v>
      </c>
      <c r="C865" s="25">
        <f>+C519/'[1]Stat by Mat 2'!$G$3</f>
        <v>-6.0298129796446366E-2</v>
      </c>
      <c r="D865" s="33">
        <f>+D519/'[5]Stat by Mat 2'!$G$3</f>
        <v>9.9583191810874327E-2</v>
      </c>
      <c r="E865" s="25">
        <f>+E519/'[6]Stat by Mat 2'!$G$3</f>
        <v>-0.13223301781650526</v>
      </c>
      <c r="F865" s="25">
        <f>+F519/'[7]Stat by Mat 2'!$G$3</f>
        <v>2.4063137387506733E-2</v>
      </c>
      <c r="G865" s="33">
        <f>+G519/'[8]Stat by Mat 2'!$G$3</f>
        <v>1.8289354050494897E-2</v>
      </c>
      <c r="H865" s="25">
        <f>+H519/'[9]Stat by Mat 2'!$G$3</f>
        <v>4.4154693190492922E-2</v>
      </c>
      <c r="I865" s="25">
        <f>+I519/'[10]Stat by Mat 2'!$G$3</f>
        <v>-1.6659411963025519E-2</v>
      </c>
      <c r="J865" s="33">
        <f>+J519/'[11]Stat by Mat 2'!$G$3</f>
        <v>7.0070330226209177E-2</v>
      </c>
      <c r="K865" s="25">
        <f>+K519/'[12]Stat by Mat 2'!$G$3</f>
        <v>-1.1335110447718875E-2</v>
      </c>
      <c r="L865" s="25">
        <f>+L519/'[13]Stat by Mat 2'!$G$3</f>
        <v>1.8477837326375958E-2</v>
      </c>
      <c r="M865" s="25">
        <f>+M519/'[14]Stat by Mat 2'!$G$3</f>
        <v>-5.3497594509363977E-2</v>
      </c>
      <c r="N865" s="33">
        <f>+N519/'[15]Stat by Mat 2'!$G$3</f>
        <v>-1.4209224367481987E-2</v>
      </c>
      <c r="O865" s="25">
        <f>+O519/'[16]Stat by Mat 2'!$G$3</f>
        <v>-3.6399865554734102E-2</v>
      </c>
      <c r="P865" s="25">
        <f>+P519/'[17]Stat by Mat 2'!$G$3</f>
        <v>0.40698985474664251</v>
      </c>
      <c r="Q865" s="33">
        <f>+Q519/'[18]Stat by Mat 2'!$G$3</f>
        <v>1.4382879771309738E-2</v>
      </c>
      <c r="R865" s="33">
        <f>+R519/'[19]Stat by Mat 2'!$G$3</f>
        <v>-3.8026621034511404E-2</v>
      </c>
      <c r="S865" s="34">
        <f>+S519/'[20]Stat by Mat 2'!$G$3</f>
        <v>-5.1638077589916866E-3</v>
      </c>
    </row>
    <row r="866" spans="1:19" ht="15" hidden="1" customHeight="1" outlineLevel="2" x14ac:dyDescent="0.25">
      <c r="A866" s="16" t="s">
        <v>3</v>
      </c>
      <c r="B866" s="25">
        <f>+B520/[21]Result!$L$5</f>
        <v>2.4926822889174985E-2</v>
      </c>
      <c r="C866" s="25">
        <f>+C520/[1]Result!$L$5</f>
        <v>-6.5682778883218843E-2</v>
      </c>
      <c r="D866" s="33">
        <f>+D520/[5]Result!$L$5</f>
        <v>4.9153397902343774E-3</v>
      </c>
      <c r="E866" s="25">
        <f>+E520/[6]Result!$L$5</f>
        <v>-0.13004458508135702</v>
      </c>
      <c r="F866" s="25">
        <f>+F520/[7]Result!$L$5</f>
        <v>8.4097644863110037E-3</v>
      </c>
      <c r="G866" s="33">
        <f>+G520/[8]Result!$L$5</f>
        <v>-7.8607645068259707E-2</v>
      </c>
      <c r="H866" s="25">
        <f>+H520/[9]Result!$L$5</f>
        <v>3.4898563858603474E-2</v>
      </c>
      <c r="I866" s="25">
        <f>+I520/[10]Result!$L$5</f>
        <v>-3.9446428859009003E-3</v>
      </c>
      <c r="J866" s="33">
        <f>+J520/[11]Result!$L$5</f>
        <v>-2.4487784329131405E-2</v>
      </c>
      <c r="K866" s="25">
        <f>+K520/[12]Result!$L$5</f>
        <v>2.5776724491282698E-3</v>
      </c>
      <c r="L866" s="25">
        <f>+L520/[13]Result!$L$5</f>
        <v>5.7688420994238369E-3</v>
      </c>
      <c r="M866" s="25">
        <f>+M520/[14]Result!$L$5</f>
        <v>-4.5754055938926001E-2</v>
      </c>
      <c r="N866" s="33">
        <f>+N520/[15]Result!$L$5</f>
        <v>-1.2452325586545074E-3</v>
      </c>
      <c r="O866" s="25">
        <f>+O520/[16]Result!$L$5</f>
        <v>-1.379906123312629E-2</v>
      </c>
      <c r="P866" s="25">
        <f>+P520/[17]Result!$L$5</f>
        <v>0.48314280186513403</v>
      </c>
      <c r="Q866" s="33">
        <f>+Q520/[18]Result!$L$5</f>
        <v>2.721834307342225E-2</v>
      </c>
      <c r="R866" s="33">
        <f>+R520/[19]Result!$L$5</f>
        <v>-3.034792866573657E-2</v>
      </c>
      <c r="S866" s="34">
        <f>+S520/[20]Result!$L$5</f>
        <v>-1.491982035645209E-3</v>
      </c>
    </row>
    <row r="867" spans="1:19" hidden="1" outlineLevel="2" x14ac:dyDescent="0.25">
      <c r="A867" s="16" t="s">
        <v>4</v>
      </c>
      <c r="B867" s="25">
        <f>+B521/[21]Result!$L$6</f>
        <v>2.9520644120864536E-2</v>
      </c>
      <c r="C867" s="25">
        <f>+C521/[1]Result!$L$6</f>
        <v>-6.0116348322069635E-2</v>
      </c>
      <c r="D867" s="33">
        <f>+D521/[5]Result!$L$6</f>
        <v>0.20282614051148837</v>
      </c>
      <c r="E867" s="25">
        <f>+E521/[6]Result!$L$6</f>
        <v>-0.13702346970781373</v>
      </c>
      <c r="F867" s="25">
        <f>+F521/[7]Result!$L$6</f>
        <v>2.1774691598398989E-2</v>
      </c>
      <c r="G867" s="33">
        <f>+G521/[8]Result!$L$6</f>
        <v>4.9917362706721417E-2</v>
      </c>
      <c r="H867" s="25">
        <f>+H521/[9]Result!$L$6</f>
        <v>4.4233212080490643E-2</v>
      </c>
      <c r="I867" s="25">
        <f>+I521/[10]Result!$L$6</f>
        <v>-1.3641530933834889E-2</v>
      </c>
      <c r="J867" s="33">
        <f>+J521/[11]Result!$L$6</f>
        <v>7.9563018613179839E-2</v>
      </c>
      <c r="K867" s="25">
        <f>+K521/[12]Result!$L$6</f>
        <v>-8.1501104678090037E-3</v>
      </c>
      <c r="L867" s="25">
        <f>+L521/[12]Result!$L$6</f>
        <v>1.4846374428247728E-2</v>
      </c>
      <c r="M867" s="25">
        <f>+M521/[12]Result!$L$6</f>
        <v>-5.4763642687817304E-2</v>
      </c>
      <c r="N867" s="33">
        <f>+N521/[12]Result!$L$6</f>
        <v>-9.9721670474709236E-3</v>
      </c>
      <c r="O867" s="25">
        <f>+O521/[12]Result!$L$6</f>
        <v>-2.5083593140164489E-2</v>
      </c>
      <c r="P867" s="25">
        <f>+P521/[12]Result!$L$6</f>
        <v>0.41347590635385556</v>
      </c>
      <c r="Q867" s="33">
        <f>+Q521/[12]Result!$L$6</f>
        <v>2.9129104390161486E-2</v>
      </c>
      <c r="R867" s="33">
        <f>+R521/[12]Result!$L$6</f>
        <v>-5.2577360348163779E-2</v>
      </c>
      <c r="S867" s="34">
        <f>+S521/[12]Result!$L$6</f>
        <v>-6.2116932352952623E-3</v>
      </c>
    </row>
    <row r="868" spans="1:19" hidden="1" outlineLevel="2" x14ac:dyDescent="0.25">
      <c r="A868" s="16" t="s">
        <v>5</v>
      </c>
      <c r="B868" s="25">
        <f>+B522/[21]Result!$L$7</f>
        <v>3.4442227038900063E-2</v>
      </c>
      <c r="C868" s="25">
        <f>+C522/[1]Result!$L$7</f>
        <v>-6.0507590452595045E-2</v>
      </c>
      <c r="D868" s="33">
        <f>+D522/[5]Result!$L$7</f>
        <v>5.5094478483897001E-2</v>
      </c>
      <c r="E868" s="25">
        <f>+E522/[6]Result!$L$7</f>
        <v>-0.13623979587142795</v>
      </c>
      <c r="F868" s="25">
        <f>+F522/[7]Result!$L$7</f>
        <v>3.1546790685213807E-2</v>
      </c>
      <c r="G868" s="33">
        <f>+G522/[8]Result!$L$7</f>
        <v>2.9907553754678906E-2</v>
      </c>
      <c r="H868" s="25">
        <f>+H522/[9]Result!$L$7</f>
        <v>5.017258930821171E-2</v>
      </c>
      <c r="I868" s="25">
        <f>+I522/[10]Result!$L$7</f>
        <v>-2.333259765608578E-2</v>
      </c>
      <c r="J868" s="33">
        <f>+J522/[11]Result!$L$7</f>
        <v>0.13058875938148606</v>
      </c>
      <c r="K868" s="25">
        <f>+K522/[12]Result!$L$7</f>
        <v>-1.6440895050717573E-2</v>
      </c>
      <c r="L868" s="25">
        <f>+L522/[13]Result!$L$7</f>
        <v>2.1943034339033773E-2</v>
      </c>
      <c r="M868" s="25">
        <f>+M522/[14]Result!$L$7</f>
        <v>-2.8072424507178416E-2</v>
      </c>
      <c r="N868" s="33">
        <f>+N522/[15]Result!$L$7</f>
        <v>-1.9672965826012717E-2</v>
      </c>
      <c r="O868" s="25">
        <f>+O522/[16]Result!$L$7</f>
        <v>-4.2989050896012092E-2</v>
      </c>
      <c r="P868" s="25">
        <f>+P522/[17]Result!$L$7</f>
        <v>0.37798169644159135</v>
      </c>
      <c r="Q868" s="33">
        <f>+Q522/[18]Result!$L$7</f>
        <v>8.5921466490351435E-3</v>
      </c>
      <c r="R868" s="33">
        <f>+R522/[19]Result!$L$7</f>
        <v>-4.273347575027369E-2</v>
      </c>
      <c r="S868" s="34">
        <f>+S522/[20]Result!$L$7</f>
        <v>-5.023210387992875E-3</v>
      </c>
    </row>
    <row r="869" spans="1:19" hidden="1" outlineLevel="2" x14ac:dyDescent="0.25">
      <c r="A869" s="16" t="s">
        <v>6</v>
      </c>
      <c r="B869" s="25">
        <f>+B523/[21]Result!$L$8</f>
        <v>3.1066738250675723E-2</v>
      </c>
      <c r="C869" s="25">
        <f>+C523/[1]Result!$L$8</f>
        <v>-5.801818047743066E-2</v>
      </c>
      <c r="D869" s="33">
        <f>+D523/[5]Result!$L$8</f>
        <v>9.7079364525515952E-2</v>
      </c>
      <c r="E869" s="25">
        <f>+E523/[6]Result!$L$8</f>
        <v>-0.12805981097635968</v>
      </c>
      <c r="F869" s="25">
        <f>+F523/[7]Result!$L$8</f>
        <v>3.3151624603374848E-2</v>
      </c>
      <c r="G869" s="33">
        <f>+G523/[8]Result!$L$8</f>
        <v>3.9093808689673375E-2</v>
      </c>
      <c r="H869" s="25">
        <f>+H523/[9]Result!$L$8</f>
        <v>4.7450934557415003E-2</v>
      </c>
      <c r="I869" s="25">
        <f>+I523/[10]Result!$L$8</f>
        <v>-2.4862993416361671E-2</v>
      </c>
      <c r="J869" s="33">
        <f>+J523/[11]Result!$L$8</f>
        <v>8.705198991737606E-2</v>
      </c>
      <c r="K869" s="25">
        <f>+K523/[12]Result!$L$8</f>
        <v>-1.9093783647667374E-2</v>
      </c>
      <c r="L869" s="25">
        <f>+L523/[13]Result!$L$8</f>
        <v>2.5756791166294774E-2</v>
      </c>
      <c r="M869" s="25">
        <f>+M523/[14]Result!$L$8</f>
        <v>-5.6711589831802196E-2</v>
      </c>
      <c r="N869" s="33">
        <f>+N523/[15]Result!$L$8</f>
        <v>-2.2453227799240198E-2</v>
      </c>
      <c r="O869" s="25">
        <f>+O523/[16]Result!$L$8</f>
        <v>-5.4993349358497312E-2</v>
      </c>
      <c r="P869" s="25">
        <f>+P523/[17]Result!$L$8</f>
        <v>0.33228398658166075</v>
      </c>
      <c r="Q869" s="33">
        <f>+Q523/[18]Result!$L$8</f>
        <v>-7.8066786808956288E-4</v>
      </c>
      <c r="R869" s="33">
        <f>+R523/[19]Result!$L$8</f>
        <v>-3.9938067768007061E-2</v>
      </c>
      <c r="S869" s="34">
        <f>+S523/[20]Result!$L$8</f>
        <v>-6.5291855334192062E-3</v>
      </c>
    </row>
    <row r="870" spans="1:19" hidden="1" outlineLevel="2" x14ac:dyDescent="0.25">
      <c r="A870" s="16" t="s">
        <v>7</v>
      </c>
      <c r="B870" s="25">
        <f>+B524/[21]Result!$L$9</f>
        <v>2.6210111394515873E-2</v>
      </c>
      <c r="C870" s="25">
        <f>+C524/[1]Result!$L$9</f>
        <v>-5.3481766099159306E-2</v>
      </c>
      <c r="D870" s="33">
        <f>+D524/[5]Result!$L$9</f>
        <v>8.9297131876508853E-2</v>
      </c>
      <c r="E870" s="25">
        <f>+E524/[6]Result!$L$9</f>
        <v>-0.12079826598700387</v>
      </c>
      <c r="F870" s="25">
        <f>+F524/[7]Result!$L$9</f>
        <v>3.225599407510181E-2</v>
      </c>
      <c r="G870" s="33">
        <f>+G524/[8]Result!$L$9</f>
        <v>4.1987703369882293E-2</v>
      </c>
      <c r="H870" s="25">
        <f>+H524/[9]Result!$L$9</f>
        <v>4.304267690421152E-2</v>
      </c>
      <c r="I870" s="25">
        <f>+I524/[10]Result!$L$9</f>
        <v>-2.1588841919592885E-2</v>
      </c>
      <c r="J870" s="33">
        <f>+J524/[11]Result!$L$9</f>
        <v>5.7170720765929238E-2</v>
      </c>
      <c r="K870" s="25">
        <f>+K524/[12]Result!$L$9</f>
        <v>-1.9781681552296065E-2</v>
      </c>
      <c r="L870" s="25">
        <f>+L524/[13]Result!$L$9</f>
        <v>3.0210883124385919E-2</v>
      </c>
      <c r="M870" s="25">
        <f>+M524/[14]Result!$L$9</f>
        <v>-0.10176163629587633</v>
      </c>
      <c r="N870" s="33">
        <f>+N524/[15]Result!$L$9</f>
        <v>-2.2056884670813418E-2</v>
      </c>
      <c r="O870" s="25">
        <f>+O524/[16]Result!$L$9</f>
        <v>-6.0780974888808577E-2</v>
      </c>
      <c r="P870" s="25">
        <f>+P524/[17]Result!$L$9</f>
        <v>0.31206513620465132</v>
      </c>
      <c r="Q870" s="33">
        <f>+Q524/[18]Result!$L$9</f>
        <v>-9.1771694709215823E-4</v>
      </c>
      <c r="R870" s="33">
        <f>+R524/[19]Result!$L$9</f>
        <v>-3.6776102801279464E-2</v>
      </c>
      <c r="S870" s="34">
        <f>+S524/[20]Result!$L$9</f>
        <v>-1.1439031095380256E-2</v>
      </c>
    </row>
    <row r="871" spans="1:19" hidden="1" outlineLevel="1" x14ac:dyDescent="0.25">
      <c r="A871" s="15" t="s">
        <v>8</v>
      </c>
      <c r="B871" s="25">
        <f>+B525/'[21]Stat by Mat 2'!$G$4</f>
        <v>2.1009444805958535E-2</v>
      </c>
      <c r="C871" s="25">
        <f>+C525/'[1]Stat by Mat 2'!$G$4</f>
        <v>-4.3808644802023192E-2</v>
      </c>
      <c r="D871" s="33">
        <f>+D525/'[5]Stat by Mat 2'!$G$4</f>
        <v>9.2033889099382052E-2</v>
      </c>
      <c r="E871" s="25">
        <f>+E525/'[6]Stat by Mat 2'!$G$4</f>
        <v>-9.4467414337861322E-2</v>
      </c>
      <c r="F871" s="25">
        <f>+F525/'[7]Stat by Mat 2'!$G$4</f>
        <v>2.8500109748476447E-2</v>
      </c>
      <c r="G871" s="33">
        <f>+G525/'[8]Stat by Mat 2'!$G$4</f>
        <v>4.1460865049574649E-2</v>
      </c>
      <c r="H871" s="25">
        <f>+H525/'[9]Stat by Mat 2'!$G$4</f>
        <v>3.1129689597573843E-2</v>
      </c>
      <c r="I871" s="25">
        <f>+I525/'[10]Stat by Mat 2'!$G$4</f>
        <v>-1.1638434424740983E-2</v>
      </c>
      <c r="J871" s="33">
        <f>+J525/'[11]Stat by Mat 2'!$G$4</f>
        <v>2.0155554430783994E-2</v>
      </c>
      <c r="K871" s="25">
        <f>+K525/'[12]Stat by Mat 2'!$G$4</f>
        <v>-1.6267360960288482E-2</v>
      </c>
      <c r="L871" s="25">
        <f>+L525/'[13]Stat by Mat 2'!$G$4</f>
        <v>3.4395877539344047E-2</v>
      </c>
      <c r="M871" s="25">
        <f>+M525/'[14]Stat by Mat 2'!$G$4</f>
        <v>-0.16307451949673993</v>
      </c>
      <c r="N871" s="33">
        <f>+N525/'[15]Stat by Mat 2'!$G$4</f>
        <v>-1.9556502723037477E-2</v>
      </c>
      <c r="O871" s="25">
        <f>+O525/'[16]Stat by Mat 2'!$G$4</f>
        <v>-6.0891005365733671E-2</v>
      </c>
      <c r="P871" s="25">
        <f>+P525/'[17]Stat by Mat 2'!$G$4</f>
        <v>0.23949998675701772</v>
      </c>
      <c r="Q871" s="33">
        <f>+Q525/'[18]Stat by Mat 2'!$G$4</f>
        <v>1.1161192129918185E-3</v>
      </c>
      <c r="R871" s="33">
        <f>+R525/'[19]Stat by Mat 2'!$G$4</f>
        <v>-3.096847840114798E-2</v>
      </c>
      <c r="S871" s="34">
        <f>+S525/'[20]Stat by Mat 2'!$G$4</f>
        <v>-1.5147668665055408E-2</v>
      </c>
    </row>
    <row r="872" spans="1:19" hidden="1" outlineLevel="2" x14ac:dyDescent="0.25">
      <c r="A872" s="16" t="s">
        <v>9</v>
      </c>
      <c r="B872" s="25">
        <f>+B526/[21]Result!$L$10</f>
        <v>2.4915352952324315E-2</v>
      </c>
      <c r="C872" s="25">
        <f>+C526/[1]Result!$L$10</f>
        <v>-5.1821551280849379E-2</v>
      </c>
      <c r="D872" s="33">
        <f>+D526/[5]Result!$L$10</f>
        <v>9.5776367219247011E-2</v>
      </c>
      <c r="E872" s="25">
        <f>+E526/[6]Result!$L$10</f>
        <v>-0.11175979561097742</v>
      </c>
      <c r="F872" s="25">
        <f>+F526/[7]Result!$L$10</f>
        <v>3.0633413637425985E-2</v>
      </c>
      <c r="G872" s="33">
        <f>+G526/[8]Result!$L$10</f>
        <v>3.7230294084993378E-2</v>
      </c>
      <c r="H872" s="25">
        <f>+H526/[9]Result!$L$10</f>
        <v>3.8607343400230851E-2</v>
      </c>
      <c r="I872" s="25">
        <f>+I526/[10]Result!$L$10</f>
        <v>-1.7832065189161472E-2</v>
      </c>
      <c r="J872" s="33">
        <f>+J526/[11]Result!$L$10</f>
        <v>3.5244433182071586E-2</v>
      </c>
      <c r="K872" s="25">
        <f>+K526/[12]Result!$L$10</f>
        <v>-1.9056271528342425E-2</v>
      </c>
      <c r="L872" s="25">
        <f>+L526/[13]Result!$L$10</f>
        <v>3.3653176455850725E-2</v>
      </c>
      <c r="M872" s="25">
        <f>+M526/[14]Result!$L$10</f>
        <v>-0.11788673108335196</v>
      </c>
      <c r="N872" s="33">
        <f>+N526/[15]Result!$L$10</f>
        <v>-2.0871026894646323E-2</v>
      </c>
      <c r="O872" s="25">
        <f>+O526/[16]Result!$L$10</f>
        <v>-6.2660113718543436E-2</v>
      </c>
      <c r="P872" s="25">
        <f>+P526/[17]Result!$L$10</f>
        <v>0.27125298761048311</v>
      </c>
      <c r="Q872" s="33">
        <f>+Q526/[18]Result!$L$10</f>
        <v>4.2133775419517824E-4</v>
      </c>
      <c r="R872" s="33">
        <f>+R526/[19]Result!$L$10</f>
        <v>-3.4740644797488673E-2</v>
      </c>
      <c r="S872" s="34">
        <f>+S526/[20]Result!$L$10</f>
        <v>-1.4408590701032906E-2</v>
      </c>
    </row>
    <row r="873" spans="1:19" hidden="1" outlineLevel="2" x14ac:dyDescent="0.25">
      <c r="A873" s="16" t="s">
        <v>10</v>
      </c>
      <c r="B873" s="25">
        <f>+B527/[21]Result!$L$11</f>
        <v>2.1574163319665735E-2</v>
      </c>
      <c r="C873" s="25">
        <f>+C527/[1]Result!$L$11</f>
        <v>-4.6722527944486864E-2</v>
      </c>
      <c r="D873" s="33">
        <f>+D527/[5]Result!$L$11</f>
        <v>0.10246228198238989</v>
      </c>
      <c r="E873" s="25">
        <f>+E527/[6]Result!$L$11</f>
        <v>-0.10005703200869466</v>
      </c>
      <c r="F873" s="25">
        <f>+F527/[7]Result!$L$11</f>
        <v>2.861846805025136E-2</v>
      </c>
      <c r="G873" s="33">
        <f>+G527/[8]Result!$L$11</f>
        <v>4.2171873194267365E-2</v>
      </c>
      <c r="H873" s="25">
        <f>+H527/[9]Result!$L$11</f>
        <v>3.278875329409308E-2</v>
      </c>
      <c r="I873" s="25">
        <f>+I527/[10]Result!$L$11</f>
        <v>-1.3708433611517514E-2</v>
      </c>
      <c r="J873" s="33">
        <f>+J527/[11]Result!$L$11</f>
        <v>2.6313695418576505E-2</v>
      </c>
      <c r="K873" s="25">
        <f>+K527/[12]Result!$L$11</f>
        <v>-1.7312963645445476E-2</v>
      </c>
      <c r="L873" s="25">
        <f>+L527/[13]Result!$L$11</f>
        <v>3.4750355984093623E-2</v>
      </c>
      <c r="M873" s="25">
        <f>+M527/[14]Result!$L$11</f>
        <v>-0.13473268529877877</v>
      </c>
      <c r="N873" s="33">
        <f>+N527/[15]Result!$L$11</f>
        <v>-2.0073047787797685E-2</v>
      </c>
      <c r="O873" s="25">
        <f>+O527/[16]Result!$L$11</f>
        <v>-6.2704042953247024E-2</v>
      </c>
      <c r="P873" s="25">
        <f>+P527/[17]Result!$L$11</f>
        <v>0.25083635025980261</v>
      </c>
      <c r="Q873" s="33">
        <f>+Q527/[18]Result!$L$11</f>
        <v>7.957227002879857E-4</v>
      </c>
      <c r="R873" s="33">
        <f>+R527/[19]Result!$L$11</f>
        <v>-3.2940637497751404E-2</v>
      </c>
      <c r="S873" s="34">
        <f>+S527/[20]Result!$L$11</f>
        <v>-1.4892023323324755E-2</v>
      </c>
    </row>
    <row r="874" spans="1:19" hidden="1" outlineLevel="2" x14ac:dyDescent="0.25">
      <c r="A874" s="16" t="s">
        <v>11</v>
      </c>
      <c r="B874" s="25">
        <f>+B528/[21]Result!$L$12</f>
        <v>1.8427575664338752E-2</v>
      </c>
      <c r="C874" s="25">
        <f>+C528/[1]Result!$L$12</f>
        <v>-4.1380287444108592E-2</v>
      </c>
      <c r="D874" s="33">
        <f>+D528/[5]Result!$L$12</f>
        <v>0.10482779912128667</v>
      </c>
      <c r="E874" s="25">
        <f>+E528/[6]Result!$L$12</f>
        <v>-8.9954206882423435E-2</v>
      </c>
      <c r="F874" s="25">
        <f>+F528/[7]Result!$L$12</f>
        <v>2.7672069607725929E-2</v>
      </c>
      <c r="G874" s="33">
        <f>+G528/[8]Result!$L$12</f>
        <v>4.5297758759669716E-2</v>
      </c>
      <c r="H874" s="25">
        <f>+H528/[9]Result!$L$12</f>
        <v>2.8704806740144605E-2</v>
      </c>
      <c r="I874" s="25">
        <f>+I528/[10]Result!$L$12</f>
        <v>-1.0410049808277269E-2</v>
      </c>
      <c r="J874" s="33">
        <f>+J528/[11]Result!$L$12</f>
        <v>1.8975817494299024E-2</v>
      </c>
      <c r="K874" s="25">
        <f>+K528/[12]Result!$L$12</f>
        <v>-1.5444781786023E-2</v>
      </c>
      <c r="L874" s="25">
        <f>+L528/[13]Result!$L$12</f>
        <v>3.4385136584011905E-2</v>
      </c>
      <c r="M874" s="25">
        <f>+M528/[14]Result!$L$12</f>
        <v>-0.15281520710080684</v>
      </c>
      <c r="N874" s="33">
        <f>+N528/[15]Result!$L$12</f>
        <v>-1.9581423340380068E-2</v>
      </c>
      <c r="O874" s="25">
        <f>+O528/[16]Result!$L$12</f>
        <v>-6.1160488713683035E-2</v>
      </c>
      <c r="P874" s="25">
        <f>+P528/[17]Result!$L$12</f>
        <v>0.22850047800229298</v>
      </c>
      <c r="Q874" s="33">
        <f>+Q528/[18]Result!$L$12</f>
        <v>1.1364612985828425E-3</v>
      </c>
      <c r="R874" s="33">
        <f>+R528/[19]Result!$L$12</f>
        <v>-3.0495743670042541E-2</v>
      </c>
      <c r="S874" s="34">
        <f>+S528/[20]Result!$L$12</f>
        <v>-1.4909991979436243E-2</v>
      </c>
    </row>
    <row r="875" spans="1:19" hidden="1" outlineLevel="2" x14ac:dyDescent="0.25">
      <c r="A875" s="16" t="s">
        <v>12</v>
      </c>
      <c r="B875" s="25">
        <f>+B529/[21]Result!$L$13</f>
        <v>1.7659305278072166E-2</v>
      </c>
      <c r="C875" s="25">
        <f>+C529/[1]Result!$L$13</f>
        <v>-3.6354538560105232E-2</v>
      </c>
      <c r="D875" s="33">
        <f>+D529/[5]Result!$L$13</f>
        <v>6.6018001949526131E-2</v>
      </c>
      <c r="E875" s="25">
        <f>+E529/[6]Result!$L$13</f>
        <v>-8.1617972385158166E-2</v>
      </c>
      <c r="F875" s="25">
        <f>+F529/[7]Result!$L$13</f>
        <v>2.7304215116659137E-2</v>
      </c>
      <c r="G875" s="33">
        <f>+G529/[8]Result!$L$13</f>
        <v>3.6841444203440606E-2</v>
      </c>
      <c r="H875" s="25">
        <f>+H529/[9]Result!$L$13</f>
        <v>2.5422815361809251E-2</v>
      </c>
      <c r="I875" s="25">
        <f>+I529/[10]Result!$L$13</f>
        <v>-6.8807104148656982E-3</v>
      </c>
      <c r="J875" s="33">
        <f>+J529/[11]Result!$L$13</f>
        <v>8.0856848753639229E-3</v>
      </c>
      <c r="K875" s="25">
        <f>+K529/[12]Result!$L$13</f>
        <v>-1.4002344315682648E-2</v>
      </c>
      <c r="L875" s="25">
        <f>+L529/[13]Result!$L$13</f>
        <v>3.4272150393069842E-2</v>
      </c>
      <c r="M875" s="25">
        <f>+M529/[14]Result!$L$13</f>
        <v>-0.16188851217011299</v>
      </c>
      <c r="N875" s="33">
        <f>+N529/[15]Result!$L$13</f>
        <v>-1.7955623626247006E-2</v>
      </c>
      <c r="O875" s="25">
        <f>+O529/[16]Result!$L$13</f>
        <v>-5.8514596620650026E-2</v>
      </c>
      <c r="P875" s="25">
        <f>+P529/[17]Result!$L$13</f>
        <v>0.21073153803523548</v>
      </c>
      <c r="Q875" s="33">
        <f>+Q529/[18]Result!$L$13</f>
        <v>1.625465055411731E-3</v>
      </c>
      <c r="R875" s="33">
        <f>+R529/[19]Result!$L$13</f>
        <v>-2.7115345160841669E-2</v>
      </c>
      <c r="S875" s="34">
        <f>+S529/[20]Result!$L$13</f>
        <v>-1.6233642537342292E-2</v>
      </c>
    </row>
    <row r="876" spans="1:19" hidden="1" outlineLevel="2" x14ac:dyDescent="0.25">
      <c r="A876" s="16" t="s">
        <v>13</v>
      </c>
      <c r="B876" s="25">
        <f>+B530/[21]Result!$L$14</f>
        <v>1.9935915864257719E-2</v>
      </c>
      <c r="C876" s="25">
        <f>+C530/[1]Result!$L$14</f>
        <v>-3.5356924762266338E-2</v>
      </c>
      <c r="D876" s="33">
        <f>+D530/[5]Result!$L$14</f>
        <v>7.9958751028441105E-2</v>
      </c>
      <c r="E876" s="25">
        <f>+E530/[6]Result!$L$14</f>
        <v>-7.2637660325186051E-2</v>
      </c>
      <c r="F876" s="25">
        <f>+F530/[7]Result!$L$14</f>
        <v>2.6837696584411694E-2</v>
      </c>
      <c r="G876" s="33">
        <f>+G530/[8]Result!$L$14</f>
        <v>4.7953893621246066E-2</v>
      </c>
      <c r="H876" s="25">
        <f>+H530/[9]Result!$L$14</f>
        <v>2.4357440406153057E-2</v>
      </c>
      <c r="I876" s="25">
        <f>+I530/[10]Result!$L$14</f>
        <v>-3.7177566450741027E-3</v>
      </c>
      <c r="J876" s="33">
        <f>+J530/[11]Result!$L$14</f>
        <v>-2.4524961155945719E-3</v>
      </c>
      <c r="K876" s="25">
        <f>+K530/[12]Result!$L$14</f>
        <v>-1.2906050429455643E-2</v>
      </c>
      <c r="L876" s="25">
        <f>+L530/[13]Result!$L$14</f>
        <v>3.5367190850835235E-2</v>
      </c>
      <c r="M876" s="25">
        <f>+M530/[14]Result!$L$14</f>
        <v>-0.30959713199701977</v>
      </c>
      <c r="N876" s="33">
        <f>+N530/[15]Result!$L$14</f>
        <v>-1.7433194723318383E-2</v>
      </c>
      <c r="O876" s="25">
        <f>+O530/[16]Result!$L$14</f>
        <v>-5.567227164792974E-2</v>
      </c>
      <c r="P876" s="25">
        <f>+P530/[17]Result!$L$14</f>
        <v>0.19789026572978805</v>
      </c>
      <c r="Q876" s="33">
        <f>+Q530/[18]Result!$L$14</f>
        <v>2.825004167548367E-3</v>
      </c>
      <c r="R876" s="33">
        <f>+R530/[19]Result!$L$14</f>
        <v>-2.3306955429221104E-2</v>
      </c>
      <c r="S876" s="34">
        <f>+S530/[20]Result!$L$14</f>
        <v>-1.6477513075379712E-2</v>
      </c>
    </row>
    <row r="877" spans="1:19" hidden="1" outlineLevel="1" x14ac:dyDescent="0.25">
      <c r="A877" s="15" t="s">
        <v>14</v>
      </c>
      <c r="B877" s="25">
        <f>+B531/'[21]Stat by Mat 2'!$G$5</f>
        <v>1.7764172439165525E-2</v>
      </c>
      <c r="C877" s="25">
        <f>+C531/'[1]Stat by Mat 2'!$G$5</f>
        <v>-2.2941286497534193E-2</v>
      </c>
      <c r="D877" s="33">
        <f>+D531/'[5]Stat by Mat 2'!$G$5</f>
        <v>2.7592585677652739E-2</v>
      </c>
      <c r="E877" s="25">
        <f>+E531/'[6]Stat by Mat 2'!$G$5</f>
        <v>-5.5467750007083837E-2</v>
      </c>
      <c r="F877" s="25">
        <f>+F531/'[7]Stat by Mat 2'!$G$5</f>
        <v>2.7453322644166042E-2</v>
      </c>
      <c r="G877" s="33">
        <f>+G531/'[8]Stat by Mat 2'!$G$5</f>
        <v>2.695928409164668E-2</v>
      </c>
      <c r="H877" s="25">
        <f>+H531/'[9]Stat by Mat 2'!$G$5</f>
        <v>1.9157877429638401E-2</v>
      </c>
      <c r="I877" s="25">
        <f>+I531/'[10]Stat by Mat 2'!$G$5</f>
        <v>5.1398527233126575E-3</v>
      </c>
      <c r="J877" s="33">
        <f>+J531/'[11]Stat by Mat 2'!$G$5</f>
        <v>6.8588109217791633E-3</v>
      </c>
      <c r="K877" s="25">
        <f>+K531/'[12]Stat by Mat 2'!$G$5</f>
        <v>-6.8288501870044215E-3</v>
      </c>
      <c r="L877" s="25">
        <f>+L531/'[13]Stat by Mat 2'!$G$5</f>
        <v>3.2796466297486331E-2</v>
      </c>
      <c r="M877" s="25">
        <f>+M531/'[14]Stat by Mat 2'!$G$5</f>
        <v>-0.20466465810432266</v>
      </c>
      <c r="N877" s="33">
        <f>+N531/'[15]Stat by Mat 2'!$G$5</f>
        <v>-1.2171433076738198E-2</v>
      </c>
      <c r="O877" s="25">
        <f>+O531/'[16]Stat by Mat 2'!$G$5</f>
        <v>-4.3470925533938519E-2</v>
      </c>
      <c r="P877" s="25">
        <f>+P531/'[17]Stat by Mat 2'!$G$5</f>
        <v>0.11781872516764841</v>
      </c>
      <c r="Q877" s="33">
        <f>+Q531/'[18]Stat by Mat 2'!$G$5</f>
        <v>4.1834756833762886E-3</v>
      </c>
      <c r="R877" s="33">
        <f>+R531/'[19]Stat by Mat 2'!$G$5</f>
        <v>-1.2682681328093725E-2</v>
      </c>
      <c r="S877" s="34">
        <f>+S531/'[20]Stat by Mat 2'!$G$5</f>
        <v>-1.4861440653408104E-2</v>
      </c>
    </row>
    <row r="878" spans="1:19" hidden="1" outlineLevel="2" x14ac:dyDescent="0.25">
      <c r="A878" s="16" t="s">
        <v>15</v>
      </c>
      <c r="B878" s="25">
        <f>+B532/[21]Result!$L$15</f>
        <v>1.8745221186996092E-2</v>
      </c>
      <c r="C878" s="25">
        <f>+C532/[1]Result!$L$15</f>
        <v>-3.2247829788667026E-2</v>
      </c>
      <c r="D878" s="33">
        <f>+D532/[5]Result!$L$15</f>
        <v>5.4871943799324613E-2</v>
      </c>
      <c r="E878" s="25">
        <f>+E532/[6]Result!$L$15</f>
        <v>-6.6882335900915538E-2</v>
      </c>
      <c r="F878" s="25">
        <f>+F532/[7]Result!$L$15</f>
        <v>2.6741784369197136E-2</v>
      </c>
      <c r="G878" s="33">
        <f>+G532/[8]Result!$L$15</f>
        <v>4.2841669371850029E-2</v>
      </c>
      <c r="H878" s="25">
        <f>+H532/[9]Result!$L$15</f>
        <v>2.4287673968443661E-2</v>
      </c>
      <c r="I878" s="25">
        <f>+I532/[10]Result!$L$15</f>
        <v>-9.8436482883407055E-4</v>
      </c>
      <c r="J878" s="33">
        <f>+J532/[11]Result!$L$15</f>
        <v>1.4943487796344815E-3</v>
      </c>
      <c r="K878" s="25">
        <f>+K532/[12]Result!$L$15</f>
        <v>-1.1320677381659774E-2</v>
      </c>
      <c r="L878" s="25">
        <f>+L532/[13]Result!$L$15</f>
        <v>3.5469148701670103E-2</v>
      </c>
      <c r="M878" s="25">
        <f>+M532/[14]Result!$L$15</f>
        <v>-0.34493745940470916</v>
      </c>
      <c r="N878" s="33">
        <f>+N532/[15]Result!$L$15</f>
        <v>-1.6216339471030683E-2</v>
      </c>
      <c r="O878" s="25">
        <f>+O532/[16]Result!$L$15</f>
        <v>-5.3214535291981897E-2</v>
      </c>
      <c r="P878" s="25">
        <f>+P532/[17]Result!$L$15</f>
        <v>0.18465674812904234</v>
      </c>
      <c r="Q878" s="33">
        <f>+Q532/[18]Result!$L$15</f>
        <v>2.2384527170606077E-3</v>
      </c>
      <c r="R878" s="33">
        <f>+R532/[19]Result!$L$15</f>
        <v>-2.0388066690671173E-2</v>
      </c>
      <c r="S878" s="34">
        <f>+S532/[20]Result!$L$15</f>
        <v>-1.6285036294954622E-2</v>
      </c>
    </row>
    <row r="879" spans="1:19" hidden="1" outlineLevel="2" x14ac:dyDescent="0.25">
      <c r="A879" s="16" t="s">
        <v>16</v>
      </c>
      <c r="B879" s="25">
        <f>+B533/[21]Result!$L$16</f>
        <v>1.4912574615152765E-2</v>
      </c>
      <c r="C879" s="25">
        <f>+C533/[1]Result!$L$16</f>
        <v>-2.6223347789907536E-2</v>
      </c>
      <c r="D879" s="33">
        <f>+D533/[5]Result!$L$16</f>
        <v>1.3652686759822489E-2</v>
      </c>
      <c r="E879" s="25">
        <f>+E533/[6]Result!$L$16</f>
        <v>-6.3361309673203747E-2</v>
      </c>
      <c r="F879" s="25">
        <f>+F533/[7]Result!$L$16</f>
        <v>2.6059316470739707E-2</v>
      </c>
      <c r="G879" s="33">
        <f>+G533/[8]Result!$L$16</f>
        <v>3.1858238057259507E-2</v>
      </c>
      <c r="H879" s="25">
        <f>+H533/[9]Result!$L$16</f>
        <v>2.0911274687426311E-2</v>
      </c>
      <c r="I879" s="25">
        <f>+I533/[10]Result!$L$16</f>
        <v>1.8215899193747918E-3</v>
      </c>
      <c r="J879" s="33">
        <f>+J533/[11]Result!$L$16</f>
        <v>7.2750060653923613E-3</v>
      </c>
      <c r="K879" s="25">
        <f>+K533/[12]Result!$L$16</f>
        <v>-9.0076359144231916E-3</v>
      </c>
      <c r="L879" s="25">
        <f>+L533/[13]Result!$L$16</f>
        <v>3.3805142356393113E-2</v>
      </c>
      <c r="M879" s="25">
        <f>+M533/[14]Result!$L$16</f>
        <v>-0.23126231839319369</v>
      </c>
      <c r="N879" s="33">
        <f>+N533/[15]Result!$L$16</f>
        <v>-1.3990535434067856E-2</v>
      </c>
      <c r="O879" s="25">
        <f>+O533/[16]Result!$L$16</f>
        <v>-5.1008374210863384E-2</v>
      </c>
      <c r="P879" s="25">
        <f>+P533/[17]Result!$L$16</f>
        <v>0.13730483957781825</v>
      </c>
      <c r="Q879" s="33">
        <f>+Q533/[18]Result!$L$16</f>
        <v>1.9908460558909278E-3</v>
      </c>
      <c r="R879" s="33">
        <f>+R533/[19]Result!$L$16</f>
        <v>-1.8364594655971237E-2</v>
      </c>
      <c r="S879" s="34">
        <f>+S533/[20]Result!$L$16</f>
        <v>-1.8033825803194667E-2</v>
      </c>
    </row>
    <row r="880" spans="1:19" hidden="1" outlineLevel="2" x14ac:dyDescent="0.25">
      <c r="A880" s="16" t="s">
        <v>17</v>
      </c>
      <c r="B880" s="25">
        <f>+B534/[21]Result!$L$17</f>
        <v>1.3792164874789533E-2</v>
      </c>
      <c r="C880" s="25">
        <f>+C534/[1]Result!$L$17</f>
        <v>-2.3972515476197335E-2</v>
      </c>
      <c r="D880" s="33">
        <f>+D534/[5]Result!$L$17</f>
        <v>1.4016730117292707E-2</v>
      </c>
      <c r="E880" s="25">
        <f>+E534/[6]Result!$L$17</f>
        <v>-5.9344846238603498E-2</v>
      </c>
      <c r="F880" s="25">
        <f>+F534/[7]Result!$L$17</f>
        <v>2.6159405443568293E-2</v>
      </c>
      <c r="G880" s="33">
        <f>+G534/[8]Result!$L$17</f>
        <v>2.9444814526578808E-2</v>
      </c>
      <c r="H880" s="25">
        <f>+H534/[9]Result!$L$17</f>
        <v>1.756804967299572E-2</v>
      </c>
      <c r="I880" s="25">
        <f>+I534/[10]Result!$L$17</f>
        <v>4.0137973382942446E-3</v>
      </c>
      <c r="J880" s="33">
        <f>+J534/[11]Result!$L$17</f>
        <v>4.1700363491318877E-3</v>
      </c>
      <c r="K880" s="25">
        <f>+K534/[12]Result!$L$17</f>
        <v>-8.0848611160464889E-3</v>
      </c>
      <c r="L880" s="25">
        <f>+L534/[13]Result!$L$17</f>
        <v>3.2956562433262969E-2</v>
      </c>
      <c r="M880" s="25">
        <f>+M534/[14]Result!$L$17</f>
        <v>-0.20829929448936263</v>
      </c>
      <c r="N880" s="33">
        <f>+N534/[15]Result!$L$17</f>
        <v>-1.4003167971979607E-2</v>
      </c>
      <c r="O880" s="25">
        <f>+O534/[16]Result!$L$17</f>
        <v>-4.7909542520412386E-2</v>
      </c>
      <c r="P880" s="25">
        <f>+P534/[17]Result!$L$17</f>
        <v>0.13150668959697745</v>
      </c>
      <c r="Q880" s="33">
        <f>+Q534/[18]Result!$L$17</f>
        <v>3.1800834013877449E-3</v>
      </c>
      <c r="R880" s="33">
        <f>+R534/[19]Result!$L$17</f>
        <v>-1.6571090607382544E-2</v>
      </c>
      <c r="S880" s="34">
        <f>+S534/[20]Result!$L$17</f>
        <v>-1.7845880256939499E-2</v>
      </c>
    </row>
    <row r="881" spans="1:19" hidden="1" outlineLevel="2" x14ac:dyDescent="0.25">
      <c r="A881" s="16" t="s">
        <v>18</v>
      </c>
      <c r="B881" s="25">
        <f>+B535/[21]Result!$L$18</f>
        <v>1.4454829029874357E-2</v>
      </c>
      <c r="C881" s="25">
        <f>+C535/[1]Result!$L$18</f>
        <v>-2.3596195815317009E-2</v>
      </c>
      <c r="D881" s="33">
        <f>+D535/[5]Result!$L$18</f>
        <v>1.7290754054745765E-2</v>
      </c>
      <c r="E881" s="25">
        <f>+E535/[6]Result!$L$18</f>
        <v>-5.5077725155272213E-2</v>
      </c>
      <c r="F881" s="25">
        <f>+F535/[7]Result!$L$18</f>
        <v>2.7021183367584967E-2</v>
      </c>
      <c r="G881" s="33">
        <f>+G535/[8]Result!$L$18</f>
        <v>3.3980583217271758E-2</v>
      </c>
      <c r="H881" s="25">
        <f>+H535/[9]Result!$L$18</f>
        <v>1.6364576072818514E-2</v>
      </c>
      <c r="I881" s="25">
        <f>+I535/[10]Result!$L$18</f>
        <v>5.9652117604253076E-3</v>
      </c>
      <c r="J881" s="33">
        <f>+J535/[11]Result!$L$18</f>
        <v>4.7947560724063056E-3</v>
      </c>
      <c r="K881" s="25">
        <f>+K535/[12]Result!$L$18</f>
        <v>-7.5064329047992559E-3</v>
      </c>
      <c r="L881" s="25">
        <f>+L535/[13]Result!$L$18</f>
        <v>3.279098427954534E-2</v>
      </c>
      <c r="M881" s="25">
        <f>+M535/[14]Result!$L$18</f>
        <v>-0.1843661623247482</v>
      </c>
      <c r="N881" s="33">
        <f>+N535/[15]Result!$L$18</f>
        <v>-1.4046701124833564E-2</v>
      </c>
      <c r="O881" s="25">
        <f>+O535/[16]Result!$L$18</f>
        <v>-4.4668446935893218E-2</v>
      </c>
      <c r="P881" s="25">
        <f>+P535/[17]Result!$L$18</f>
        <v>0.12362427132813356</v>
      </c>
      <c r="Q881" s="33">
        <f>+Q535/[18]Result!$L$18</f>
        <v>2.7913739510109525E-3</v>
      </c>
      <c r="R881" s="33">
        <f>+R535/[19]Result!$L$18</f>
        <v>-1.4913701831458313E-2</v>
      </c>
      <c r="S881" s="34">
        <f>+S535/[20]Result!$L$18</f>
        <v>-1.6330506872307398E-2</v>
      </c>
    </row>
    <row r="882" spans="1:19" hidden="1" outlineLevel="2" x14ac:dyDescent="0.25">
      <c r="A882" s="16" t="s">
        <v>19</v>
      </c>
      <c r="B882" s="25">
        <f>+B536/[21]Result!$L$19</f>
        <v>1.8085386820494997E-2</v>
      </c>
      <c r="C882" s="25">
        <f>+C536/[1]Result!$L$19</f>
        <v>-2.4839451756680338E-2</v>
      </c>
      <c r="D882" s="33">
        <f>+D536/[5]Result!$L$19</f>
        <v>1.9879776857251664E-2</v>
      </c>
      <c r="E882" s="25">
        <f>+E536/[6]Result!$L$19</f>
        <v>-5.122581686317397E-2</v>
      </c>
      <c r="F882" s="25">
        <f>+F536/[7]Result!$L$19</f>
        <v>2.7218071217905825E-2</v>
      </c>
      <c r="G882" s="33">
        <f>+G536/[8]Result!$L$19</f>
        <v>2.5526718345893779E-2</v>
      </c>
      <c r="H882" s="25">
        <f>+H536/[9]Result!$L$19</f>
        <v>1.7076509490071824E-2</v>
      </c>
      <c r="I882" s="25">
        <f>+I536/[10]Result!$L$19</f>
        <v>6.4246392081546829E-3</v>
      </c>
      <c r="J882" s="33">
        <f>+J536/[11]Result!$L$19</f>
        <v>-3.4612765106711808E-3</v>
      </c>
      <c r="K882" s="25">
        <f>+K536/[12]Result!$L$19</f>
        <v>-6.3446113750170582E-3</v>
      </c>
      <c r="L882" s="25">
        <f>+L536/[13]Result!$L$19</f>
        <v>3.2568397718575511E-2</v>
      </c>
      <c r="M882" s="25">
        <f>+M536/[14]Result!$L$19</f>
        <v>-0.17036914105609921</v>
      </c>
      <c r="N882" s="33">
        <f>+N536/[15]Result!$L$19</f>
        <v>-1.2328605843705903E-2</v>
      </c>
      <c r="O882" s="25">
        <f>+O536/[16]Result!$L$19</f>
        <v>-4.2700240144672511E-2</v>
      </c>
      <c r="P882" s="25">
        <f>+P536/[17]Result!$L$19</f>
        <v>0.10520436346198297</v>
      </c>
      <c r="Q882" s="33">
        <f>+Q536/[18]Result!$L$19</f>
        <v>3.2162814878372741E-3</v>
      </c>
      <c r="R882" s="33">
        <f>+R536/[19]Result!$L$19</f>
        <v>-1.2481255659070397E-2</v>
      </c>
      <c r="S882" s="34">
        <f>+S536/[20]Result!$L$19</f>
        <v>-1.5078878235770669E-2</v>
      </c>
    </row>
    <row r="883" spans="1:19" hidden="1" outlineLevel="2" x14ac:dyDescent="0.25">
      <c r="A883" s="16" t="s">
        <v>20</v>
      </c>
      <c r="B883" s="25">
        <f>+B537/[21]Result!$L$20</f>
        <v>2.0925197019723011E-2</v>
      </c>
      <c r="C883" s="25">
        <f>+C537/[1]Result!$L$20</f>
        <v>-2.3013317276139426E-2</v>
      </c>
      <c r="D883" s="33">
        <f>+D537/[5]Result!$L$20</f>
        <v>2.0146373461165171E-2</v>
      </c>
      <c r="E883" s="25">
        <f>+E537/[6]Result!$L$20</f>
        <v>-4.9407506228195223E-2</v>
      </c>
      <c r="F883" s="25">
        <f>+F537/[7]Result!$L$20</f>
        <v>2.7433601066615902E-2</v>
      </c>
      <c r="G883" s="33">
        <f>+G537/[8]Result!$L$20</f>
        <v>1.8160054093966021E-2</v>
      </c>
      <c r="H883" s="25">
        <f>+H537/[9]Result!$L$20</f>
        <v>1.8641797652638056E-2</v>
      </c>
      <c r="I883" s="25">
        <f>+I537/[10]Result!$L$20</f>
        <v>6.7088181981346711E-3</v>
      </c>
      <c r="J883" s="33">
        <f>+J537/[11]Result!$L$20</f>
        <v>7.4801576681408466E-4</v>
      </c>
      <c r="K883" s="25">
        <f>+K537/[12]Result!$L$20</f>
        <v>-5.2271258652100694E-3</v>
      </c>
      <c r="L883" s="25">
        <f>+L537/[13]Result!$L$20</f>
        <v>3.1915616685165141E-2</v>
      </c>
      <c r="M883" s="25">
        <f>+M537/[14]Result!$L$20</f>
        <v>-0.162196794123833</v>
      </c>
      <c r="N883" s="33">
        <f>+N537/[15]Result!$L$20</f>
        <v>-1.0294489167119945E-2</v>
      </c>
      <c r="O883" s="25">
        <f>+O537/[16]Result!$L$20</f>
        <v>-4.0543298357620307E-2</v>
      </c>
      <c r="P883" s="25">
        <f>+P537/[17]Result!$L$20</f>
        <v>9.564598631217941E-2</v>
      </c>
      <c r="Q883" s="33">
        <f>+Q537/[18]Result!$L$20</f>
        <v>5.1945346627473533E-3</v>
      </c>
      <c r="R883" s="33">
        <f>+R537/[19]Result!$L$20</f>
        <v>-9.3854869311245977E-3</v>
      </c>
      <c r="S883" s="34">
        <f>+S537/[20]Result!$L$20</f>
        <v>-1.3454419844364756E-2</v>
      </c>
    </row>
    <row r="884" spans="1:19" hidden="1" outlineLevel="2" x14ac:dyDescent="0.25">
      <c r="A884" s="16" t="s">
        <v>21</v>
      </c>
      <c r="B884" s="25">
        <f>+B538/[21]Result!$L$21</f>
        <v>2.1246464800949695E-2</v>
      </c>
      <c r="C884" s="25">
        <f>+C538/[1]Result!$L$21</f>
        <v>-1.8045733986937353E-2</v>
      </c>
      <c r="D884" s="33">
        <f>+D538/[5]Result!$L$21</f>
        <v>2.1764257992027244E-2</v>
      </c>
      <c r="E884" s="25">
        <f>+E538/[6]Result!$L$21</f>
        <v>-4.817826234521061E-2</v>
      </c>
      <c r="F884" s="25">
        <f>+F538/[7]Result!$L$21</f>
        <v>2.8212264504728232E-2</v>
      </c>
      <c r="G884" s="33">
        <f>+G538/[8]Result!$L$21</f>
        <v>1.4481799701749554E-2</v>
      </c>
      <c r="H884" s="25">
        <f>+H538/[9]Result!$L$21</f>
        <v>1.8698719356375276E-2</v>
      </c>
      <c r="I884" s="25">
        <f>+I538/[10]Result!$L$21</f>
        <v>8.4277364140604091E-3</v>
      </c>
      <c r="J884" s="33">
        <f>+J538/[11]Result!$L$21</f>
        <v>5.0427809525709268E-3</v>
      </c>
      <c r="K884" s="25">
        <f>+K538/[12]Result!$L$21</f>
        <v>-4.080701052122649E-3</v>
      </c>
      <c r="L884" s="25">
        <f>+L538/[13]Result!$L$21</f>
        <v>3.1304972015994068E-2</v>
      </c>
      <c r="M884" s="25">
        <f>+M538/[14]Result!$L$21</f>
        <v>-0.15700543756674057</v>
      </c>
      <c r="N884" s="33">
        <f>+N538/[15]Result!$L$21</f>
        <v>-9.2417955647293142E-3</v>
      </c>
      <c r="O884" s="25">
        <f>+O538/[16]Result!$L$21</f>
        <v>-3.8261494614207081E-2</v>
      </c>
      <c r="P884" s="25">
        <f>+P538/[17]Result!$L$21</f>
        <v>8.8508281180909712E-2</v>
      </c>
      <c r="Q884" s="33">
        <f>+Q538/[18]Result!$L$21</f>
        <v>6.8951549655527355E-3</v>
      </c>
      <c r="R884" s="33">
        <f>+R538/[19]Result!$L$21</f>
        <v>-7.2243781196182468E-3</v>
      </c>
      <c r="S884" s="34">
        <f>+S538/[20]Result!$L$21</f>
        <v>-1.2687621118611861E-2</v>
      </c>
    </row>
    <row r="885" spans="1:19" hidden="1" outlineLevel="2" x14ac:dyDescent="0.25">
      <c r="A885" s="16" t="s">
        <v>22</v>
      </c>
      <c r="B885" s="25">
        <f>+B539/[21]Result!$L$22</f>
        <v>2.0304877733248263E-2</v>
      </c>
      <c r="C885" s="25">
        <f>+C539/[1]Result!$L$22</f>
        <v>-1.3223364486523469E-2</v>
      </c>
      <c r="D885" s="33">
        <f>+D539/[5]Result!$L$22</f>
        <v>2.926562020527149E-2</v>
      </c>
      <c r="E885" s="25">
        <f>+E539/[6]Result!$L$22</f>
        <v>-4.7799645692190085E-2</v>
      </c>
      <c r="F885" s="25">
        <f>+F539/[7]Result!$L$22</f>
        <v>2.9083911114282469E-2</v>
      </c>
      <c r="G885" s="33">
        <f>+G539/[8]Result!$L$22</f>
        <v>1.2533213478954456E-2</v>
      </c>
      <c r="H885" s="25">
        <f>+H539/[9]Result!$L$22</f>
        <v>1.8268252377661148E-2</v>
      </c>
      <c r="I885" s="25">
        <f>+I539/[10]Result!$L$22</f>
        <v>9.4384222128968791E-3</v>
      </c>
      <c r="J885" s="33">
        <f>+J539/[11]Result!$L$22</f>
        <v>1.6294979629813276E-2</v>
      </c>
      <c r="K885" s="25">
        <f>+K539/[12]Result!$L$22</f>
        <v>-3.0856887343685166E-3</v>
      </c>
      <c r="L885" s="25">
        <f>+L539/[13]Result!$L$22</f>
        <v>3.1302988448469869E-2</v>
      </c>
      <c r="M885" s="25">
        <f>+M539/[14]Result!$L$22</f>
        <v>-0.14654645909023997</v>
      </c>
      <c r="N885" s="33">
        <f>+N539/[15]Result!$L$22</f>
        <v>-8.4966543456070735E-3</v>
      </c>
      <c r="O885" s="25">
        <f>+O539/[16]Result!$L$22</f>
        <v>-3.630723993512118E-2</v>
      </c>
      <c r="P885" s="25">
        <f>+P539/[17]Result!$L$22</f>
        <v>8.8756434386321498E-2</v>
      </c>
      <c r="Q885" s="33">
        <f>+Q539/[18]Result!$L$22</f>
        <v>7.0597498666407623E-3</v>
      </c>
      <c r="R885" s="33">
        <f>+R539/[19]Result!$L$22</f>
        <v>-5.7555687984648983E-3</v>
      </c>
      <c r="S885" s="34">
        <f>+S539/[20]Result!$L$22</f>
        <v>-1.1477474681431744E-2</v>
      </c>
    </row>
    <row r="886" spans="1:19" hidden="1" outlineLevel="2" x14ac:dyDescent="0.25">
      <c r="A886" s="16" t="s">
        <v>23</v>
      </c>
      <c r="B886" s="25">
        <f>+B540/[21]Result!$L$23</f>
        <v>1.9440871715625713E-2</v>
      </c>
      <c r="C886" s="25">
        <f>+C540/[1]Result!$L$23</f>
        <v>-1.1418953502027908E-2</v>
      </c>
      <c r="D886" s="33">
        <f>+D540/[5]Result!$L$23</f>
        <v>4.3901463086192104E-2</v>
      </c>
      <c r="E886" s="25">
        <f>+E540/[6]Result!$L$23</f>
        <v>-4.7098864936197464E-2</v>
      </c>
      <c r="F886" s="25">
        <f>+F540/[7]Result!$L$23</f>
        <v>2.9774952526772192E-2</v>
      </c>
      <c r="G886" s="33">
        <f>+G540/[8]Result!$L$23</f>
        <v>1.8976566520873563E-2</v>
      </c>
      <c r="H886" s="25">
        <f>+H540/[9]Result!$L$23</f>
        <v>1.7594085660186078E-2</v>
      </c>
      <c r="I886" s="25">
        <f>+I540/[10]Result!$L$23</f>
        <v>1.0123386592962842E-2</v>
      </c>
      <c r="J886" s="33">
        <f>+J540/[11]Result!$L$23</f>
        <v>2.8846932753090797E-2</v>
      </c>
      <c r="K886" s="25">
        <f>+K540/[12]Result!$L$23</f>
        <v>-2.6535221041546907E-3</v>
      </c>
      <c r="L886" s="25">
        <f>+L540/[13]Result!$L$23</f>
        <v>3.1259922564880166E-2</v>
      </c>
      <c r="M886" s="25">
        <f>+M540/[14]Result!$L$23</f>
        <v>-0.13038185406177027</v>
      </c>
      <c r="N886" s="33">
        <f>+N540/[15]Result!$L$23</f>
        <v>-8.2904414622596932E-3</v>
      </c>
      <c r="O886" s="25">
        <f>+O540/[16]Result!$L$23</f>
        <v>-3.400492138837552E-2</v>
      </c>
      <c r="P886" s="25">
        <f>+P540/[17]Result!$L$23</f>
        <v>8.5525667998153962E-2</v>
      </c>
      <c r="Q886" s="33">
        <f>+Q540/[18]Result!$L$23</f>
        <v>7.0015315548811506E-3</v>
      </c>
      <c r="R886" s="33">
        <f>+R540/[19]Result!$L$23</f>
        <v>-4.604316054754554E-3</v>
      </c>
      <c r="S886" s="34">
        <f>+S540/[20]Result!$L$23</f>
        <v>-1.1016871956697588E-2</v>
      </c>
    </row>
    <row r="887" spans="1:19" hidden="1" outlineLevel="2" x14ac:dyDescent="0.25">
      <c r="A887" s="16" t="s">
        <v>24</v>
      </c>
      <c r="B887" s="25">
        <f>+B541/[21]Result!$L$24</f>
        <v>2.014614148085301E-2</v>
      </c>
      <c r="C887" s="25">
        <f>+C541/[1]Result!$L$24</f>
        <v>-1.3856404354518978E-2</v>
      </c>
      <c r="D887" s="33">
        <f>+D541/[5]Result!$L$24</f>
        <v>4.0135342456594336E-2</v>
      </c>
      <c r="E887" s="25">
        <f>+E541/[6]Result!$L$24</f>
        <v>-4.4192963553653208E-2</v>
      </c>
      <c r="F887" s="25">
        <f>+F541/[7]Result!$L$24</f>
        <v>3.0398399128789159E-2</v>
      </c>
      <c r="G887" s="33">
        <f>+G541/[8]Result!$L$24</f>
        <v>1.4654717884306945E-2</v>
      </c>
      <c r="H887" s="25">
        <f>+H541/[9]Result!$L$24</f>
        <v>1.659647476760822E-2</v>
      </c>
      <c r="I887" s="25">
        <f>+I541/[10]Result!$L$24</f>
        <v>1.0713073093560409E-2</v>
      </c>
      <c r="J887" s="33">
        <f>+J541/[11]Result!$L$24</f>
        <v>2.2982877929839333E-2</v>
      </c>
      <c r="K887" s="25">
        <f>+K541/[12]Result!$L$24</f>
        <v>-2.2780648880067604E-3</v>
      </c>
      <c r="L887" s="25">
        <f>+L541/[13]Result!$L$24</f>
        <v>3.0254611427218144E-2</v>
      </c>
      <c r="M887" s="25">
        <f>+M541/[14]Result!$L$24</f>
        <v>-0.1253110445372404</v>
      </c>
      <c r="N887" s="33">
        <f>+N541/[15]Result!$L$24</f>
        <v>-9.1134250698625633E-3</v>
      </c>
      <c r="O887" s="25">
        <f>+O541/[16]Result!$L$24</f>
        <v>-3.134983885131367E-2</v>
      </c>
      <c r="P887" s="25">
        <f>+P541/[17]Result!$L$24</f>
        <v>7.4523314217457892E-2</v>
      </c>
      <c r="Q887" s="33">
        <f>+Q541/[18]Result!$L$24</f>
        <v>6.7059094421655623E-3</v>
      </c>
      <c r="R887" s="33">
        <f>+R541/[19]Result!$L$24</f>
        <v>-3.9075740819478491E-3</v>
      </c>
      <c r="S887" s="34">
        <f>+S541/[20]Result!$L$24</f>
        <v>-1.1132068368083991E-2</v>
      </c>
    </row>
    <row r="888" spans="1:19" hidden="1" outlineLevel="1" x14ac:dyDescent="0.25">
      <c r="A888" s="15" t="s">
        <v>25</v>
      </c>
      <c r="B888" s="25">
        <f>+B542/'[21]Stat by Mat 2'!$G$6</f>
        <v>1.955584145705749E-2</v>
      </c>
      <c r="C888" s="25">
        <f>+C542/'[1]Stat by Mat 2'!$G$6</f>
        <v>-2.0612082878941011E-2</v>
      </c>
      <c r="D888" s="33">
        <f>+D542/'[5]Stat by Mat 2'!$G$6</f>
        <v>3.3891560658826515E-2</v>
      </c>
      <c r="E888" s="25">
        <f>+E542/'[6]Stat by Mat 2'!$G$6</f>
        <v>-2.9291432188429806E-2</v>
      </c>
      <c r="F888" s="25">
        <f>+F542/'[7]Stat by Mat 2'!$G$6</f>
        <v>2.6582575632485908E-2</v>
      </c>
      <c r="G888" s="33">
        <f>+G542/'[8]Stat by Mat 2'!$G$6</f>
        <v>2.5662236532323558E-2</v>
      </c>
      <c r="H888" s="25">
        <f>+H542/'[9]Stat by Mat 2'!$G$6</f>
        <v>1.2017345556499345E-2</v>
      </c>
      <c r="I888" s="25">
        <f>+I542/'[10]Stat by Mat 2'!$G$6</f>
        <v>1.0205592215274274E-2</v>
      </c>
      <c r="J888" s="33">
        <f>+J542/'[11]Stat by Mat 2'!$G$6</f>
        <v>5.6498565451238797E-2</v>
      </c>
      <c r="K888" s="25">
        <f>+K542/'[12]Stat by Mat 2'!$G$6</f>
        <v>-6.6259201895458664E-4</v>
      </c>
      <c r="L888" s="25">
        <f>+L542/'[13]Stat by Mat 2'!$G$6</f>
        <v>2.2080279088938556E-2</v>
      </c>
      <c r="M888" s="25">
        <f>+M542/'[14]Stat by Mat 2'!$G$6</f>
        <v>-0.2377763745534425</v>
      </c>
      <c r="N888" s="33">
        <f>+N542/'[15]Stat by Mat 2'!$G$6</f>
        <v>-7.3865470313621987E-3</v>
      </c>
      <c r="O888" s="25">
        <f>+O542/'[16]Stat by Mat 2'!$G$6</f>
        <v>-2.3181473876665273E-2</v>
      </c>
      <c r="P888" s="25">
        <f>+P542/'[17]Stat by Mat 2'!$G$6</f>
        <v>7.3615543625140459E-2</v>
      </c>
      <c r="Q888" s="33">
        <f>+Q542/'[18]Stat by Mat 2'!$G$6</f>
        <v>3.928681152608228E-3</v>
      </c>
      <c r="R888" s="33">
        <f>+R542/'[19]Stat by Mat 2'!$G$6</f>
        <v>-1.8526294461155759E-3</v>
      </c>
      <c r="S888" s="34">
        <f>+S542/'[20]Stat by Mat 2'!$G$6</f>
        <v>-8.2300406626363634E-3</v>
      </c>
    </row>
    <row r="889" spans="1:19" hidden="1" outlineLevel="2" x14ac:dyDescent="0.25">
      <c r="A889" s="16" t="s">
        <v>26</v>
      </c>
      <c r="B889" s="25">
        <f>+B543/[21]Result!$L$25</f>
        <v>2.0886886000393599E-2</v>
      </c>
      <c r="C889" s="25">
        <f>+C543/[1]Result!$L$25</f>
        <v>-1.7335487116381006E-2</v>
      </c>
      <c r="D889" s="33">
        <f>+D543/[5]Result!$L$25</f>
        <v>3.3611834685118337E-2</v>
      </c>
      <c r="E889" s="25">
        <f>+E543/[6]Result!$L$25</f>
        <v>-3.9792741226573038E-2</v>
      </c>
      <c r="F889" s="25">
        <f>+F543/[7]Result!$L$25</f>
        <v>3.0826345388917677E-2</v>
      </c>
      <c r="G889" s="33">
        <f>+G543/[8]Result!$L$25</f>
        <v>1.2700188202285937E-2</v>
      </c>
      <c r="H889" s="25">
        <f>+H543/[9]Result!$L$25</f>
        <v>1.5648848416371725E-2</v>
      </c>
      <c r="I889" s="25">
        <f>+I543/[10]Result!$L$25</f>
        <v>1.1157876396294619E-2</v>
      </c>
      <c r="J889" s="33">
        <f>+J543/[11]Result!$L$25</f>
        <v>2.931681132730524E-2</v>
      </c>
      <c r="K889" s="25">
        <f>+K543/[12]Result!$L$25</f>
        <v>-2.0546232301096525E-3</v>
      </c>
      <c r="L889" s="25">
        <f>+L543/[13]Result!$L$25</f>
        <v>2.8638148980793001E-2</v>
      </c>
      <c r="M889" s="25">
        <f>+M543/[14]Result!$L$25</f>
        <v>-0.14315541587991223</v>
      </c>
      <c r="N889" s="33">
        <f>+N543/[15]Result!$L$25</f>
        <v>-9.1296023394187627E-3</v>
      </c>
      <c r="O889" s="25">
        <f>+O543/[16]Result!$L$25</f>
        <v>-2.8930472248102395E-2</v>
      </c>
      <c r="P889" s="25">
        <f>+P543/[17]Result!$L$25</f>
        <v>6.9157506517355971E-2</v>
      </c>
      <c r="Q889" s="33">
        <f>+Q543/[18]Result!$L$25</f>
        <v>5.6237136317889404E-3</v>
      </c>
      <c r="R889" s="33">
        <f>+R543/[19]Result!$L$25</f>
        <v>-3.369795455461645E-3</v>
      </c>
      <c r="S889" s="34">
        <f>+S543/[20]Result!$L$25</f>
        <v>-1.0405468597339615E-2</v>
      </c>
    </row>
    <row r="890" spans="1:19" hidden="1" outlineLevel="2" x14ac:dyDescent="0.25">
      <c r="A890" s="16" t="s">
        <v>27</v>
      </c>
      <c r="B890" s="25">
        <f>+B544/[21]Result!$L$26</f>
        <v>2.0947330242096319E-2</v>
      </c>
      <c r="C890" s="25">
        <f>+C544/[1]Result!$L$26</f>
        <v>-1.9546746986271957E-2</v>
      </c>
      <c r="D890" s="33">
        <f>+D544/[5]Result!$L$26</f>
        <v>2.6975473773858661E-2</v>
      </c>
      <c r="E890" s="25">
        <f>+E544/[6]Result!$L$26</f>
        <v>-3.5256671225541304E-2</v>
      </c>
      <c r="F890" s="25">
        <f>+F544/[7]Result!$L$26</f>
        <v>3.0005577193878089E-2</v>
      </c>
      <c r="G890" s="33">
        <f>+G544/[8]Result!$L$26</f>
        <v>1.1654017349921853E-2</v>
      </c>
      <c r="H890" s="25">
        <f>+H544/[9]Result!$L$26</f>
        <v>1.398943962463654E-2</v>
      </c>
      <c r="I890" s="25">
        <f>+I544/[10]Result!$L$26</f>
        <v>1.1207262439536484E-2</v>
      </c>
      <c r="J890" s="33">
        <f>+J544/[11]Result!$L$26</f>
        <v>3.7526824834452487E-2</v>
      </c>
      <c r="K890" s="25">
        <f>+K544/[12]Result!$L$26</f>
        <v>-1.0920319903272772E-3</v>
      </c>
      <c r="L890" s="25">
        <f>+L544/[13]Result!$L$26</f>
        <v>2.5939150622174053E-2</v>
      </c>
      <c r="M890" s="25">
        <f>+M544/[14]Result!$L$26</f>
        <v>-0.16638036889405425</v>
      </c>
      <c r="N890" s="33">
        <f>+N544/[15]Result!$L$26</f>
        <v>-8.0890219799337141E-3</v>
      </c>
      <c r="O890" s="25">
        <f>+O544/[16]Result!$L$26</f>
        <v>-2.7419976839488779E-2</v>
      </c>
      <c r="P890" s="25">
        <f>+P544/[17]Result!$L$26</f>
        <v>6.7183852739231206E-2</v>
      </c>
      <c r="Q890" s="33">
        <f>+Q544/[18]Result!$L$26</f>
        <v>5.0947299599987655E-3</v>
      </c>
      <c r="R890" s="33">
        <f>+R544/[19]Result!$L$26</f>
        <v>-2.7941180260438367E-3</v>
      </c>
      <c r="S890" s="34">
        <f>+S544/[20]Result!$L$26</f>
        <v>-9.314199318159402E-3</v>
      </c>
    </row>
    <row r="891" spans="1:19" hidden="1" outlineLevel="2" x14ac:dyDescent="0.25">
      <c r="A891" s="16" t="s">
        <v>28</v>
      </c>
      <c r="B891" s="25">
        <f>+B545/[21]Result!$L$27</f>
        <v>2.0501128289215131E-2</v>
      </c>
      <c r="C891" s="25">
        <f>+C545/[1]Result!$L$27</f>
        <v>-2.1516595008562175E-2</v>
      </c>
      <c r="D891" s="33">
        <f>+D545/[5]Result!$L$27</f>
        <v>2.5889345101310714E-2</v>
      </c>
      <c r="E891" s="25">
        <f>+E545/[6]Result!$L$27</f>
        <v>-3.1795680900501666E-2</v>
      </c>
      <c r="F891" s="25">
        <f>+F545/[7]Result!$L$27</f>
        <v>2.8692764098475827E-2</v>
      </c>
      <c r="G891" s="33">
        <f>+G545/[8]Result!$L$27</f>
        <v>1.3593200222720895E-2</v>
      </c>
      <c r="H891" s="25">
        <f>+H545/[9]Result!$L$27</f>
        <v>1.3042730985591477E-2</v>
      </c>
      <c r="I891" s="25">
        <f>+I545/[10]Result!$L$27</f>
        <v>1.0781968630132404E-2</v>
      </c>
      <c r="J891" s="33">
        <f>+J545/[11]Result!$L$27</f>
        <v>5.1276538689974956E-2</v>
      </c>
      <c r="K891" s="25">
        <f>+K545/[12]Result!$L$27</f>
        <v>-7.3849468262648292E-4</v>
      </c>
      <c r="L891" s="25">
        <f>+L545/[13]Result!$L$27</f>
        <v>2.4058951870294738E-2</v>
      </c>
      <c r="M891" s="25">
        <f>+M545/[14]Result!$L$27</f>
        <v>-0.18886021598951308</v>
      </c>
      <c r="N891" s="33">
        <f>+N545/[15]Result!$L$27</f>
        <v>-7.8370255598028873E-3</v>
      </c>
      <c r="O891" s="25">
        <f>+O545/[16]Result!$L$27</f>
        <v>-2.5230153877460752E-2</v>
      </c>
      <c r="P891" s="25">
        <f>+P545/[17]Result!$L$27</f>
        <v>7.0865875089015387E-2</v>
      </c>
      <c r="Q891" s="33">
        <f>+Q545/[18]Result!$L$27</f>
        <v>4.5709534476886301E-3</v>
      </c>
      <c r="R891" s="33">
        <f>+R545/[19]Result!$L$27</f>
        <v>-2.0344916522042397E-3</v>
      </c>
      <c r="S891" s="34">
        <f>+S545/[20]Result!$L$27</f>
        <v>-8.9414279454665142E-3</v>
      </c>
    </row>
    <row r="892" spans="1:19" hidden="1" outlineLevel="2" x14ac:dyDescent="0.25">
      <c r="A892" s="16" t="s">
        <v>29</v>
      </c>
      <c r="B892" s="25">
        <f>+B546/[21]Result!$L$28</f>
        <v>2.0206134054647405E-2</v>
      </c>
      <c r="C892" s="25">
        <f>+C546/[1]Result!$L$28</f>
        <v>-2.315511120686126E-2</v>
      </c>
      <c r="D892" s="33">
        <f>+D546/[5]Result!$L$28</f>
        <v>3.1654501375132212E-2</v>
      </c>
      <c r="E892" s="25">
        <f>+E546/[6]Result!$L$28</f>
        <v>-2.8716467272812556E-2</v>
      </c>
      <c r="F892" s="25">
        <f>+F546/[7]Result!$L$28</f>
        <v>2.6871551975140535E-2</v>
      </c>
      <c r="G892" s="33">
        <f>+G546/[8]Result!$L$28</f>
        <v>3.044939184863275E-2</v>
      </c>
      <c r="H892" s="25">
        <f>+H546/[9]Result!$L$28</f>
        <v>1.2345322211436045E-2</v>
      </c>
      <c r="I892" s="25">
        <f>+I546/[10]Result!$L$28</f>
        <v>1.096887902697314E-2</v>
      </c>
      <c r="J892" s="33">
        <f>+J546/[11]Result!$L$28</f>
        <v>6.2108284834505589E-2</v>
      </c>
      <c r="K892" s="25">
        <f>+K546/[12]Result!$L$28</f>
        <v>-3.704822303093502E-4</v>
      </c>
      <c r="L892" s="25">
        <f>+L546/[13]Result!$L$28</f>
        <v>2.2400967003575793E-2</v>
      </c>
      <c r="M892" s="25">
        <f>+M546/[14]Result!$L$28</f>
        <v>-0.20754255096176186</v>
      </c>
      <c r="N892" s="33">
        <f>+N546/[15]Result!$L$28</f>
        <v>-7.5567553315179633E-3</v>
      </c>
      <c r="O892" s="25">
        <f>+O546/[16]Result!$L$28</f>
        <v>-2.2497781971160601E-2</v>
      </c>
      <c r="P892" s="25">
        <f>+P546/[17]Result!$L$28</f>
        <v>6.9964990318689232E-2</v>
      </c>
      <c r="Q892" s="33">
        <f>+Q546/[18]Result!$L$28</f>
        <v>3.4479713064315054E-3</v>
      </c>
      <c r="R892" s="33">
        <f>+R546/[19]Result!$L$28</f>
        <v>-1.309346304265203E-3</v>
      </c>
      <c r="S892" s="34">
        <f>+S546/[20]Result!$L$28</f>
        <v>-8.4381917431813596E-3</v>
      </c>
    </row>
    <row r="893" spans="1:19" hidden="1" outlineLevel="2" x14ac:dyDescent="0.25">
      <c r="A893" s="16" t="s">
        <v>30</v>
      </c>
      <c r="B893" s="25">
        <f>+B547/[21]Result!$L$29</f>
        <v>1.9976222700137571E-2</v>
      </c>
      <c r="C893" s="25">
        <f>+C547/[1]Result!$L$29</f>
        <v>-2.3385277320249812E-2</v>
      </c>
      <c r="D893" s="33">
        <f>+D547/[5]Result!$L$29</f>
        <v>2.9438053016103638E-2</v>
      </c>
      <c r="E893" s="25">
        <f>+E547/[6]Result!$L$29</f>
        <v>-2.603932743619411E-2</v>
      </c>
      <c r="F893" s="25">
        <f>+F547/[7]Result!$L$29</f>
        <v>2.5117985630947762E-2</v>
      </c>
      <c r="G893" s="33">
        <f>+G547/[8]Result!$L$29</f>
        <v>2.6015620727607689E-2</v>
      </c>
      <c r="H893" s="25">
        <f>+H547/[9]Result!$L$29</f>
        <v>1.1551295940770626E-2</v>
      </c>
      <c r="I893" s="25">
        <f>+I547/[10]Result!$L$29</f>
        <v>1.0016691696452763E-2</v>
      </c>
      <c r="J893" s="33">
        <f>+J547/[11]Result!$L$29</f>
        <v>5.0074925484610074E-2</v>
      </c>
      <c r="K893" s="25">
        <f>+K547/[12]Result!$L$29</f>
        <v>-5.7284680368133213E-5</v>
      </c>
      <c r="L893" s="25">
        <f>+L547/[13]Result!$L$29</f>
        <v>2.0262177598286486E-2</v>
      </c>
      <c r="M893" s="25">
        <f>+M547/[14]Result!$L$29</f>
        <v>-0.23553239488069977</v>
      </c>
      <c r="N893" s="33">
        <f>+N547/[15]Result!$L$29</f>
        <v>-6.7924295282630687E-3</v>
      </c>
      <c r="O893" s="25">
        <f>+O547/[16]Result!$L$29</f>
        <v>-2.0536724877660437E-2</v>
      </c>
      <c r="P893" s="25">
        <f>+P547/[17]Result!$L$29</f>
        <v>5.4620528516454402E-2</v>
      </c>
      <c r="Q893" s="33">
        <f>+Q547/[18]Result!$L$29</f>
        <v>2.8437766687567844E-3</v>
      </c>
      <c r="R893" s="33">
        <f>+R547/[19]Result!$L$29</f>
        <v>-1.102683868516848E-3</v>
      </c>
      <c r="S893" s="34">
        <f>+S547/[20]Result!$L$29</f>
        <v>-7.4663041199977236E-3</v>
      </c>
    </row>
    <row r="894" spans="1:19" hidden="1" outlineLevel="2" x14ac:dyDescent="0.25">
      <c r="A894" s="16" t="s">
        <v>31</v>
      </c>
      <c r="B894" s="25">
        <f>+B548/[21]Result!$L$30</f>
        <v>1.8289600207733084E-2</v>
      </c>
      <c r="C894" s="25">
        <f>+C548/[1]Result!$L$30</f>
        <v>-2.2398470771455004E-2</v>
      </c>
      <c r="D894" s="33">
        <f>+D548/[5]Result!$L$30</f>
        <v>2.1388994226603602E-2</v>
      </c>
      <c r="E894" s="25">
        <f>+E548/[6]Result!$L$30</f>
        <v>-2.3167591004177646E-2</v>
      </c>
      <c r="F894" s="25">
        <f>+F548/[7]Result!$L$30</f>
        <v>2.420942415119566E-2</v>
      </c>
      <c r="G894" s="33">
        <f>+G548/[8]Result!$L$30</f>
        <v>1.6913180855195609E-2</v>
      </c>
      <c r="H894" s="25">
        <f>+H548/[9]Result!$L$30</f>
        <v>1.0657032183571051E-2</v>
      </c>
      <c r="I894" s="25">
        <f>+I548/[10]Result!$L$30</f>
        <v>9.3086947952950704E-3</v>
      </c>
      <c r="J894" s="33">
        <f>+J548/[11]Result!$L$30</f>
        <v>6.4499747989152353E-2</v>
      </c>
      <c r="K894" s="25">
        <f>+K548/[12]Result!$L$30</f>
        <v>-2.8380751563223988E-4</v>
      </c>
      <c r="L894" s="25">
        <f>+L548/[13]Result!$L$30</f>
        <v>1.8699465780695635E-2</v>
      </c>
      <c r="M894" s="25">
        <f>+M548/[14]Result!$L$30</f>
        <v>-0.29005749486849264</v>
      </c>
      <c r="N894" s="33">
        <f>+N548/[15]Result!$L$30</f>
        <v>-6.1277423144628883E-3</v>
      </c>
      <c r="O894" s="25">
        <f>+O548/[16]Result!$L$30</f>
        <v>-1.9263389829809723E-2</v>
      </c>
      <c r="P894" s="25">
        <f>+P548/[17]Result!$L$30</f>
        <v>5.2947317118992497E-2</v>
      </c>
      <c r="Q894" s="33">
        <f>+Q548/[18]Result!$L$30</f>
        <v>2.8674469780982132E-3</v>
      </c>
      <c r="R894" s="33">
        <f>+R548/[19]Result!$L$30</f>
        <v>-7.9259782696102855E-4</v>
      </c>
      <c r="S894" s="34">
        <f>+S548/[20]Result!$L$30</f>
        <v>-7.2327492264939765E-3</v>
      </c>
    </row>
    <row r="895" spans="1:19" hidden="1" outlineLevel="2" x14ac:dyDescent="0.25">
      <c r="A895" s="16" t="s">
        <v>32</v>
      </c>
      <c r="B895" s="25">
        <f>+B549/[21]Result!$L$31</f>
        <v>1.7447114463649577E-2</v>
      </c>
      <c r="C895" s="25">
        <f>+C549/[1]Result!$L$31</f>
        <v>-2.0882868498494186E-2</v>
      </c>
      <c r="D895" s="33">
        <f>+D549/[5]Result!$L$31</f>
        <v>2.1949726115892743E-2</v>
      </c>
      <c r="E895" s="25">
        <f>+E549/[6]Result!$L$31</f>
        <v>-2.0842153138937603E-2</v>
      </c>
      <c r="F895" s="25">
        <f>+F549/[7]Result!$L$31</f>
        <v>2.251966125479804E-2</v>
      </c>
      <c r="G895" s="33">
        <f>+G549/[8]Result!$L$31</f>
        <v>1.5481662898998355E-2</v>
      </c>
      <c r="H895" s="25">
        <f>+H549/[9]Result!$L$31</f>
        <v>9.2309426735576305E-3</v>
      </c>
      <c r="I895" s="25">
        <f>+I549/[10]Result!$L$31</f>
        <v>9.4132411623852729E-3</v>
      </c>
      <c r="J895" s="33">
        <f>+J549/[11]Result!$L$31</f>
        <v>8.4657318213533533E-2</v>
      </c>
      <c r="K895" s="25">
        <f>+K549/[12]Result!$L$31</f>
        <v>4.0564852568939223E-4</v>
      </c>
      <c r="L895" s="25">
        <f>+L549/[13]Result!$L$31</f>
        <v>1.6611854403337758E-2</v>
      </c>
      <c r="M895" s="25">
        <f>+M549/[14]Result!$L$31</f>
        <v>-0.37092660440177444</v>
      </c>
      <c r="N895" s="33">
        <f>+N549/[15]Result!$L$31</f>
        <v>-5.3355288879660635E-3</v>
      </c>
      <c r="O895" s="25">
        <f>+O549/[16]Result!$L$31</f>
        <v>-1.7546351052571411E-2</v>
      </c>
      <c r="P895" s="25">
        <f>+P549/[17]Result!$L$31</f>
        <v>4.8562253197529416E-2</v>
      </c>
      <c r="Q895" s="33">
        <f>+Q549/[18]Result!$L$31</f>
        <v>2.2725183171463641E-3</v>
      </c>
      <c r="R895" s="33">
        <f>+R549/[19]Result!$L$31</f>
        <v>-3.6897109448123306E-4</v>
      </c>
      <c r="S895" s="34">
        <f>+S549/[20]Result!$L$31</f>
        <v>-6.5144958162674923E-3</v>
      </c>
    </row>
    <row r="896" spans="1:19" hidden="1" outlineLevel="2" x14ac:dyDescent="0.25">
      <c r="A896" s="16" t="s">
        <v>33</v>
      </c>
      <c r="B896" s="25">
        <f>+B550/[21]Result!$L$32</f>
        <v>1.755031178054808E-2</v>
      </c>
      <c r="C896" s="25">
        <f>+C550/[1]Result!$L$32</f>
        <v>-2.0266137147946391E-2</v>
      </c>
      <c r="D896" s="33">
        <f>+D550/[5]Result!$L$32</f>
        <v>2.4040761341359067E-2</v>
      </c>
      <c r="E896" s="25">
        <f>+E550/[6]Result!$L$32</f>
        <v>-1.9190022681727776E-2</v>
      </c>
      <c r="F896" s="25">
        <f>+F550/[7]Result!$L$32</f>
        <v>2.1005462815351237E-2</v>
      </c>
      <c r="G896" s="33">
        <f>+G550/[8]Result!$L$32</f>
        <v>1.7766325729475826E-2</v>
      </c>
      <c r="H896" s="25">
        <f>+H550/[9]Result!$L$32</f>
        <v>7.8157412608650719E-3</v>
      </c>
      <c r="I896" s="25">
        <f>+I550/[10]Result!$L$32</f>
        <v>8.2791890256039228E-3</v>
      </c>
      <c r="J896" s="33">
        <f>+J550/[11]Result!$L$32</f>
        <v>0.13543006610987246</v>
      </c>
      <c r="K896" s="25">
        <f>+K550/[12]Result!$L$32</f>
        <v>2.7229775963527722E-4</v>
      </c>
      <c r="L896" s="25">
        <f>+L550/[13]Result!$L$32</f>
        <v>1.5393913991209681E-2</v>
      </c>
      <c r="M896" s="25">
        <f>+M550/[14]Result!$L$32</f>
        <v>-0.44791925530725135</v>
      </c>
      <c r="N896" s="33">
        <f>+N550/[15]Result!$L$32</f>
        <v>-5.4344823701382335E-3</v>
      </c>
      <c r="O896" s="25">
        <f>+O550/[16]Result!$L$32</f>
        <v>-1.5127758455917729E-2</v>
      </c>
      <c r="P896" s="25">
        <f>+P550/[17]Result!$L$32</f>
        <v>0.12205343634969304</v>
      </c>
      <c r="Q896" s="33">
        <f>+Q550/[18]Result!$L$32</f>
        <v>1.6966965214994323E-3</v>
      </c>
      <c r="R896" s="33">
        <f>+R550/[19]Result!$L$32</f>
        <v>-5.9446131718462233E-4</v>
      </c>
      <c r="S896" s="34">
        <f>+S550/[20]Result!$L$32</f>
        <v>-5.0446013399558474E-3</v>
      </c>
    </row>
    <row r="897" spans="1:19" hidden="1" outlineLevel="2" x14ac:dyDescent="0.25">
      <c r="A897" s="16" t="s">
        <v>34</v>
      </c>
      <c r="B897" s="25">
        <f>+B551/[21]Result!$L$33</f>
        <v>1.6111284731534153E-2</v>
      </c>
      <c r="C897" s="25">
        <f>+C551/[1]Result!$L$33</f>
        <v>-1.9893383697035878E-2</v>
      </c>
      <c r="D897" s="33">
        <f>+D551/[5]Result!$L$33</f>
        <v>0.10792998940817153</v>
      </c>
      <c r="E897" s="25">
        <f>+E551/[6]Result!$L$33</f>
        <v>-1.672160392869702E-2</v>
      </c>
      <c r="F897" s="25">
        <f>+F551/[7]Result!$L$33</f>
        <v>1.9763777720338663E-2</v>
      </c>
      <c r="G897" s="33">
        <f>+G551/[8]Result!$L$33</f>
        <v>0.1178565288240265</v>
      </c>
      <c r="H897" s="25">
        <f>+H551/[9]Result!$L$33</f>
        <v>6.2808546876561002E-3</v>
      </c>
      <c r="I897" s="25">
        <f>+I551/[10]Result!$L$33</f>
        <v>7.7043225370351139E-3</v>
      </c>
      <c r="J897" s="33">
        <f>+J551/[11]Result!$L$33</f>
        <v>0.1566372535705382</v>
      </c>
      <c r="K897" s="25">
        <f>+K551/[12]Result!$L$33</f>
        <v>0</v>
      </c>
      <c r="L897" s="25">
        <f>+L551/[13]Result!$L$33</f>
        <v>1.420534242021201E-2</v>
      </c>
      <c r="M897" s="25">
        <f>+M551/[14]Result!$L$33</f>
        <v>-0.42072949361214262</v>
      </c>
      <c r="N897" s="33">
        <f>+N551/[15]Result!$L$33</f>
        <v>-5.6703490347266641E-3</v>
      </c>
      <c r="O897" s="25">
        <f>+O551/[16]Result!$L$33</f>
        <v>-1.3257443883588411E-2</v>
      </c>
      <c r="P897" s="25">
        <f>+P551/[17]Result!$L$33</f>
        <v>0.18578808574843791</v>
      </c>
      <c r="Q897" s="33">
        <f>+Q551/[18]Result!$L$33</f>
        <v>1.7699532688643018E-3</v>
      </c>
      <c r="R897" s="33">
        <f>+R551/[19]Result!$L$33</f>
        <v>-3.331264753732E-4</v>
      </c>
      <c r="S897" s="34">
        <f>+S551/[20]Result!$L$33</f>
        <v>-4.0782177179276794E-3</v>
      </c>
    </row>
    <row r="898" spans="1:19" hidden="1" outlineLevel="2" x14ac:dyDescent="0.25">
      <c r="A898" s="16" t="s">
        <v>35</v>
      </c>
      <c r="B898" s="25">
        <f>+B552/[21]Result!$L$34</f>
        <v>1.403772832974145E-2</v>
      </c>
      <c r="C898" s="25">
        <f>+C552/[1]Result!$L$34</f>
        <v>-1.8188795573879635E-2</v>
      </c>
      <c r="D898" s="33">
        <f>+D552/[5]Result!$L$34</f>
        <v>9.759066221276759E-2</v>
      </c>
      <c r="E898" s="25">
        <f>+E552/[6]Result!$L$34</f>
        <v>-1.4305277062019294E-2</v>
      </c>
      <c r="F898" s="25">
        <f>+F552/[7]Result!$L$34</f>
        <v>1.7155354673629671E-2</v>
      </c>
      <c r="G898" s="33">
        <f>+G552/[8]Result!$L$34</f>
        <v>0.10947309647114173</v>
      </c>
      <c r="H898" s="25">
        <f>+H552/[9]Result!$L$34</f>
        <v>5.4903387042216029E-3</v>
      </c>
      <c r="I898" s="25">
        <f>+I552/[10]Result!$L$34</f>
        <v>7.2669329960899946E-3</v>
      </c>
      <c r="J898" s="33">
        <f>+J552/[11]Result!$L$34</f>
        <v>3.5050071458223864E-3</v>
      </c>
      <c r="K898" s="25">
        <f>+K552/[12]Result!$L$34</f>
        <v>0</v>
      </c>
      <c r="L898" s="25">
        <f>+L552/[13]Result!$L$34</f>
        <v>1.2404798395564539E-2</v>
      </c>
      <c r="M898" s="25">
        <f>+M552/[14]Result!$L$34</f>
        <v>-0.33524860306508419</v>
      </c>
      <c r="N898" s="33">
        <f>+N552/[15]Result!$L$34</f>
        <v>-4.0483276335126781E-3</v>
      </c>
      <c r="O898" s="25">
        <f>+O552/[16]Result!$L$34</f>
        <v>-1.137878667251907E-2</v>
      </c>
      <c r="P898" s="25">
        <f>+P552/[17]Result!$L$34</f>
        <v>0.12146198661516112</v>
      </c>
      <c r="Q898" s="33">
        <f>+Q552/[18]Result!$L$34</f>
        <v>1.8580588541354727E-3</v>
      </c>
      <c r="R898" s="33">
        <f>+R552/[19]Result!$L$34</f>
        <v>-5.9752638382033828E-4</v>
      </c>
      <c r="S898" s="34">
        <f>+S552/[20]Result!$L$34</f>
        <v>-3.9058692990710975E-3</v>
      </c>
    </row>
    <row r="899" spans="1:19" hidden="1" outlineLevel="1" x14ac:dyDescent="0.25">
      <c r="A899" s="15" t="s">
        <v>36</v>
      </c>
      <c r="B899" s="25">
        <f>+B553/'[21]Stat by Mat 2'!$G$7</f>
        <v>9.9232313673760213E-3</v>
      </c>
      <c r="C899" s="25">
        <f>+C553/'[1]Stat by Mat 2'!$G$7</f>
        <v>-1.2893589295359177E-2</v>
      </c>
      <c r="D899" s="33">
        <f>+D553/'[5]Stat by Mat 2'!$G$7</f>
        <v>6.4549004194440054E-2</v>
      </c>
      <c r="E899" s="25">
        <f>+E553/'[6]Stat by Mat 2'!$G$7</f>
        <v>-9.7312480880145762E-3</v>
      </c>
      <c r="F899" s="25">
        <f>+F553/'[7]Stat by Mat 2'!$G$7</f>
        <v>1.1470833632102308E-2</v>
      </c>
      <c r="G899" s="33">
        <f>+G553/'[8]Stat by Mat 2'!$G$7</f>
        <v>7.3616561904268657E-2</v>
      </c>
      <c r="H899" s="25">
        <f>+H553/'[9]Stat by Mat 2'!$G$7</f>
        <v>3.4872109848531102E-3</v>
      </c>
      <c r="I899" s="25">
        <f>+I553/'[10]Stat by Mat 2'!$G$7</f>
        <v>4.1259182792583267E-3</v>
      </c>
      <c r="J899" s="33">
        <f>+J553/'[11]Stat by Mat 2'!$G$7</f>
        <v>3.4643485783763021E-2</v>
      </c>
      <c r="K899" s="25">
        <f>+K553/'[12]Stat by Mat 2'!$G$7</f>
        <v>4.7356539921395853E-5</v>
      </c>
      <c r="L899" s="25">
        <f>+L553/'[13]Stat by Mat 2'!$G$7</f>
        <v>6.5133077425353885E-3</v>
      </c>
      <c r="M899" s="25">
        <f>+M553/'[14]Stat by Mat 2'!$G$7</f>
        <v>-0.51695770525679818</v>
      </c>
      <c r="N899" s="33">
        <f>+N553/'[15]Stat by Mat 2'!$G$7</f>
        <v>-1.4152376875678735E-3</v>
      </c>
      <c r="O899" s="25">
        <f>+O553/'[16]Stat by Mat 2'!$G$7</f>
        <v>-5.4297027051783608E-3</v>
      </c>
      <c r="P899" s="25">
        <f>+P553/'[17]Stat by Mat 2'!$G$7</f>
        <v>0.40793445147019669</v>
      </c>
      <c r="Q899" s="33">
        <f>+Q553/'[18]Stat by Mat 2'!$G$7</f>
        <v>8.9331183233074191E-4</v>
      </c>
      <c r="R899" s="33">
        <f>+R553/'[19]Stat by Mat 2'!$G$7</f>
        <v>-2.5215233063646548E-4</v>
      </c>
      <c r="S899" s="34">
        <f>+S553/'[20]Stat by Mat 2'!$G$7</f>
        <v>-1.8976545246490385E-3</v>
      </c>
    </row>
    <row r="900" spans="1:19" hidden="1" outlineLevel="2" x14ac:dyDescent="0.25">
      <c r="A900" s="16" t="s">
        <v>37</v>
      </c>
      <c r="B900" s="25">
        <f>+B554/[21]Result!$L$35</f>
        <v>1.2840080795124156E-2</v>
      </c>
      <c r="C900" s="25">
        <f>+C554/[1]Result!$L$35</f>
        <v>-1.6648675998851573E-2</v>
      </c>
      <c r="D900" s="33">
        <f>+D554/[5]Result!$L$35</f>
        <v>8.3865736341604671E-2</v>
      </c>
      <c r="E900" s="25">
        <f>+E554/[6]Result!$L$35</f>
        <v>-1.3187854773770675E-2</v>
      </c>
      <c r="F900" s="25">
        <f>+F554/[7]Result!$L$35</f>
        <v>1.5251916374765547E-2</v>
      </c>
      <c r="G900" s="33">
        <f>+G554/[8]Result!$L$35</f>
        <v>8.6095614061709083E-2</v>
      </c>
      <c r="H900" s="25">
        <f>+H554/[9]Result!$L$35</f>
        <v>4.8671777848124289E-3</v>
      </c>
      <c r="I900" s="25">
        <f>+I554/[10]Result!$L$35</f>
        <v>6.311661995069366E-3</v>
      </c>
      <c r="J900" s="33">
        <f>+J554/[11]Result!$L$35</f>
        <v>1.1080741213176837E-2</v>
      </c>
      <c r="K900" s="25">
        <f>+K554/[12]Result!$L$35</f>
        <v>5.3957858497849032E-4</v>
      </c>
      <c r="L900" s="25">
        <f>+L554/[13]Result!$L$35</f>
        <v>1.0120984637223345E-2</v>
      </c>
      <c r="M900" s="25">
        <f>+M554/[14]Result!$L$35</f>
        <v>-0.38101884984286721</v>
      </c>
      <c r="N900" s="33">
        <f>+N554/[15]Result!$L$35</f>
        <v>-2.5771088845996364E-3</v>
      </c>
      <c r="O900" s="25">
        <f>+O554/[16]Result!$L$35</f>
        <v>-9.536245023677772E-3</v>
      </c>
      <c r="P900" s="25">
        <f>+P554/[17]Result!$L$35</f>
        <v>0.15942532244362018</v>
      </c>
      <c r="Q900" s="33">
        <f>+Q554/[18]Result!$L$35</f>
        <v>1.9660260334435084E-3</v>
      </c>
      <c r="R900" s="33">
        <f>+R554/[19]Result!$L$35</f>
        <v>-7.1317007746143847E-4</v>
      </c>
      <c r="S900" s="34">
        <f>+S554/[20]Result!$L$35</f>
        <v>-3.9087980825838024E-3</v>
      </c>
    </row>
    <row r="901" spans="1:19" hidden="1" outlineLevel="2" x14ac:dyDescent="0.25">
      <c r="A901" s="16" t="s">
        <v>38</v>
      </c>
      <c r="B901" s="25">
        <f>+B555/[21]Result!$L$36</f>
        <v>1.1671090121123079E-2</v>
      </c>
      <c r="C901" s="25">
        <f>+C555/[1]Result!$L$36</f>
        <v>-1.5117036011669159E-2</v>
      </c>
      <c r="D901" s="33">
        <f>+D555/[5]Result!$L$36</f>
        <v>6.4163731551859754E-2</v>
      </c>
      <c r="E901" s="25">
        <f>+E555/[6]Result!$L$36</f>
        <v>-1.1988062022041626E-2</v>
      </c>
      <c r="F901" s="25">
        <f>+F555/[7]Result!$L$36</f>
        <v>1.4152391186834196E-2</v>
      </c>
      <c r="G901" s="33">
        <f>+G555/[8]Result!$L$36</f>
        <v>6.7092120886661291E-2</v>
      </c>
      <c r="H901" s="25">
        <f>+H555/[9]Result!$L$36</f>
        <v>4.1210129503566513E-3</v>
      </c>
      <c r="I901" s="25">
        <f>+I555/[10]Result!$L$36</f>
        <v>5.3630525815653576E-3</v>
      </c>
      <c r="J901" s="33">
        <f>+J555/[11]Result!$L$36</f>
        <v>3.9414328769793332E-2</v>
      </c>
      <c r="K901" s="25">
        <f>+K555/[12]Result!$L$36</f>
        <v>3.7693192544770426E-4</v>
      </c>
      <c r="L901" s="25">
        <f>+L555/[13]Result!$L$36</f>
        <v>8.5579461240435205E-3</v>
      </c>
      <c r="M901" s="25">
        <f>+M555/[14]Result!$L$36</f>
        <v>-0.49055183973995903</v>
      </c>
      <c r="N901" s="33">
        <f>+N555/[15]Result!$L$36</f>
        <v>-2.867568677713166E-3</v>
      </c>
      <c r="O901" s="25">
        <f>+O555/[16]Result!$L$36</f>
        <v>-7.9396601538266973E-3</v>
      </c>
      <c r="P901" s="25">
        <f>+P555/[17]Result!$L$36</f>
        <v>0.26257214233640491</v>
      </c>
      <c r="Q901" s="33">
        <f>+Q555/[18]Result!$L$36</f>
        <v>1.4381384451526897E-3</v>
      </c>
      <c r="R901" s="33">
        <f>+R555/[19]Result!$L$36</f>
        <v>-2.0038212787534273E-4</v>
      </c>
      <c r="S901" s="34">
        <f>+S555/[20]Result!$L$36</f>
        <v>-3.272014857099618E-3</v>
      </c>
    </row>
    <row r="902" spans="1:19" hidden="1" outlineLevel="2" x14ac:dyDescent="0.25">
      <c r="A902" s="16" t="s">
        <v>39</v>
      </c>
      <c r="B902" s="25">
        <f>+B556/[21]Result!$L$37</f>
        <v>1.0702293786012739E-2</v>
      </c>
      <c r="C902" s="25">
        <f>+C556/[1]Result!$L$37</f>
        <v>-1.3774028232317501E-2</v>
      </c>
      <c r="D902" s="33">
        <f>+D556/[5]Result!$L$37</f>
        <v>6.5068764835900364E-2</v>
      </c>
      <c r="E902" s="25">
        <f>+E556/[6]Result!$L$37</f>
        <v>-1.0234566193871135E-2</v>
      </c>
      <c r="F902" s="25">
        <f>+F556/[7]Result!$L$37</f>
        <v>1.2463897950001317E-2</v>
      </c>
      <c r="G902" s="33">
        <f>+G556/[8]Result!$L$37</f>
        <v>6.5267182833466275E-2</v>
      </c>
      <c r="H902" s="25">
        <f>+H556/[9]Result!$L$37</f>
        <v>3.5640943525176456E-3</v>
      </c>
      <c r="I902" s="25">
        <f>+I556/[10]Result!$L$37</f>
        <v>4.4329044262222768E-3</v>
      </c>
      <c r="J902" s="33">
        <f>+J556/[11]Result!$L$37</f>
        <v>7.4943638013121497E-2</v>
      </c>
      <c r="K902" s="25">
        <f>+K556/[12]Result!$L$37</f>
        <v>-3.266400810539299E-4</v>
      </c>
      <c r="L902" s="25">
        <f>+L556/[13]Result!$L$37</f>
        <v>7.5713658737159868E-3</v>
      </c>
      <c r="M902" s="25">
        <f>+M556/[14]Result!$L$37</f>
        <v>-0.57721005667588665</v>
      </c>
      <c r="N902" s="33">
        <f>+N556/[15]Result!$L$37</f>
        <v>-2.5387700048101563E-3</v>
      </c>
      <c r="O902" s="25">
        <f>+O556/[16]Result!$L$37</f>
        <v>-6.3815293765781518E-3</v>
      </c>
      <c r="P902" s="25">
        <f>+P556/[17]Result!$L$37</f>
        <v>0.39187909867204973</v>
      </c>
      <c r="Q902" s="33">
        <f>+Q556/[18]Result!$L$37</f>
        <v>9.2502185586281838E-4</v>
      </c>
      <c r="R902" s="33">
        <f>+R556/[19]Result!$L$37</f>
        <v>1.5721382849456046E-4</v>
      </c>
      <c r="S902" s="34">
        <f>+S556/[20]Result!$L$37</f>
        <v>-2.4997105791344939E-3</v>
      </c>
    </row>
    <row r="903" spans="1:19" hidden="1" outlineLevel="2" x14ac:dyDescent="0.25">
      <c r="A903" s="16" t="s">
        <v>40</v>
      </c>
      <c r="B903" s="25">
        <f>+B557/[21]Result!$L$38</f>
        <v>9.7670446267977985E-3</v>
      </c>
      <c r="C903" s="25">
        <f>+C557/[1]Result!$L$38</f>
        <v>-1.2615581213484434E-2</v>
      </c>
      <c r="D903" s="33">
        <f>+D557/[5]Result!$L$38</f>
        <v>6.944404403663243E-2</v>
      </c>
      <c r="E903" s="25">
        <f>+E557/[6]Result!$L$38</f>
        <v>-8.8044072755387361E-3</v>
      </c>
      <c r="F903" s="25">
        <f>+F557/[7]Result!$L$38</f>
        <v>1.0655872579867803E-2</v>
      </c>
      <c r="G903" s="33">
        <f>+G557/[8]Result!$L$38</f>
        <v>6.7133109490030721E-2</v>
      </c>
      <c r="H903" s="25">
        <f>+H557/[9]Result!$L$38</f>
        <v>3.765827660274803E-3</v>
      </c>
      <c r="I903" s="25">
        <f>+I557/[10]Result!$L$38</f>
        <v>3.5109568385893971E-3</v>
      </c>
      <c r="J903" s="33">
        <f>+J557/[11]Result!$L$38</f>
        <v>4.0884491274334904E-2</v>
      </c>
      <c r="K903" s="25">
        <f>+K557/[12]Result!$L$38</f>
        <v>-3.3636144281061031E-4</v>
      </c>
      <c r="L903" s="25">
        <f>+L557/[13]Result!$L$38</f>
        <v>5.9543037737777886E-3</v>
      </c>
      <c r="M903" s="25">
        <f>+M557/[14]Result!$L$38</f>
        <v>-0.62994154914389644</v>
      </c>
      <c r="N903" s="33">
        <f>+N557/[15]Result!$L$38</f>
        <v>-1.7352968251758733E-3</v>
      </c>
      <c r="O903" s="25">
        <f>+O557/[16]Result!$L$38</f>
        <v>-4.6625584753842084E-3</v>
      </c>
      <c r="P903" s="25">
        <f>+P557/[17]Result!$L$38</f>
        <v>0.44198920483139548</v>
      </c>
      <c r="Q903" s="33">
        <f>+Q557/[18]Result!$L$38</f>
        <v>4.1759970394059564E-4</v>
      </c>
      <c r="R903" s="33">
        <f>+R557/[19]Result!$L$38</f>
        <v>5.0165811784058168E-4</v>
      </c>
      <c r="S903" s="34">
        <f>+S557/[20]Result!$L$38</f>
        <v>-1.733342889495539E-3</v>
      </c>
    </row>
    <row r="904" spans="1:19" hidden="1" outlineLevel="2" x14ac:dyDescent="0.25">
      <c r="A904" s="16" t="s">
        <v>41</v>
      </c>
      <c r="B904" s="25">
        <f>+B558/[21]Result!$L$39</f>
        <v>7.8762826238856845E-3</v>
      </c>
      <c r="C904" s="25">
        <f>+C558/[1]Result!$L$39</f>
        <v>-1.0518026198637623E-2</v>
      </c>
      <c r="D904" s="33">
        <f>+D558/[5]Result!$L$39</f>
        <v>3.7946653251132029E-2</v>
      </c>
      <c r="E904" s="25">
        <f>+E558/[6]Result!$L$39</f>
        <v>-7.4581667480812259E-3</v>
      </c>
      <c r="F904" s="25">
        <f>+F558/[7]Result!$L$39</f>
        <v>9.1065468847888794E-3</v>
      </c>
      <c r="G904" s="33">
        <f>+G558/[8]Result!$L$39</f>
        <v>5.2919702007589768E-2</v>
      </c>
      <c r="H904" s="25">
        <f>+H558/[9]Result!$L$39</f>
        <v>3.6563531248993285E-3</v>
      </c>
      <c r="I904" s="25">
        <f>+I558/[10]Result!$L$39</f>
        <v>2.7817657101514132E-3</v>
      </c>
      <c r="J904" s="33">
        <f>+J558/[11]Result!$L$39</f>
        <v>1.9902503048175601E-2</v>
      </c>
      <c r="K904" s="25">
        <f>+K558/[12]Result!$L$39</f>
        <v>-3.4608138901637725E-4</v>
      </c>
      <c r="L904" s="25">
        <f>+L558/[13]Result!$L$39</f>
        <v>4.5434475090998846E-3</v>
      </c>
      <c r="M904" s="25">
        <f>+M558/[14]Result!$L$39</f>
        <v>-0.68781217248100068</v>
      </c>
      <c r="N904" s="33">
        <f>+N558/[15]Result!$L$39</f>
        <v>-9.3920335800139665E-4</v>
      </c>
      <c r="O904" s="25">
        <f>+O558/[16]Result!$L$39</f>
        <v>-3.6680322561630607E-3</v>
      </c>
      <c r="P904" s="25">
        <f>+P558/[17]Result!$L$39</f>
        <v>0.53006914068357691</v>
      </c>
      <c r="Q904" s="33">
        <f>+Q558/[18]Result!$L$39</f>
        <v>4.180187727928888E-4</v>
      </c>
      <c r="R904" s="33">
        <f>+R558/[19]Result!$L$39</f>
        <v>-3.2378608374020743E-4</v>
      </c>
      <c r="S904" s="34">
        <f>+S558/[20]Result!$L$39</f>
        <v>-9.910998790313237E-4</v>
      </c>
    </row>
    <row r="905" spans="1:19" hidden="1" outlineLevel="2" x14ac:dyDescent="0.25">
      <c r="A905" s="16" t="s">
        <v>42</v>
      </c>
      <c r="B905" s="25">
        <f>+B559/[21]Result!$L$40</f>
        <v>6.842494423606231E-3</v>
      </c>
      <c r="C905" s="25">
        <f>+C559/[1]Result!$L$40</f>
        <v>-9.2568414445505787E-3</v>
      </c>
      <c r="D905" s="33">
        <f>+D559/[5]Result!$L$40</f>
        <v>4.2235579125224437E-2</v>
      </c>
      <c r="E905" s="25">
        <f>+E559/[6]Result!$L$40</f>
        <v>-6.3274026355447854E-3</v>
      </c>
      <c r="F905" s="25">
        <f>+F559/[7]Result!$L$40</f>
        <v>7.5976917562738085E-3</v>
      </c>
      <c r="G905" s="33">
        <f>+G559/[8]Result!$L$40</f>
        <v>6.5671521520426906E-2</v>
      </c>
      <c r="H905" s="25">
        <f>+H559/[9]Result!$L$40</f>
        <v>2.1095452620327523E-3</v>
      </c>
      <c r="I905" s="25">
        <f>+I559/[10]Result!$L$40</f>
        <v>2.0811966086770584E-3</v>
      </c>
      <c r="J905" s="33">
        <f>+J559/[11]Result!$L$40</f>
        <v>5.0958102358007552E-2</v>
      </c>
      <c r="K905" s="25">
        <f>+K559/[12]Result!$L$40</f>
        <v>-5.3587744626369563E-4</v>
      </c>
      <c r="L905" s="25">
        <f>+L559/[13]Result!$L$40</f>
        <v>3.1765119953537824E-3</v>
      </c>
      <c r="M905" s="25">
        <f>+M559/[14]Result!$L$40</f>
        <v>-0.80788545679265056</v>
      </c>
      <c r="N905" s="33">
        <f>+N559/[15]Result!$L$40</f>
        <v>-1.6696584160386661E-4</v>
      </c>
      <c r="O905" s="25">
        <f>+O559/[16]Result!$L$40</f>
        <v>-2.0409412313339456E-3</v>
      </c>
      <c r="P905" s="25">
        <f>+P559/[17]Result!$L$40</f>
        <v>1.0528587983128459</v>
      </c>
      <c r="Q905" s="33">
        <f>+Q559/[18]Result!$L$40</f>
        <v>4.2707851676061911E-4</v>
      </c>
      <c r="R905" s="33">
        <f>+R559/[19]Result!$L$40</f>
        <v>-3.1651883665154298E-4</v>
      </c>
      <c r="S905" s="34">
        <f>+S559/[20]Result!$L$40</f>
        <v>-1.1089783806757817E-3</v>
      </c>
    </row>
    <row r="906" spans="1:19" hidden="1" outlineLevel="2" x14ac:dyDescent="0.25">
      <c r="A906" s="16" t="s">
        <v>43</v>
      </c>
      <c r="B906" s="25">
        <f>+B560/[21]Result!$L$41</f>
        <v>5.8515054230837684E-3</v>
      </c>
      <c r="C906" s="25">
        <f>+C560/[1]Result!$L$41</f>
        <v>-8.227941822726334E-3</v>
      </c>
      <c r="D906" s="33">
        <f>+D560/[5]Result!$L$41</f>
        <v>5.6125703321331086E-2</v>
      </c>
      <c r="E906" s="25">
        <f>+E560/[6]Result!$L$41</f>
        <v>-5.0733226677733773E-3</v>
      </c>
      <c r="F906" s="25">
        <f>+F560/[7]Result!$L$41</f>
        <v>5.9632028807703819E-3</v>
      </c>
      <c r="G906" s="33">
        <f>+G560/[8]Result!$L$41</f>
        <v>7.5368299686966608E-2</v>
      </c>
      <c r="H906" s="25">
        <f>+H560/[9]Result!$L$41</f>
        <v>1.4950779145987566E-3</v>
      </c>
      <c r="I906" s="25">
        <f>+I560/[10]Result!$L$41</f>
        <v>1.2237727090596065E-3</v>
      </c>
      <c r="J906" s="33">
        <f>+J560/[11]Result!$L$41</f>
        <v>8.5409197098529427E-2</v>
      </c>
      <c r="K906" s="25">
        <f>+K560/[12]Result!$L$41</f>
        <v>-5.460971510362916E-4</v>
      </c>
      <c r="L906" s="25">
        <f>+L560/[13]Result!$L$41</f>
        <v>1.6679728987032329E-3</v>
      </c>
      <c r="M906" s="25">
        <f>+M560/[14]Result!$L$41</f>
        <v>-0.92354287851000827</v>
      </c>
      <c r="N906" s="33">
        <f>+N560/[15]Result!$L$41</f>
        <v>5.9756907464663929E-4</v>
      </c>
      <c r="O906" s="25">
        <f>+O560/[16]Result!$L$41</f>
        <v>-4.5055964684228634E-4</v>
      </c>
      <c r="P906" s="25">
        <f>+P560/[17]Result!$L$41</f>
        <v>3.1082220883707126</v>
      </c>
      <c r="Q906" s="33">
        <f>+Q560/[18]Result!$L$41</f>
        <v>-4.7938100647856153E-5</v>
      </c>
      <c r="R906" s="33">
        <f>+R560/[19]Result!$L$41</f>
        <v>1.8058774584016874E-4</v>
      </c>
      <c r="S906" s="34">
        <f>+S560/[20]Result!$L$41</f>
        <v>-3.7886031113137253E-4</v>
      </c>
    </row>
    <row r="907" spans="1:19" hidden="1" outlineLevel="2" x14ac:dyDescent="0.25">
      <c r="A907" s="16" t="s">
        <v>44</v>
      </c>
      <c r="B907" s="25">
        <f>+B561/[21]Result!$L$42</f>
        <v>4.9177086118416683E-3</v>
      </c>
      <c r="C907" s="25">
        <f>+C561/[1]Result!$L$42</f>
        <v>-6.4235008153578702E-3</v>
      </c>
      <c r="D907" s="33">
        <f>+D561/[5]Result!$L$42</f>
        <v>8.1446622337613281E-2</v>
      </c>
      <c r="E907" s="25">
        <f>+E561/[6]Result!$L$42</f>
        <v>-4.4759057942642105E-3</v>
      </c>
      <c r="F907" s="25">
        <f>+F561/[7]Result!$L$42</f>
        <v>5.1720902293584826E-3</v>
      </c>
      <c r="G907" s="33">
        <f>+G561/[8]Result!$L$42</f>
        <v>9.1375384014241307E-2</v>
      </c>
      <c r="H907" s="25">
        <f>+H561/[9]Result!$L$42</f>
        <v>8.9596513625254026E-4</v>
      </c>
      <c r="I907" s="25">
        <f>+I561/[10]Result!$L$42</f>
        <v>1.0945606521889904E-3</v>
      </c>
      <c r="J907" s="33">
        <f>+J561/[11]Result!$L$42</f>
        <v>0.11632928058794396</v>
      </c>
      <c r="K907" s="25">
        <f>+K561/[12]Result!$L$42</f>
        <v>-5.6484590127485967E-4</v>
      </c>
      <c r="L907" s="25">
        <f>+L561/[13]Result!$L$42</f>
        <v>1.9786566252326152E-4</v>
      </c>
      <c r="M907" s="25">
        <f>+M561/[14]Result!$L$42</f>
        <v>-0.97728610052657749</v>
      </c>
      <c r="N907" s="33">
        <f>+N561/[15]Result!$L$42</f>
        <v>1.5404817097620549E-3</v>
      </c>
      <c r="O907" s="25">
        <f>+O561/[16]Result!$L$42</f>
        <v>9.2847180466803538E-4</v>
      </c>
      <c r="P907" s="25">
        <f>+P561/[17]Result!$L$42</f>
        <v>12.573335780301798</v>
      </c>
      <c r="Q907" s="33">
        <f>+Q561/[18]Result!$L$42</f>
        <v>-7.0414180203845283E-4</v>
      </c>
      <c r="R907" s="33">
        <f>+R561/[19]Result!$L$42</f>
        <v>0</v>
      </c>
      <c r="S907" s="34">
        <f>+S561/[20]Result!$L$42</f>
        <v>5.1069380475678345E-4</v>
      </c>
    </row>
    <row r="908" spans="1:19" hidden="1" outlineLevel="2" x14ac:dyDescent="0.25">
      <c r="A908" s="16" t="s">
        <v>45</v>
      </c>
      <c r="B908" s="25">
        <f>+B562/[21]Result!$L$43</f>
        <v>4.8283261858580572E-3</v>
      </c>
      <c r="C908" s="25">
        <f>+C562/[1]Result!$L$43</f>
        <v>-5.4659373046755553E-3</v>
      </c>
      <c r="D908" s="33">
        <f>+D562/[5]Result!$L$43</f>
        <v>8.5118336012179469E-2</v>
      </c>
      <c r="E908" s="25">
        <f>+E562/[6]Result!$L$43</f>
        <v>-3.729450063833707E-3</v>
      </c>
      <c r="F908" s="25">
        <f>+F562/[7]Result!$L$43</f>
        <v>4.2319639734184388E-3</v>
      </c>
      <c r="G908" s="33">
        <f>+G562/[8]Result!$L$43</f>
        <v>7.194498621573972E-2</v>
      </c>
      <c r="H908" s="25">
        <f>+H562/[9]Result!$L$43</f>
        <v>1.2955857819564506E-4</v>
      </c>
      <c r="I908" s="25">
        <f>+I562/[10]Result!$L$43</f>
        <v>2.6355010180080383E-4</v>
      </c>
      <c r="J908" s="33">
        <f>+J562/[11]Result!$L$43</f>
        <v>3.1243183991879985E-2</v>
      </c>
      <c r="K908" s="25">
        <f>+K562/[12]Result!$L$43</f>
        <v>-4.400870886960256E-5</v>
      </c>
      <c r="L908" s="25">
        <f>+L562/[13]Result!$L$43</f>
        <v>-1.0484994907478964E-3</v>
      </c>
      <c r="M908" s="25">
        <f>+M562/[14]Result!$L$43</f>
        <v>-1.0050369190825219</v>
      </c>
      <c r="N908" s="33">
        <f>+N562/[15]Result!$L$43</f>
        <v>2.2867877759567062E-3</v>
      </c>
      <c r="O908" s="25">
        <f>+O562/[16]Result!$L$43</f>
        <v>2.4608916388646706E-3</v>
      </c>
      <c r="P908" s="25">
        <f>+P562/[17]Result!$L$43</f>
        <v>-49.302120235115694</v>
      </c>
      <c r="Q908" s="33">
        <f>+Q562/[18]Result!$L$43</f>
        <v>-6.6713475498993624E-4</v>
      </c>
      <c r="R908" s="33">
        <f>+R562/[19]Result!$L$43</f>
        <v>0</v>
      </c>
      <c r="S908" s="34">
        <f>+S562/[20]Result!$L$43</f>
        <v>3.2773798115898287E-4</v>
      </c>
    </row>
    <row r="909" spans="1:19" hidden="1" outlineLevel="2" x14ac:dyDescent="0.25">
      <c r="A909" s="16" t="s">
        <v>46</v>
      </c>
      <c r="B909" s="25">
        <f>+B563/[21]Result!$L$44</f>
        <v>3.9477901052268347E-3</v>
      </c>
      <c r="C909" s="25">
        <f>+C563/[1]Result!$L$44</f>
        <v>-4.5698333662012062E-3</v>
      </c>
      <c r="D909" s="33">
        <f>+D563/[5]Result!$L$44</f>
        <v>-1.4179790934305738E-2</v>
      </c>
      <c r="E909" s="25">
        <f>+E563/[6]Result!$L$44</f>
        <v>-2.2327274432173785E-3</v>
      </c>
      <c r="F909" s="25">
        <f>+F563/[7]Result!$L$44</f>
        <v>2.5444363677718184E-3</v>
      </c>
      <c r="G909" s="33">
        <f>+G563/[8]Result!$L$44</f>
        <v>9.248966649221331E-2</v>
      </c>
      <c r="H909" s="25">
        <f>+H563/[9]Result!$L$44</f>
        <v>-4.2627744322215876E-4</v>
      </c>
      <c r="I909" s="25">
        <f>+I563/[10]Result!$L$44</f>
        <v>-5.5522345058371572E-4</v>
      </c>
      <c r="J909" s="33">
        <f>+J563/[11]Result!$L$44</f>
        <v>-6.7362234677896565E-2</v>
      </c>
      <c r="K909" s="25">
        <f>+K563/[12]Result!$L$44</f>
        <v>6.7105413555916093E-4</v>
      </c>
      <c r="L909" s="25">
        <f>+L563/[13]Result!$L$44</f>
        <v>-2.4505254434208056E-3</v>
      </c>
      <c r="M909" s="25">
        <f>+M563/[14]Result!$L$44</f>
        <v>-1.0408609348107798</v>
      </c>
      <c r="N909" s="33">
        <f>+N563/[15]Result!$L$44</f>
        <v>2.83126822677563E-3</v>
      </c>
      <c r="O909" s="25">
        <f>+O563/[16]Result!$L$44</f>
        <v>3.4446472653983829E-3</v>
      </c>
      <c r="P909" s="25">
        <f>+P563/[17]Result!$L$44</f>
        <v>-7.3487147604130056</v>
      </c>
      <c r="Q909" s="33">
        <f>+Q563/[18]Result!$L$44</f>
        <v>7.2710223803560591E-5</v>
      </c>
      <c r="R909" s="33">
        <f>+R563/[19]Result!$L$44</f>
        <v>0</v>
      </c>
      <c r="S909" s="34">
        <f>+S563/[20]Result!$L$44</f>
        <v>8.2305199477660711E-4</v>
      </c>
    </row>
    <row r="910" spans="1:19" hidden="1" outlineLevel="2" x14ac:dyDescent="0.25">
      <c r="A910" s="16" t="s">
        <v>47</v>
      </c>
      <c r="B910" s="25">
        <f>+B564/[21]Result!$L$45</f>
        <v>2.4690013680638799E-3</v>
      </c>
      <c r="C910" s="25">
        <f>+C564/[1]Result!$L$45</f>
        <v>-2.8874100733546743E-3</v>
      </c>
      <c r="D910" s="33">
        <f>+D564/[5]Result!$L$45</f>
        <v>2.2762301880871693E-3</v>
      </c>
      <c r="E910" s="25">
        <f>+E564/[6]Result!$L$45</f>
        <v>-9.6492299051639178E-4</v>
      </c>
      <c r="F910" s="25">
        <f>+F564/[7]Result!$L$45</f>
        <v>1.0914072901576917E-3</v>
      </c>
      <c r="G910" s="33">
        <f>+G564/[8]Result!$L$45</f>
        <v>9.7220404652623105E-2</v>
      </c>
      <c r="H910" s="25">
        <f>+H564/[9]Result!$L$45</f>
        <v>-9.6404292534275915E-4</v>
      </c>
      <c r="I910" s="25">
        <f>+I564/[10]Result!$L$45</f>
        <v>-1.1585454095831183E-3</v>
      </c>
      <c r="J910" s="33">
        <f>+J564/[11]Result!$L$45</f>
        <v>-6.9456345088554278E-2</v>
      </c>
      <c r="K910" s="25">
        <f>+K564/[12]Result!$L$45</f>
        <v>-7.4202543982906875E-5</v>
      </c>
      <c r="L910" s="25">
        <f>+L564/[13]Result!$L$45</f>
        <v>-3.287479820823184E-3</v>
      </c>
      <c r="M910" s="25">
        <f>+M564/[14]Result!$L$45</f>
        <v>4.1525137300960004</v>
      </c>
      <c r="N910" s="33">
        <f>+N564/[15]Result!$L$45</f>
        <v>2.8634963533331831E-3</v>
      </c>
      <c r="O910" s="25">
        <f>+O564/[16]Result!$L$45</f>
        <v>4.8885710751327477E-3</v>
      </c>
      <c r="P910" s="25">
        <f>+P564/[17]Result!$L$45</f>
        <v>0.43395393842975555</v>
      </c>
      <c r="Q910" s="33">
        <f>+Q564/[18]Result!$L$45</f>
        <v>-5.6486024617827507E-4</v>
      </c>
      <c r="R910" s="33">
        <f>+R564/[19]Result!$L$45</f>
        <v>-2.0345733532357773E-4</v>
      </c>
      <c r="S910" s="34">
        <f>+S564/[20]Result!$L$45</f>
        <v>1.6930671354609364E-3</v>
      </c>
    </row>
    <row r="911" spans="1:19" hidden="1" outlineLevel="2" x14ac:dyDescent="0.25">
      <c r="A911" s="16" t="s">
        <v>48</v>
      </c>
      <c r="B911" s="25">
        <f>+B565/[21]Result!$L$46</f>
        <v>1.6407466544217178E-3</v>
      </c>
      <c r="C911" s="25">
        <f>+C565/[1]Result!$L$46</f>
        <v>-1.8487614712920364E-3</v>
      </c>
      <c r="D911" s="33">
        <f>+D565/[5]Result!$L$46</f>
        <v>1.4581823835312639E-2</v>
      </c>
      <c r="E911" s="25">
        <f>+E565/[6]Result!$L$46</f>
        <v>-3.113378155545878E-4</v>
      </c>
      <c r="F911" s="25">
        <f>+F565/[7]Result!$L$46</f>
        <v>-3.2715657016517424E-4</v>
      </c>
      <c r="G911" s="33">
        <f>+G565/[8]Result!$L$46</f>
        <v>9.6624896113395795E-2</v>
      </c>
      <c r="H911" s="25">
        <f>+H565/[9]Result!$L$46</f>
        <v>-9.2801166371618256E-4</v>
      </c>
      <c r="I911" s="25">
        <f>+I565/[10]Result!$L$46</f>
        <v>-1.7447066726917278E-3</v>
      </c>
      <c r="J911" s="33">
        <f>+J565/[11]Result!$L$46</f>
        <v>-5.6829271137289541E-2</v>
      </c>
      <c r="K911" s="25">
        <f>+K565/[12]Result!$L$46</f>
        <v>-8.9663836559798429E-5</v>
      </c>
      <c r="L911" s="25">
        <f>+L565/[13]Result!$L$46</f>
        <v>-3.8849974068165291E-3</v>
      </c>
      <c r="M911" s="25">
        <f>+M565/[14]Result!$L$46</f>
        <v>3.584994158061745</v>
      </c>
      <c r="N911" s="33">
        <f>+N565/[15]Result!$L$46</f>
        <v>3.57380150439822E-3</v>
      </c>
      <c r="O911" s="25">
        <f>+O565/[16]Result!$L$46</f>
        <v>5.6073883475573402E-3</v>
      </c>
      <c r="P911" s="25">
        <f>+P565/[17]Result!$L$46</f>
        <v>0.77866468155906354</v>
      </c>
      <c r="Q911" s="33">
        <f>+Q565/[18]Result!$L$46</f>
        <v>-5.0281380472411944E-4</v>
      </c>
      <c r="R911" s="33">
        <f>+R565/[19]Result!$L$46</f>
        <v>-2.0515828366029915E-4</v>
      </c>
      <c r="S911" s="34">
        <f>+S565/[20]Result!$L$46</f>
        <v>1.6459693207441118E-3</v>
      </c>
    </row>
    <row r="912" spans="1:19" hidden="1" outlineLevel="2" x14ac:dyDescent="0.25">
      <c r="A912" s="16" t="s">
        <v>49</v>
      </c>
      <c r="B912" s="25">
        <f>+B566/[21]Result!$L$47</f>
        <v>1.4769011836830927E-3</v>
      </c>
      <c r="C912" s="25">
        <f>+C566/[1]Result!$L$47</f>
        <v>-1.6922764758956546E-3</v>
      </c>
      <c r="D912" s="33">
        <f>+D566/[5]Result!$L$47</f>
        <v>3.19478727048296E-2</v>
      </c>
      <c r="E912" s="25">
        <f>+E566/[6]Result!$L$47</f>
        <v>-3.0037703093031132E-4</v>
      </c>
      <c r="F912" s="25">
        <f>+F566/[7]Result!$L$47</f>
        <v>-1.1030177077003551E-3</v>
      </c>
      <c r="G912" s="33">
        <f>+G566/[8]Result!$L$47</f>
        <v>8.4597468871101991E-2</v>
      </c>
      <c r="H912" s="25">
        <f>+H566/[9]Result!$L$47</f>
        <v>-1.6229689845888213E-3</v>
      </c>
      <c r="I912" s="25">
        <f>+I566/[10]Result!$L$47</f>
        <v>-1.7685975812386583E-3</v>
      </c>
      <c r="J912" s="33">
        <f>+J566/[11]Result!$L$47</f>
        <v>-4.6148731572920383E-2</v>
      </c>
      <c r="K912" s="25">
        <f>+K566/[12]Result!$L$47</f>
        <v>-1.0320076186220675E-4</v>
      </c>
      <c r="L912" s="25">
        <f>+L566/[13]Result!$L$47</f>
        <v>-5.1614393146345271E-3</v>
      </c>
      <c r="M912" s="25">
        <f>+M566/[14]Result!$L$47</f>
        <v>2.5411951853628048</v>
      </c>
      <c r="N912" s="33">
        <f>+N566/[15]Result!$L$47</f>
        <v>4.4898881996881046E-3</v>
      </c>
      <c r="O912" s="25">
        <f>+O566/[16]Result!$L$47</f>
        <v>6.2820956638593283E-3</v>
      </c>
      <c r="P912" s="25">
        <f>+P566/[17]Result!$L$47</f>
        <v>0.69940636367822373</v>
      </c>
      <c r="Q912" s="33">
        <f>+Q566/[18]Result!$L$47</f>
        <v>7.4006625449872878E-5</v>
      </c>
      <c r="R912" s="33">
        <f>+R566/[19]Result!$L$47</f>
        <v>-2.1299040530713137E-4</v>
      </c>
      <c r="S912" s="34">
        <f>+S566/[20]Result!$L$47</f>
        <v>2.0913576927473233E-3</v>
      </c>
    </row>
    <row r="913" spans="1:20" hidden="1" outlineLevel="2" x14ac:dyDescent="0.25">
      <c r="A913" s="16" t="s">
        <v>50</v>
      </c>
      <c r="B913" s="25">
        <f>+B567/[21]Result!$L$48</f>
        <v>7.2118867433026155E-4</v>
      </c>
      <c r="C913" s="25">
        <f>+C567/[1]Result!$L$48</f>
        <v>-9.5108708701631503E-4</v>
      </c>
      <c r="D913" s="33">
        <f>+D567/[5]Result!$L$48</f>
        <v>1.7306188746251509E-2</v>
      </c>
      <c r="E913" s="25">
        <f>+E567/[6]Result!$L$48</f>
        <v>8.4496512427386478E-4</v>
      </c>
      <c r="F913" s="25">
        <f>+F567/[7]Result!$L$48</f>
        <v>-1.6258605141261735E-3</v>
      </c>
      <c r="G913" s="33">
        <f>+G567/[8]Result!$L$48</f>
        <v>7.3636682214488422E-2</v>
      </c>
      <c r="H913" s="25">
        <f>+H567/[9]Result!$L$48</f>
        <v>-2.3081592365604754E-3</v>
      </c>
      <c r="I913" s="25">
        <f>+I567/[10]Result!$L$48</f>
        <v>-2.5145316018450152E-3</v>
      </c>
      <c r="J913" s="33">
        <f>+J567/[11]Result!$L$48</f>
        <v>-4.5974768612548775E-2</v>
      </c>
      <c r="K913" s="25">
        <f>+K567/[12]Result!$L$48</f>
        <v>-1.1955275009140306E-4</v>
      </c>
      <c r="L913" s="25">
        <f>+L567/[13]Result!$L$48</f>
        <v>-6.6203116951186218E-3</v>
      </c>
      <c r="M913" s="25">
        <f>+M567/[14]Result!$L$48</f>
        <v>1.950955035240302</v>
      </c>
      <c r="N913" s="33">
        <f>+N567/[15]Result!$L$48</f>
        <v>4.4741462538199963E-3</v>
      </c>
      <c r="O913" s="25">
        <f>+O567/[16]Result!$L$48</f>
        <v>7.8521526276764207E-3</v>
      </c>
      <c r="P913" s="25">
        <f>+P567/[17]Result!$L$48</f>
        <v>0.45709917748816403</v>
      </c>
      <c r="Q913" s="33">
        <f>+Q567/[18]Result!$L$48</f>
        <v>-7.7139467135247243E-4</v>
      </c>
      <c r="R913" s="33">
        <f>+R567/[19]Result!$L$48</f>
        <v>-2.1520255491829548E-4</v>
      </c>
      <c r="S913" s="34">
        <f>+S567/[20]Result!$L$48</f>
        <v>2.724868330541507E-3</v>
      </c>
    </row>
    <row r="914" spans="1:20" hidden="1" outlineLevel="2" x14ac:dyDescent="0.25">
      <c r="A914" s="16" t="s">
        <v>51</v>
      </c>
      <c r="B914" s="25">
        <f>+B568/[21]Result!$L$49</f>
        <v>-8.482456694171984E-4</v>
      </c>
      <c r="C914" s="25">
        <f>+C568/[1]Result!$L$49</f>
        <v>5.9186954120340975E-4</v>
      </c>
      <c r="D914" s="33">
        <f>+D568/[5]Result!$L$49</f>
        <v>2.6072727255430701E-2</v>
      </c>
      <c r="E914" s="25">
        <f>+E568/[6]Result!$L$49</f>
        <v>2.1885119124241785E-3</v>
      </c>
      <c r="F914" s="25">
        <f>+F568/[7]Result!$L$49</f>
        <v>-2.1117654723444169E-3</v>
      </c>
      <c r="G914" s="33">
        <f>+G568/[8]Result!$L$49</f>
        <v>7.9913510919857961E-2</v>
      </c>
      <c r="H914" s="25">
        <f>+H568/[9]Result!$L$49</f>
        <v>-2.2215569844599146E-3</v>
      </c>
      <c r="I914" s="25">
        <f>+I568/[10]Result!$L$49</f>
        <v>-3.0413394951216912E-3</v>
      </c>
      <c r="J914" s="33">
        <f>+J568/[11]Result!$L$49</f>
        <v>-4.4187622907753826E-2</v>
      </c>
      <c r="K914" s="25">
        <f>+K568/[12]Result!$L$49</f>
        <v>6.2056787267504923E-4</v>
      </c>
      <c r="L914" s="25">
        <f>+L568/[13]Result!$L$49</f>
        <v>-7.1123585329163751E-3</v>
      </c>
      <c r="M914" s="25">
        <f>+M568/[14]Result!$L$49</f>
        <v>1.7373954055859404</v>
      </c>
      <c r="N914" s="33">
        <f>+N568/[15]Result!$L$49</f>
        <v>4.4429773194826884E-3</v>
      </c>
      <c r="O914" s="25">
        <f>+O568/[16]Result!$L$49</f>
        <v>9.399309408777444E-3</v>
      </c>
      <c r="P914" s="25">
        <f>+P568/[17]Result!$L$49</f>
        <v>0.34141032907864755</v>
      </c>
      <c r="Q914" s="33">
        <f>+Q568/[18]Result!$L$49</f>
        <v>-1.4062847007447251E-3</v>
      </c>
      <c r="R914" s="33">
        <f>+R568/[19]Result!$L$49</f>
        <v>-2.2251838730431194E-4</v>
      </c>
      <c r="S914" s="34">
        <f>+S568/[20]Result!$L$49</f>
        <v>3.5708565056663645E-3</v>
      </c>
    </row>
    <row r="915" spans="1:20" hidden="1" outlineLevel="2" x14ac:dyDescent="0.25">
      <c r="A915" s="16" t="s">
        <v>52</v>
      </c>
      <c r="B915" s="25">
        <f>+B569/[21]Result!$L$50</f>
        <v>-1.7700848789763382E-3</v>
      </c>
      <c r="C915" s="25">
        <f>+C569/[1]Result!$L$50</f>
        <v>1.4768480767369282E-3</v>
      </c>
      <c r="D915" s="33">
        <f>+D569/[5]Result!$L$50</f>
        <v>2.1398757375780241E-2</v>
      </c>
      <c r="E915" s="25">
        <f>+E569/[6]Result!$L$50</f>
        <v>2.9177550332364819E-3</v>
      </c>
      <c r="F915" s="25">
        <f>+F569/[7]Result!$L$50</f>
        <v>-3.5762747369081651E-3</v>
      </c>
      <c r="G915" s="33">
        <f>+G569/[8]Result!$L$50</f>
        <v>8.0611754772621863E-2</v>
      </c>
      <c r="H915" s="25">
        <f>+H569/[9]Result!$L$50</f>
        <v>-2.650818346456548E-3</v>
      </c>
      <c r="I915" s="25">
        <f>+I569/[10]Result!$L$50</f>
        <v>-3.0126689140474619E-3</v>
      </c>
      <c r="J915" s="33">
        <f>+J569/[11]Result!$L$50</f>
        <v>-5.4079738353203441E-2</v>
      </c>
      <c r="K915" s="25">
        <f>+K569/[12]Result!$L$50</f>
        <v>-1.4620943328096347E-4</v>
      </c>
      <c r="L915" s="25">
        <f>+L569/[13]Result!$L$50</f>
        <v>-7.5416861445121797E-3</v>
      </c>
      <c r="M915" s="25">
        <f>+M569/[14]Result!$L$50</f>
        <v>1.5802219055031859</v>
      </c>
      <c r="N915" s="33">
        <f>+N569/[15]Result!$L$50</f>
        <v>5.1067989606739745E-3</v>
      </c>
      <c r="O915" s="25">
        <f>+O569/[16]Result!$L$50</f>
        <v>9.9798079137582707E-3</v>
      </c>
      <c r="P915" s="25">
        <f>+P569/[17]Result!$L$50</f>
        <v>0.33783924628693685</v>
      </c>
      <c r="Q915" s="33">
        <f>+Q569/[18]Result!$L$50</f>
        <v>-1.8147213301067705E-3</v>
      </c>
      <c r="R915" s="33">
        <f>+R569/[19]Result!$L$50</f>
        <v>2.7243735274837721E-4</v>
      </c>
      <c r="S915" s="34">
        <f>+S569/[20]Result!$L$50</f>
        <v>4.1982776091111212E-3</v>
      </c>
    </row>
    <row r="916" spans="1:20" hidden="1" outlineLevel="2" x14ac:dyDescent="0.25">
      <c r="A916" s="16" t="s">
        <v>53</v>
      </c>
      <c r="B916" s="25">
        <f>+B570/[21]Result!$L$51</f>
        <v>-2.4413970043466989E-3</v>
      </c>
      <c r="C916" s="25">
        <f>+C570/[1]Result!$L$51</f>
        <v>2.0985103902306681E-3</v>
      </c>
      <c r="D916" s="33">
        <f>+D570/[5]Result!$L$51</f>
        <v>2.2474367739456984E-2</v>
      </c>
      <c r="E916" s="25">
        <f>+E570/[6]Result!$L$51</f>
        <v>3.630851411745877E-3</v>
      </c>
      <c r="F916" s="25">
        <f>+F570/[7]Result!$L$51</f>
        <v>-5.2519837584931537E-3</v>
      </c>
      <c r="G916" s="33">
        <f>+G570/[8]Result!$L$51</f>
        <v>9.2014426552012238E-2</v>
      </c>
      <c r="H916" s="25">
        <f>+H570/[9]Result!$L$51</f>
        <v>-3.2971373787845336E-3</v>
      </c>
      <c r="I916" s="25">
        <f>+I570/[10]Result!$L$51</f>
        <v>-3.7138542681427454E-3</v>
      </c>
      <c r="J916" s="33">
        <f>+J570/[11]Result!$L$51</f>
        <v>-6.7870682728238554E-2</v>
      </c>
      <c r="K916" s="25">
        <f>+K570/[12]Result!$L$51</f>
        <v>-1.6402452479597889E-4</v>
      </c>
      <c r="L916" s="25">
        <f>+L570/[13]Result!$L$51</f>
        <v>-8.9175464167863868E-3</v>
      </c>
      <c r="M916" s="25">
        <f>+M570/[14]Result!$L$51</f>
        <v>1.1450741067541559</v>
      </c>
      <c r="N916" s="33">
        <f>+N570/[15]Result!$L$51</f>
        <v>5.7688782786292428E-3</v>
      </c>
      <c r="O916" s="25">
        <f>+O570/[16]Result!$L$51</f>
        <v>1.0749728000354243E-2</v>
      </c>
      <c r="P916" s="25">
        <f>+P570/[17]Result!$L$51</f>
        <v>0.45517802040663147</v>
      </c>
      <c r="Q916" s="33">
        <f>+Q570/[18]Result!$L$51</f>
        <v>-1.7200647219824704E-3</v>
      </c>
      <c r="R916" s="33">
        <f>+R570/[19]Result!$L$51</f>
        <v>5.0318579466096503E-4</v>
      </c>
      <c r="S916" s="34">
        <f>+S570/[20]Result!$L$51</f>
        <v>3.8436160108603718E-3</v>
      </c>
    </row>
    <row r="917" spans="1:20" hidden="1" outlineLevel="2" x14ac:dyDescent="0.25">
      <c r="A917" s="16" t="s">
        <v>54</v>
      </c>
      <c r="B917" s="25">
        <f>+B571/[21]Result!$L$52</f>
        <v>-3.0796624069462145E-3</v>
      </c>
      <c r="C917" s="25">
        <f>+C571/[1]Result!$L$52</f>
        <v>3.5424152759400986E-3</v>
      </c>
      <c r="D917" s="33">
        <f>+D571/[5]Result!$L$52</f>
        <v>-1.210628423340644E-2</v>
      </c>
      <c r="E917" s="25">
        <f>+E571/[6]Result!$L$52</f>
        <v>4.5374760418280397E-3</v>
      </c>
      <c r="F917" s="25">
        <f>+F571/[7]Result!$L$52</f>
        <v>-6.0753042278559781E-3</v>
      </c>
      <c r="G917" s="33">
        <f>+G571/[8]Result!$L$52</f>
        <v>0.12473389357711655</v>
      </c>
      <c r="H917" s="25">
        <f>+H571/[9]Result!$L$52</f>
        <v>-3.3804646289939525E-3</v>
      </c>
      <c r="I917" s="25">
        <f>+I571/[10]Result!$L$52</f>
        <v>-4.176233327766757E-3</v>
      </c>
      <c r="J917" s="33">
        <f>+J571/[11]Result!$L$52</f>
        <v>-7.7451746252001255E-2</v>
      </c>
      <c r="K917" s="25">
        <f>+K571/[12]Result!$L$52</f>
        <v>5.9151993305275581E-4</v>
      </c>
      <c r="L917" s="25">
        <f>+L571/[13]Result!$L$52</f>
        <v>-1.0037129178111032E-2</v>
      </c>
      <c r="M917" s="25">
        <f>+M571/[14]Result!$L$52</f>
        <v>0.32514987850818833</v>
      </c>
      <c r="N917" s="33">
        <f>+N571/[15]Result!$L$52</f>
        <v>5.9213563271442848E-3</v>
      </c>
      <c r="O917" s="25">
        <f>+O571/[16]Result!$L$52</f>
        <v>1.2228662778707497E-2</v>
      </c>
      <c r="P917" s="25">
        <f>+P571/[17]Result!$L$52</f>
        <v>0.94926947703046127</v>
      </c>
      <c r="Q917" s="33">
        <f>+Q571/[18]Result!$L$52</f>
        <v>-1.1057275826484299E-3</v>
      </c>
      <c r="R917" s="33">
        <f>+R571/[19]Result!$L$52</f>
        <v>-2.3680921615410049E-4</v>
      </c>
      <c r="S917" s="34">
        <f>+S571/[20]Result!$L$52</f>
        <v>3.923413635985324E-3</v>
      </c>
    </row>
    <row r="918" spans="1:20" hidden="1" outlineLevel="2" x14ac:dyDescent="0.25">
      <c r="A918" s="16" t="s">
        <v>55</v>
      </c>
      <c r="B918" s="25">
        <f>+B572/[21]Result!$L$53</f>
        <v>-3.0872276806263089E-3</v>
      </c>
      <c r="C918" s="25">
        <f>+C572/[1]Result!$L$53</f>
        <v>4.3500406481477251E-3</v>
      </c>
      <c r="D918" s="33">
        <f>+D572/[5]Result!$L$53</f>
        <v>-3.9859405210690216E-2</v>
      </c>
      <c r="E918" s="25">
        <f>+E572/[6]Result!$L$53</f>
        <v>5.1927577142467244E-3</v>
      </c>
      <c r="F918" s="25">
        <f>+F572/[7]Result!$L$53</f>
        <v>-6.6415005462059718E-3</v>
      </c>
      <c r="G918" s="33">
        <f>+G572/[8]Result!$L$53</f>
        <v>7.1258802529635581E-2</v>
      </c>
      <c r="H918" s="25">
        <f>+H572/[9]Result!$L$53</f>
        <v>-3.2144085773507633E-3</v>
      </c>
      <c r="I918" s="25">
        <f>+I572/[10]Result!$L$53</f>
        <v>-5.09457125352244E-3</v>
      </c>
      <c r="J918" s="33">
        <f>+J572/[11]Result!$L$53</f>
        <v>-9.6004909217923012E-2</v>
      </c>
      <c r="K918" s="25">
        <f>+K572/[12]Result!$L$53</f>
        <v>-1.8926820908571885E-4</v>
      </c>
      <c r="L918" s="25">
        <f>+L572/[13]Result!$L$53</f>
        <v>-1.0605371123291685E-2</v>
      </c>
      <c r="M918" s="25">
        <f>+M572/[14]Result!$L$53</f>
        <v>-0.8825834885788415</v>
      </c>
      <c r="N918" s="33">
        <f>+N572/[15]Result!$L$53</f>
        <v>6.3060715932543266E-3</v>
      </c>
      <c r="O918" s="25">
        <f>+O572/[16]Result!$L$53</f>
        <v>1.3689777786732844E-2</v>
      </c>
      <c r="P918" s="25">
        <f>+P572/[17]Result!$L$53</f>
        <v>12.311975841544752</v>
      </c>
      <c r="Q918" s="33">
        <f>+Q572/[18]Result!$L$53</f>
        <v>-1.7249444265943338E-3</v>
      </c>
      <c r="R918" s="33">
        <f>+R572/[19]Result!$L$53</f>
        <v>-4.8146802960631423E-4</v>
      </c>
      <c r="S918" s="34">
        <f>+S572/[20]Result!$L$53</f>
        <v>4.5006722490125075E-3</v>
      </c>
    </row>
    <row r="919" spans="1:20" hidden="1" outlineLevel="2" x14ac:dyDescent="0.25">
      <c r="A919" s="16" t="s">
        <v>56</v>
      </c>
      <c r="B919" s="25">
        <f>+B573/[21]Result!$L$54</f>
        <v>-3.075270430426812E-3</v>
      </c>
      <c r="C919" s="25">
        <f>+C573/[1]Result!$L$54</f>
        <v>4.2590326110733788E-3</v>
      </c>
      <c r="D919" s="33">
        <f>+D573/[5]Result!$L$54</f>
        <v>-0.10501021221770922</v>
      </c>
      <c r="E919" s="25">
        <f>+E573/[6]Result!$L$54</f>
        <v>4.7336468288777488E-3</v>
      </c>
      <c r="F919" s="25">
        <f>+F573/[7]Result!$L$54</f>
        <v>-6.3395954594629121E-3</v>
      </c>
      <c r="G919" s="33">
        <f>+G573/[8]Result!$L$54</f>
        <v>0.12875208748158973</v>
      </c>
      <c r="H919" s="25">
        <f>+H573/[9]Result!$L$54</f>
        <v>-3.8185829514293533E-3</v>
      </c>
      <c r="I919" s="25">
        <f>+I573/[10]Result!$L$54</f>
        <v>-5.7687019329538142E-3</v>
      </c>
      <c r="J919" s="33">
        <f>+J573/[11]Result!$L$54</f>
        <v>-0.10359800250395163</v>
      </c>
      <c r="K919" s="25">
        <f>+K573/[12]Result!$L$54</f>
        <v>-9.8335311240197181E-4</v>
      </c>
      <c r="L919" s="25">
        <f>+L573/[13]Result!$L$54</f>
        <v>-1.0634098603461047E-2</v>
      </c>
      <c r="M919" s="25">
        <f>+M573/[14]Result!$L$54</f>
        <v>-1.0009348756053236</v>
      </c>
      <c r="N919" s="33">
        <f>+N573/[15]Result!$L$54</f>
        <v>6.6781987276504423E-3</v>
      </c>
      <c r="O919" s="25">
        <f>+O573/[16]Result!$L$54</f>
        <v>1.4360532392674128E-2</v>
      </c>
      <c r="P919" s="25">
        <f>+P573/[17]Result!$L$54</f>
        <v>-2.4741700279396926E-3</v>
      </c>
      <c r="Q919" s="33">
        <f>+Q573/[18]Result!$L$54</f>
        <v>-2.3506653693781106E-3</v>
      </c>
      <c r="R919" s="33">
        <f>+R573/[19]Result!$L$54</f>
        <v>2.5458825210632744E-4</v>
      </c>
      <c r="S919" s="34">
        <f>+S573/[20]Result!$L$54</f>
        <v>5.0854645561636174E-3</v>
      </c>
    </row>
    <row r="920" spans="1:20" collapsed="1" x14ac:dyDescent="0.25">
      <c r="A920" s="12" t="s">
        <v>92</v>
      </c>
      <c r="B920" s="25">
        <f>+B574/SUM([21]Result!$G$5:$G$54)</f>
        <v>-2.2398655479553098E-3</v>
      </c>
      <c r="C920" s="25">
        <f>+C574/SUM([1]Result!$G$5:$G$54)</f>
        <v>4.3041299421305232E-3</v>
      </c>
      <c r="D920" s="33">
        <f>+D574/SUM([5]Result!$G$5:$G$54)</f>
        <v>3.0595823112856982E-2</v>
      </c>
      <c r="E920" s="25">
        <f>+E574/SUM([6]Result!$G$5:$G$54)</f>
        <v>9.6194203173825404E-3</v>
      </c>
      <c r="F920" s="25">
        <f>+F574/SUM([7]Result!$G$5:$G$54)</f>
        <v>-2.3218274944265091E-3</v>
      </c>
      <c r="G920" s="33">
        <f>+G574/SUM([8]Result!$G$5:$G$54)</f>
        <v>-3.3832624066766244E-2</v>
      </c>
      <c r="H920" s="25">
        <f>+H574/SUM([9]Result!$G$5:$G$54)</f>
        <v>-3.1694256159126568E-3</v>
      </c>
      <c r="I920" s="25">
        <f>+I574/SUM([10]Result!$G$5:$G$54)</f>
        <v>8.4974319877440018E-4</v>
      </c>
      <c r="J920" s="33">
        <f>+J574/SUM([11]Result!$G$5:$G$54)</f>
        <v>4.5067593606233712E-4</v>
      </c>
      <c r="K920" s="25">
        <f>+K574/SUM([12]Result!$G$5:$G$54)</f>
        <v>1.166935982591992E-3</v>
      </c>
      <c r="L920" s="25">
        <f>+L574/SUM([13]Result!$G$5:$G$54)</f>
        <v>-2.8178216499150023E-3</v>
      </c>
      <c r="M920" s="33">
        <f>+M574/SUM([14]Result!$G$5:$G$54)</f>
        <v>-0.10180705715195376</v>
      </c>
      <c r="N920" s="25">
        <f>+N574/SUM([15]Result!$G$5:$G$54)</f>
        <v>1.6312594980542241E-3</v>
      </c>
      <c r="O920" s="25">
        <f>+O574/SUM([16]Result!$G$5:$G$54)</f>
        <v>4.5913594531770095E-3</v>
      </c>
      <c r="P920" s="33">
        <f>+P574/SUM([17]Result!$G$5:$G$54)</f>
        <v>0.10407535269391212</v>
      </c>
      <c r="Q920" s="25">
        <f>+Q574/SUM([18]Result!$G$5:$G$54)</f>
        <v>-8.8757375108693257E-4</v>
      </c>
      <c r="R920" s="25">
        <f>+R574/SUM([19]Result!$G$5:$G$54)</f>
        <v>3.3812914434249901E-3</v>
      </c>
      <c r="S920" s="34">
        <f>+S574/SUM([20]Result!$G$5:$G$54)</f>
        <v>1.1321469885845407E-3</v>
      </c>
      <c r="T920" s="13"/>
    </row>
    <row r="921" spans="1:20" hidden="1" outlineLevel="1" x14ac:dyDescent="0.25">
      <c r="A921" s="15" t="s">
        <v>2</v>
      </c>
      <c r="B921" s="25">
        <f>+B575/'[21]Stat by Mat'!$J$3</f>
        <v>-1.4832850505729514E-3</v>
      </c>
      <c r="C921" s="25">
        <f>+C575/'[1]Stat by Mat'!$J$3</f>
        <v>3.1051172328543527E-3</v>
      </c>
      <c r="D921" s="33">
        <f>+D575/'[5]Stat by Mat'!$J$3</f>
        <v>4.9094400661680741E-2</v>
      </c>
      <c r="E921" s="25">
        <f>+E575/'[6]Stat by Mat'!$J$3</f>
        <v>6.7364213988711473E-3</v>
      </c>
      <c r="F921" s="25">
        <f>+F575/'[7]Stat by Mat'!$J$3</f>
        <v>-1.1100932749172009E-3</v>
      </c>
      <c r="G921" s="33">
        <f>+G575/'[8]Stat by Mat'!$J$3</f>
        <v>-3.8008366952277883E-2</v>
      </c>
      <c r="H921" s="25">
        <f>+H575/'[9]Stat by Mat'!$J$3</f>
        <v>-2.1361000865733519E-3</v>
      </c>
      <c r="I921" s="25">
        <f>+I575/'[10]Stat by Mat'!$J$3</f>
        <v>8.8052116865058362E-4</v>
      </c>
      <c r="J921" s="33">
        <f>+J575/'[11]Stat by Mat'!$J$3</f>
        <v>-3.3079742050542765E-4</v>
      </c>
      <c r="K921" s="25">
        <f>+K575/'[12]Stat by Mat'!$J$3</f>
        <v>6.5884180636848811E-4</v>
      </c>
      <c r="L921" s="25">
        <f>+L575/'[13]Stat by Mat'!$J$3</f>
        <v>-1.0240541785747446E-3</v>
      </c>
      <c r="M921" s="25">
        <f>+M575/'[14]Stat by Mat'!$J$3</f>
        <v>-8.0729719570231298E-2</v>
      </c>
      <c r="N921" s="33">
        <f>+N575/'[15]Stat by Mat'!$J$3</f>
        <v>8.3913861611571066E-4</v>
      </c>
      <c r="O921" s="25">
        <f>+O575/'[16]Stat by Mat'!$J$3</f>
        <v>2.0962838643553013E-3</v>
      </c>
      <c r="P921" s="25">
        <f>+P575/'[17]Stat by Mat'!$J$3</f>
        <v>0.11628840102786366</v>
      </c>
      <c r="Q921" s="33">
        <f>+Q575/'[18]Stat by Mat'!$J$3</f>
        <v>-8.2794184605523803E-4</v>
      </c>
      <c r="R921" s="33">
        <f>+R575/'[19]Stat by Mat'!$J$3</f>
        <v>2.5205112395842093E-3</v>
      </c>
      <c r="S921" s="34">
        <f>+S575/'[20]Stat by Mat'!$J$3</f>
        <v>3.5607357798680153E-4</v>
      </c>
    </row>
    <row r="922" spans="1:20" ht="15" hidden="1" customHeight="1" outlineLevel="2" x14ac:dyDescent="0.25">
      <c r="A922" s="16" t="s">
        <v>3</v>
      </c>
      <c r="B922" s="25">
        <f>+B576/[21]Result!$G$5</f>
        <v>-4.58097831538929E-4</v>
      </c>
      <c r="C922" s="25">
        <f>+C576/[1]Result!$G$5</f>
        <v>1.2398743714461689E-3</v>
      </c>
      <c r="D922" s="33">
        <f>+D576/[5]Result!$G$5</f>
        <v>2.4318451118660205E-3</v>
      </c>
      <c r="E922" s="25">
        <f>+E576/[6]Result!$G$5</f>
        <v>2.3086423259096852E-3</v>
      </c>
      <c r="F922" s="25">
        <f>+F576/[7]Result!$G$5</f>
        <v>-1.3356437375016734E-4</v>
      </c>
      <c r="G922" s="33">
        <f>+G576/[8]Result!$G$5</f>
        <v>-9.1421276648842101E-2</v>
      </c>
      <c r="H922" s="25">
        <f>+H576/[9]Result!$G$5</f>
        <v>-5.5227766812010535E-4</v>
      </c>
      <c r="I922" s="25">
        <f>+I576/[10]Result!$G$5</f>
        <v>7.138483779327141E-5</v>
      </c>
      <c r="J922" s="33">
        <f>+J576/[11]Result!$G$5</f>
        <v>-5.3814940014785359E-2</v>
      </c>
      <c r="K922" s="25">
        <f>+K576/[12]Result!$G$5</f>
        <v>-4.2764775682573429E-5</v>
      </c>
      <c r="L922" s="25">
        <f>+L576/[13]Result!$G$5</f>
        <v>-9.5010262149647611E-5</v>
      </c>
      <c r="M922" s="25">
        <f>+M576/[14]Result!$G$5</f>
        <v>-6.2158517362733159E-2</v>
      </c>
      <c r="N922" s="33">
        <f>+N576/[15]Result!$G$5</f>
        <v>2.373026900970135E-5</v>
      </c>
      <c r="O922" s="25">
        <f>+O576/[16]Result!$G$5</f>
        <v>2.3267247812556202E-4</v>
      </c>
      <c r="P922" s="25">
        <f>+P576/[17]Result!$G$5</f>
        <v>0.16577933459821884</v>
      </c>
      <c r="Q922" s="33">
        <f>+Q576/[18]Result!$G$5</f>
        <v>-5.801280271742177E-4</v>
      </c>
      <c r="R922" s="33">
        <f>+R576/[19]Result!$G$5</f>
        <v>6.6952876548651908E-4</v>
      </c>
      <c r="S922" s="34">
        <f>+S576/[20]Result!$G$5</f>
        <v>3.2799261893019683E-5</v>
      </c>
    </row>
    <row r="923" spans="1:20" hidden="1" outlineLevel="2" x14ac:dyDescent="0.25">
      <c r="A923" s="16" t="s">
        <v>4</v>
      </c>
      <c r="B923" s="25">
        <f>+B577/[21]Result!$G$6</f>
        <v>-1.6028462919979649E-3</v>
      </c>
      <c r="C923" s="25">
        <f>+C577/[1]Result!$G$6</f>
        <v>3.339931350358206E-3</v>
      </c>
      <c r="D923" s="33">
        <f>+D577/[5]Result!$G$6</f>
        <v>0.18151522030929843</v>
      </c>
      <c r="E923" s="25">
        <f>+E577/[6]Result!$G$6</f>
        <v>7.3641487578757509E-3</v>
      </c>
      <c r="F923" s="25">
        <f>+F577/[7]Result!$G$6</f>
        <v>-1.0260781492298083E-3</v>
      </c>
      <c r="G923" s="33">
        <f>+G577/[8]Result!$G$6</f>
        <v>2.2187310612185818E-2</v>
      </c>
      <c r="H923" s="25">
        <f>+H577/[9]Result!$G$6</f>
        <v>-2.15819270009055E-3</v>
      </c>
      <c r="I923" s="25">
        <f>+I577/[10]Result!$G$6</f>
        <v>7.1138539754183553E-4</v>
      </c>
      <c r="J923" s="33">
        <f>+J577/[11]Result!$G$6</f>
        <v>3.4241684711543562E-2</v>
      </c>
      <c r="K923" s="25">
        <f>+K577/[12]Result!$G$6</f>
        <v>4.5922431457252546E-4</v>
      </c>
      <c r="L923" s="25">
        <f>+L577/[13]Result!$G$6</f>
        <v>-7.9124904868446266E-4</v>
      </c>
      <c r="M923" s="25">
        <f>+M577/[14]Result!$G$6</f>
        <v>-8.6107346039700189E-2</v>
      </c>
      <c r="N923" s="33">
        <f>+N577/[15]Result!$G$6</f>
        <v>5.8347442084953193E-4</v>
      </c>
      <c r="O923" s="25">
        <f>+O577/[16]Result!$G$6</f>
        <v>1.4751551346743727E-3</v>
      </c>
      <c r="P923" s="25">
        <f>+P577/[17]Result!$G$6</f>
        <v>0.11103099979703089</v>
      </c>
      <c r="Q923" s="33">
        <f>+Q577/[18]Result!$G$6</f>
        <v>-1.4555463851672668E-3</v>
      </c>
      <c r="R923" s="33">
        <f>+R577/[19]Result!$G$6</f>
        <v>2.7034180146158372E-3</v>
      </c>
      <c r="S923" s="34">
        <f>+S577/[20]Result!$G$6</f>
        <v>3.3396371076045906E-4</v>
      </c>
    </row>
    <row r="924" spans="1:20" hidden="1" outlineLevel="2" x14ac:dyDescent="0.25">
      <c r="A924" s="16" t="s">
        <v>5</v>
      </c>
      <c r="B924" s="25">
        <f>+B578/[21]Result!$G$7</f>
        <v>-3.0303982044036699E-3</v>
      </c>
      <c r="C924" s="25">
        <f>+C578/[1]Result!$G$7</f>
        <v>5.5591838007132566E-3</v>
      </c>
      <c r="D924" s="33">
        <f>+D578/[5]Result!$G$7</f>
        <v>4.9185881990486801E-3</v>
      </c>
      <c r="E924" s="25">
        <f>+E578/[6]Result!$G$7</f>
        <v>1.2247598536777021E-2</v>
      </c>
      <c r="F924" s="25">
        <f>+F578/[7]Result!$G$7</f>
        <v>-2.3887117635351179E-3</v>
      </c>
      <c r="G924" s="33">
        <f>+G578/[8]Result!$G$7</f>
        <v>-7.3742784145626036E-3</v>
      </c>
      <c r="H924" s="25">
        <f>+H578/[9]Result!$G$7</f>
        <v>-4.1318624948663207E-3</v>
      </c>
      <c r="I924" s="25">
        <f>+I578/[10]Result!$G$7</f>
        <v>2.0302273510594041E-3</v>
      </c>
      <c r="J924" s="33">
        <f>+J578/[11]Result!$G$7</f>
        <v>7.6161388384289166E-2</v>
      </c>
      <c r="K924" s="25">
        <f>+K578/[12]Result!$G$7</f>
        <v>1.4766596248238513E-3</v>
      </c>
      <c r="L924" s="25">
        <f>+L578/[13]Result!$G$7</f>
        <v>-1.9265712003553451E-3</v>
      </c>
      <c r="M924" s="25">
        <f>+M578/[14]Result!$G$7</f>
        <v>-7.8837128783813465E-2</v>
      </c>
      <c r="N924" s="33">
        <f>+N578/[15]Result!$G$7</f>
        <v>1.9018421013552883E-3</v>
      </c>
      <c r="O924" s="25">
        <f>+O578/[16]Result!$G$7</f>
        <v>4.0179026806792684E-3</v>
      </c>
      <c r="P924" s="25">
        <f>+P578/[17]Result!$G$7</f>
        <v>4.3399679659149266E-2</v>
      </c>
      <c r="Q924" s="33">
        <f>+Q578/[18]Result!$G$7</f>
        <v>-9.4358280979435385E-4</v>
      </c>
      <c r="R924" s="33">
        <f>+R578/[19]Result!$G$7</f>
        <v>4.9720166143817097E-3</v>
      </c>
      <c r="S924" s="34">
        <f>+S578/[20]Result!$G$7</f>
        <v>5.8045498693826819E-4</v>
      </c>
    </row>
    <row r="925" spans="1:20" hidden="1" outlineLevel="2" x14ac:dyDescent="0.25">
      <c r="A925" s="16" t="s">
        <v>6</v>
      </c>
      <c r="B925" s="25">
        <f>+B579/[21]Result!$G$8</f>
        <v>-3.8245361785565549E-3</v>
      </c>
      <c r="C925" s="25">
        <f>+C579/[1]Result!$G$8</f>
        <v>7.4091146432718078E-3</v>
      </c>
      <c r="D925" s="33">
        <f>+D579/[5]Result!$G$8</f>
        <v>1.443219397267897E-2</v>
      </c>
      <c r="E925" s="25">
        <f>+E579/[6]Result!$G$8</f>
        <v>1.6507342637050389E-2</v>
      </c>
      <c r="F925" s="25">
        <f>+F579/[7]Result!$G$8</f>
        <v>-3.6339112807576871E-3</v>
      </c>
      <c r="G925" s="33">
        <f>+G579/[8]Result!$G$8</f>
        <v>-2.1810820276382892E-3</v>
      </c>
      <c r="H925" s="25">
        <f>+H579/[9]Result!$G$8</f>
        <v>-5.6088638112213847E-3</v>
      </c>
      <c r="I925" s="25">
        <f>+I579/[10]Result!$G$8</f>
        <v>3.0744153363867145E-3</v>
      </c>
      <c r="J925" s="33">
        <f>+J579/[11]Result!$G$8</f>
        <v>4.0465014277004316E-2</v>
      </c>
      <c r="K925" s="25">
        <f>+K579/[12]Result!$G$8</f>
        <v>2.415276831803015E-3</v>
      </c>
      <c r="L925" s="25">
        <f>+L579/[13]Result!$G$8</f>
        <v>-3.2417463381871356E-3</v>
      </c>
      <c r="M925" s="25">
        <f>+M579/[14]Result!$G$8</f>
        <v>-0.11621396878907973</v>
      </c>
      <c r="N925" s="33">
        <f>+N579/[15]Result!$G$8</f>
        <v>3.0964597761065733E-3</v>
      </c>
      <c r="O925" s="25">
        <f>+O579/[16]Result!$G$8</f>
        <v>7.3707711193319722E-3</v>
      </c>
      <c r="P925" s="25">
        <f>+P579/[17]Result!$G$8</f>
        <v>2.5283686144157057E-2</v>
      </c>
      <c r="Q925" s="33">
        <f>+Q579/[18]Result!$G$8</f>
        <v>1.2929946461026466E-4</v>
      </c>
      <c r="R925" s="33">
        <f>+R579/[19]Result!$G$8</f>
        <v>6.5069194443973955E-3</v>
      </c>
      <c r="S925" s="34">
        <f>+S579/[20]Result!$G$8</f>
        <v>1.0514026909152466E-3</v>
      </c>
    </row>
    <row r="926" spans="1:20" hidden="1" outlineLevel="2" x14ac:dyDescent="0.25">
      <c r="A926" s="16" t="s">
        <v>7</v>
      </c>
      <c r="B926" s="25">
        <f>+B580/[21]Result!$G$9</f>
        <v>-4.1695157073940899E-3</v>
      </c>
      <c r="C926" s="25">
        <f>+C580/[1]Result!$G$9</f>
        <v>8.8442864339701339E-3</v>
      </c>
      <c r="D926" s="33">
        <f>+D580/[5]Result!$G$9</f>
        <v>-1.8834243324528242E-2</v>
      </c>
      <c r="E926" s="25">
        <f>+E580/[6]Result!$G$9</f>
        <v>2.0656837209804157E-2</v>
      </c>
      <c r="F926" s="25">
        <f>+F580/[7]Result!$G$9</f>
        <v>-4.7740822024753748E-3</v>
      </c>
      <c r="G926" s="33">
        <f>+G580/[8]Result!$G$9</f>
        <v>-1.0585857694757664E-3</v>
      </c>
      <c r="H926" s="25">
        <f>+H580/[9]Result!$G$9</f>
        <v>-6.7588485902487019E-3</v>
      </c>
      <c r="I926" s="25">
        <f>+I580/[10]Result!$G$9</f>
        <v>3.5216734385859227E-3</v>
      </c>
      <c r="J926" s="33">
        <f>+J580/[11]Result!$G$9</f>
        <v>1.973517759958009E-2</v>
      </c>
      <c r="K926" s="25">
        <f>+K580/[12]Result!$G$9</f>
        <v>3.3311409174885493E-3</v>
      </c>
      <c r="L926" s="25">
        <f>+L580/[13]Result!$G$9</f>
        <v>-4.9932650194148016E-3</v>
      </c>
      <c r="M926" s="25">
        <f>+M580/[14]Result!$G$9</f>
        <v>-0.1622249955144566</v>
      </c>
      <c r="N926" s="33">
        <f>+N580/[15]Result!$G$9</f>
        <v>4.0164142826701861E-3</v>
      </c>
      <c r="O926" s="25">
        <f>+O580/[16]Result!$G$9</f>
        <v>1.0944363108517267E-2</v>
      </c>
      <c r="P926" s="25">
        <f>+P580/[17]Result!$G$9</f>
        <v>3.3863894998591007E-2</v>
      </c>
      <c r="Q926" s="33">
        <f>+Q580/[18]Result!$G$9</f>
        <v>1.9541902220223038E-4</v>
      </c>
      <c r="R926" s="33">
        <f>+R580/[19]Result!$G$9</f>
        <v>7.8300057483594761E-3</v>
      </c>
      <c r="S926" s="34">
        <f>+S580/[20]Result!$G$9</f>
        <v>2.3126148591588454E-3</v>
      </c>
    </row>
    <row r="927" spans="1:20" hidden="1" outlineLevel="1" x14ac:dyDescent="0.25">
      <c r="A927" s="15" t="s">
        <v>8</v>
      </c>
      <c r="B927" s="25">
        <f>+B581/'[21]Stat by Mat'!$J$4</f>
        <v>-5.0612792647424729E-3</v>
      </c>
      <c r="C927" s="25">
        <f>+C581/'[1]Stat by Mat'!$J$4</f>
        <v>1.0845400628189767E-2</v>
      </c>
      <c r="D927" s="33">
        <f>+D581/'[5]Stat by Mat'!$J$4</f>
        <v>-5.0726507146957818E-2</v>
      </c>
      <c r="E927" s="25">
        <f>+E581/'[6]Stat by Mat'!$J$4</f>
        <v>2.7026181668285253E-2</v>
      </c>
      <c r="F927" s="25">
        <f>+F581/'[7]Stat by Mat'!$J$4</f>
        <v>-7.2545028261275886E-3</v>
      </c>
      <c r="G927" s="33">
        <f>+G581/'[8]Stat by Mat'!$J$4</f>
        <v>-2.7072701397624853E-3</v>
      </c>
      <c r="H927" s="25">
        <f>+H581/'[9]Stat by Mat'!$J$4</f>
        <v>-8.500682562173829E-3</v>
      </c>
      <c r="I927" s="25">
        <f>+I581/'[10]Stat by Mat'!$J$4</f>
        <v>3.2473809912910386E-3</v>
      </c>
      <c r="J927" s="33">
        <f>+J581/'[11]Stat by Mat'!$J$4</f>
        <v>6.842025275274968E-4</v>
      </c>
      <c r="K927" s="25">
        <f>+K581/'[12]Stat by Mat'!$J$4</f>
        <v>4.6126951112934363E-3</v>
      </c>
      <c r="L927" s="25">
        <f>+L581/'[13]Stat by Mat'!$J$4</f>
        <v>-9.8720359114092583E-3</v>
      </c>
      <c r="M927" s="25">
        <f>+M581/'[14]Stat by Mat'!$J$4</f>
        <v>-0.21558088939215056</v>
      </c>
      <c r="N927" s="33">
        <f>+N581/'[15]Stat by Mat'!$J$4</f>
        <v>6.1697247903963002E-3</v>
      </c>
      <c r="O927" s="25">
        <f>+O581/'[16]Stat by Mat'!$J$4</f>
        <v>1.8689007052744757E-2</v>
      </c>
      <c r="P927" s="25">
        <f>+P581/'[17]Stat by Mat'!$J$4</f>
        <v>2.1830461500979576E-2</v>
      </c>
      <c r="Q927" s="33">
        <f>+Q581/'[18]Stat by Mat'!$J$4</f>
        <v>-3.2771540212630482E-4</v>
      </c>
      <c r="R927" s="33">
        <f>+R581/'[19]Stat by Mat'!$J$4</f>
        <v>1.0532292287408576E-2</v>
      </c>
      <c r="S927" s="34">
        <f>+S581/'[20]Stat by Mat'!$J$4</f>
        <v>5.0641890310708371E-3</v>
      </c>
    </row>
    <row r="928" spans="1:20" hidden="1" outlineLevel="2" x14ac:dyDescent="0.25">
      <c r="A928" s="16" t="s">
        <v>9</v>
      </c>
      <c r="B928" s="25">
        <f>+B582/[21]Result!$G$10</f>
        <v>-4.8159837872038787E-3</v>
      </c>
      <c r="C928" s="25">
        <f>+C582/[1]Result!$G$10</f>
        <v>1.0533477901853302E-2</v>
      </c>
      <c r="D928" s="33">
        <f>+D582/[5]Result!$G$10</f>
        <v>-3.3682882963198962E-2</v>
      </c>
      <c r="E928" s="25">
        <f>+E582/[6]Result!$G$10</f>
        <v>2.4130870057691028E-2</v>
      </c>
      <c r="F928" s="25">
        <f>+F582/[7]Result!$G$10</f>
        <v>-5.811058242106322E-3</v>
      </c>
      <c r="G928" s="33">
        <f>+G582/[8]Result!$G$10</f>
        <v>-6.045872092494727E-3</v>
      </c>
      <c r="H928" s="25">
        <f>+H582/[9]Result!$G$10</f>
        <v>-7.6911259948700666E-3</v>
      </c>
      <c r="I928" s="25">
        <f>+I582/[10]Result!$G$10</f>
        <v>3.725647405474672E-3</v>
      </c>
      <c r="J928" s="33">
        <f>+J582/[11]Result!$G$10</f>
        <v>5.0914388323571574E-3</v>
      </c>
      <c r="K928" s="25">
        <f>+K582/[12]Result!$G$10</f>
        <v>4.0882421166340477E-3</v>
      </c>
      <c r="L928" s="25">
        <f>+L582/[13]Result!$G$10</f>
        <v>-7.0327346111518129E-3</v>
      </c>
      <c r="M928" s="25">
        <f>+M582/[14]Result!$G$10</f>
        <v>-0.1780990039819374</v>
      </c>
      <c r="N928" s="33">
        <f>+N582/[15]Result!$G$10</f>
        <v>4.9542451467629867E-3</v>
      </c>
      <c r="O928" s="25">
        <f>+O582/[16]Result!$G$10</f>
        <v>1.4321046736197843E-2</v>
      </c>
      <c r="P928" s="25">
        <f>+P582/[17]Result!$G$10</f>
        <v>2.2171821081718147E-2</v>
      </c>
      <c r="Q928" s="33">
        <f>+Q582/[18]Result!$G$10</f>
        <v>-2.818624317490722E-5</v>
      </c>
      <c r="R928" s="33">
        <f>+R582/[19]Result!$G$10</f>
        <v>9.1689990637278014E-3</v>
      </c>
      <c r="S928" s="34">
        <f>+S582/[20]Result!$G$10</f>
        <v>3.5800085840059681E-3</v>
      </c>
    </row>
    <row r="929" spans="1:19" hidden="1" outlineLevel="2" x14ac:dyDescent="0.25">
      <c r="A929" s="16" t="s">
        <v>10</v>
      </c>
      <c r="B929" s="25">
        <f>+B583/[21]Result!$G$11</f>
        <v>-5.0124938792171217E-3</v>
      </c>
      <c r="C929" s="25">
        <f>+C583/[1]Result!$G$11</f>
        <v>1.1298834343940443E-2</v>
      </c>
      <c r="D929" s="33">
        <f>+D583/[5]Result!$G$11</f>
        <v>-4.0120547497519581E-2</v>
      </c>
      <c r="E929" s="25">
        <f>+E583/[6]Result!$G$11</f>
        <v>2.6519273338898065E-2</v>
      </c>
      <c r="F929" s="25">
        <f>+F583/[7]Result!$G$11</f>
        <v>-6.7587609634072038E-3</v>
      </c>
      <c r="G929" s="33">
        <f>+G583/[8]Result!$G$11</f>
        <v>-2.0653753477505019E-3</v>
      </c>
      <c r="H929" s="25">
        <f>+H583/[9]Result!$G$11</f>
        <v>-8.1843292299011768E-3</v>
      </c>
      <c r="I929" s="25">
        <f>+I583/[10]Result!$G$11</f>
        <v>3.6497364372240831E-3</v>
      </c>
      <c r="J929" s="33">
        <f>+J583/[11]Result!$G$11</f>
        <v>2.3872110972678654E-3</v>
      </c>
      <c r="K929" s="25">
        <f>+K583/[12]Result!$G$11</f>
        <v>4.5079994401084917E-3</v>
      </c>
      <c r="L929" s="25">
        <f>+L583/[13]Result!$G$11</f>
        <v>-8.9589998457893921E-3</v>
      </c>
      <c r="M929" s="25">
        <f>+M583/[14]Result!$G$11</f>
        <v>-0.19534673270365568</v>
      </c>
      <c r="N929" s="33">
        <f>+N583/[15]Result!$G$11</f>
        <v>5.9597707568710611E-3</v>
      </c>
      <c r="O929" s="25">
        <f>+O583/[16]Result!$G$11</f>
        <v>1.7533708041658849E-2</v>
      </c>
      <c r="P929" s="25">
        <f>+P583/[17]Result!$G$11</f>
        <v>2.3805631265392681E-2</v>
      </c>
      <c r="Q929" s="33">
        <f>+Q583/[18]Result!$G$11</f>
        <v>-1.2802749136768196E-4</v>
      </c>
      <c r="R929" s="33">
        <f>+R583/[19]Result!$G$11</f>
        <v>1.0313199891424976E-2</v>
      </c>
      <c r="S929" s="34">
        <f>+S583/[20]Result!$G$11</f>
        <v>4.5371453408344494E-3</v>
      </c>
    </row>
    <row r="930" spans="1:19" hidden="1" outlineLevel="2" x14ac:dyDescent="0.25">
      <c r="A930" s="16" t="s">
        <v>11</v>
      </c>
      <c r="B930" s="25">
        <f>+B584/[21]Result!$G$12</f>
        <v>-5.0943402465824725E-3</v>
      </c>
      <c r="C930" s="25">
        <f>+C584/[1]Result!$G$12</f>
        <v>1.1611665557992314E-2</v>
      </c>
      <c r="D930" s="33">
        <f>+D584/[5]Result!$G$12</f>
        <v>-4.8410155945659242E-2</v>
      </c>
      <c r="E930" s="25">
        <f>+E584/[6]Result!$G$12</f>
        <v>2.8445717932170531E-2</v>
      </c>
      <c r="F930" s="25">
        <f>+F584/[7]Result!$G$12</f>
        <v>-7.7692121025804252E-3</v>
      </c>
      <c r="G930" s="33">
        <f>+G584/[8]Result!$G$12</f>
        <v>1.0663437705398396E-3</v>
      </c>
      <c r="H930" s="25">
        <f>+H584/[9]Result!$G$12</f>
        <v>-8.6654853669930511E-3</v>
      </c>
      <c r="I930" s="25">
        <f>+I584/[10]Result!$G$12</f>
        <v>3.3109057956489277E-3</v>
      </c>
      <c r="J930" s="33">
        <f>+J584/[11]Result!$G$12</f>
        <v>9.9774418782869038E-4</v>
      </c>
      <c r="K930" s="25">
        <f>+K584/[12]Result!$G$12</f>
        <v>4.7762371473794273E-3</v>
      </c>
      <c r="L930" s="25">
        <f>+L584/[13]Result!$G$12</f>
        <v>-1.0757475008335489E-2</v>
      </c>
      <c r="M930" s="25">
        <f>+M584/[14]Result!$G$12</f>
        <v>-0.2136904114085357</v>
      </c>
      <c r="N930" s="33">
        <f>+N584/[15]Result!$G$12</f>
        <v>6.8247891241692317E-3</v>
      </c>
      <c r="O930" s="25">
        <f>+O584/[16]Result!$G$12</f>
        <v>2.0609823200021062E-2</v>
      </c>
      <c r="P930" s="25">
        <f>+P584/[17]Result!$G$12</f>
        <v>2.0763246576140319E-2</v>
      </c>
      <c r="Q930" s="33">
        <f>+Q584/[18]Result!$G$12</f>
        <v>-4.4072025045590783E-4</v>
      </c>
      <c r="R930" s="33">
        <f>+R584/[19]Result!$G$12</f>
        <v>1.1416230115089632E-2</v>
      </c>
      <c r="S930" s="34">
        <f>+S584/[20]Result!$G$12</f>
        <v>5.4914322682561899E-3</v>
      </c>
    </row>
    <row r="931" spans="1:19" hidden="1" outlineLevel="2" x14ac:dyDescent="0.25">
      <c r="A931" s="16" t="s">
        <v>12</v>
      </c>
      <c r="B931" s="25">
        <f>+B585/[21]Result!$G$13</f>
        <v>-5.1450952984222276E-3</v>
      </c>
      <c r="C931" s="25">
        <f>+C585/[1]Result!$G$13</f>
        <v>1.049667321012247E-2</v>
      </c>
      <c r="D931" s="33">
        <f>+D585/[5]Result!$G$13</f>
        <v>-8.7678167621073916E-2</v>
      </c>
      <c r="E931" s="25">
        <f>+E585/[6]Result!$G$13</f>
        <v>3.0061327067348095E-2</v>
      </c>
      <c r="F931" s="25">
        <f>+F585/[7]Result!$G$13</f>
        <v>-8.9153458176306072E-3</v>
      </c>
      <c r="G931" s="33">
        <f>+G585/[8]Result!$G$13</f>
        <v>-7.2397211360022964E-3</v>
      </c>
      <c r="H931" s="25">
        <f>+H585/[9]Result!$G$13</f>
        <v>-9.1208567972432594E-3</v>
      </c>
      <c r="I931" s="25">
        <f>+I585/[10]Result!$G$13</f>
        <v>2.6414212579819194E-3</v>
      </c>
      <c r="J931" s="33">
        <f>+J585/[11]Result!$G$13</f>
        <v>-4.0234955145638041E-3</v>
      </c>
      <c r="K931" s="25">
        <f>+K585/[12]Result!$G$13</f>
        <v>5.1288416649393253E-3</v>
      </c>
      <c r="L931" s="25">
        <f>+L585/[13]Result!$G$13</f>
        <v>-1.2619600927175928E-2</v>
      </c>
      <c r="M931" s="25">
        <f>+M585/[14]Result!$G$13</f>
        <v>-0.22184459159705772</v>
      </c>
      <c r="N931" s="33">
        <f>+N585/[15]Result!$G$13</f>
        <v>7.2845032485187563E-3</v>
      </c>
      <c r="O931" s="25">
        <f>+O585/[16]Result!$G$13</f>
        <v>2.3592669525547953E-2</v>
      </c>
      <c r="P931" s="25">
        <f>+P585/[17]Result!$G$13</f>
        <v>1.9700393419396896E-2</v>
      </c>
      <c r="Q931" s="33">
        <f>+Q585/[18]Result!$G$13</f>
        <v>-5.6351777027961541E-4</v>
      </c>
      <c r="R931" s="33">
        <f>+R585/[19]Result!$G$13</f>
        <v>1.2065541654680179E-2</v>
      </c>
      <c r="S931" s="34">
        <f>+S585/[20]Result!$G$13</f>
        <v>6.9393447892468043E-3</v>
      </c>
    </row>
    <row r="932" spans="1:19" hidden="1" outlineLevel="2" x14ac:dyDescent="0.25">
      <c r="A932" s="16" t="s">
        <v>13</v>
      </c>
      <c r="B932" s="25">
        <f>+B586/[21]Result!$G$14</f>
        <v>-5.6498816975714076E-3</v>
      </c>
      <c r="C932" s="25">
        <f>+C586/[1]Result!$G$14</f>
        <v>9.9891855881603982E-3</v>
      </c>
      <c r="D932" s="33">
        <f>+D586/[5]Result!$G$14</f>
        <v>-7.608865317525397E-2</v>
      </c>
      <c r="E932" s="25">
        <f>+E586/[6]Result!$G$14</f>
        <v>3.0178541114779169E-2</v>
      </c>
      <c r="F932" s="25">
        <f>+F586/[7]Result!$G$14</f>
        <v>-9.43964286189093E-3</v>
      </c>
      <c r="G932" s="33">
        <f>+G586/[8]Result!$G$14</f>
        <v>4.4304862633170886E-3</v>
      </c>
      <c r="H932" s="25">
        <f>+H586/[9]Result!$G$14</f>
        <v>-1.0360773360251371E-2</v>
      </c>
      <c r="I932" s="25">
        <f>+I586/[10]Result!$G$14</f>
        <v>1.722876242995653E-3</v>
      </c>
      <c r="J932" s="33">
        <f>+J586/[11]Result!$G$14</f>
        <v>-9.8311271607620654E-3</v>
      </c>
      <c r="K932" s="25">
        <f>+K586/[12]Result!$G$14</f>
        <v>5.4103139643561097E-3</v>
      </c>
      <c r="L932" s="25">
        <f>+L586/[13]Result!$G$14</f>
        <v>-1.4961973759636336E-2</v>
      </c>
      <c r="M932" s="25">
        <f>+M586/[14]Result!$G$14</f>
        <v>-0.358134431317022</v>
      </c>
      <c r="N932" s="33">
        <f>+N586/[15]Result!$G$14</f>
        <v>8.1622981259116111E-3</v>
      </c>
      <c r="O932" s="25">
        <f>+O586/[16]Result!$G$14</f>
        <v>2.6440449833297935E-2</v>
      </c>
      <c r="P932" s="25">
        <f>+P586/[17]Result!$G$14</f>
        <v>2.0592020365121453E-2</v>
      </c>
      <c r="Q932" s="33">
        <f>+Q586/[18]Result!$G$14</f>
        <v>-1.3463008457598802E-3</v>
      </c>
      <c r="R932" s="33">
        <f>+R586/[19]Result!$G$14</f>
        <v>1.1980417713888799E-2</v>
      </c>
      <c r="S932" s="34">
        <f>+S586/[20]Result!$G$14</f>
        <v>8.1422009934993995E-3</v>
      </c>
    </row>
    <row r="933" spans="1:19" hidden="1" outlineLevel="1" x14ac:dyDescent="0.25">
      <c r="A933" s="15" t="s">
        <v>14</v>
      </c>
      <c r="B933" s="25">
        <f>+B587/'[21]Stat by Mat'!$J$5</f>
        <v>-7.8389954561073425E-3</v>
      </c>
      <c r="C933" s="25">
        <f>+C587/'[1]Stat by Mat'!$J$5</f>
        <v>1.0183574142928109E-2</v>
      </c>
      <c r="D933" s="33">
        <f>+D587/'[5]Stat by Mat'!$J$5</f>
        <v>-0.12309042796676203</v>
      </c>
      <c r="E933" s="25">
        <f>+E587/'[6]Stat by Mat'!$J$5</f>
        <v>2.972227102669869E-2</v>
      </c>
      <c r="F933" s="25">
        <f>+F587/'[7]Stat by Mat'!$J$5</f>
        <v>-1.3181031210690053E-2</v>
      </c>
      <c r="G933" s="33">
        <f>+G587/'[8]Stat by Mat'!$J$5</f>
        <v>-1.4453650575415377E-2</v>
      </c>
      <c r="H933" s="25">
        <f>+H587/'[9]Stat by Mat'!$J$5</f>
        <v>-1.0942896669808019E-2</v>
      </c>
      <c r="I933" s="25">
        <f>+I587/'[10]Stat by Mat'!$J$5</f>
        <v>-3.262927500351699E-3</v>
      </c>
      <c r="J933" s="33">
        <f>+J587/'[11]Stat by Mat'!$J$5</f>
        <v>8.1321193420782999E-3</v>
      </c>
      <c r="K933" s="25">
        <f>+K587/'[12]Stat by Mat'!$J$5</f>
        <v>4.0650781214990085E-3</v>
      </c>
      <c r="L933" s="25">
        <f>+L587/'[13]Stat by Mat'!$J$5</f>
        <v>-2.0200647730330312E-2</v>
      </c>
      <c r="M933" s="25">
        <f>+M587/'[14]Stat by Mat'!$J$5</f>
        <v>-0.26990219753738715</v>
      </c>
      <c r="N933" s="33">
        <f>+N587/'[15]Stat by Mat'!$J$5</f>
        <v>1.0121404037072342E-2</v>
      </c>
      <c r="O933" s="25">
        <f>+O587/'[16]Stat by Mat'!$J$5</f>
        <v>3.2029048757690616E-2</v>
      </c>
      <c r="P933" s="25">
        <f>+P587/'[17]Stat by Mat'!$J$5</f>
        <v>-3.2687770776302742E-3</v>
      </c>
      <c r="Q933" s="33">
        <f>+Q587/'[18]Stat by Mat'!$J$5</f>
        <v>-3.214297124792351E-3</v>
      </c>
      <c r="R933" s="33">
        <f>+R587/'[19]Stat by Mat'!$J$5</f>
        <v>1.0691387482111347E-2</v>
      </c>
      <c r="S933" s="34">
        <f>+S587/'[20]Stat by Mat'!$J$5</f>
        <v>1.2136992115661901E-2</v>
      </c>
    </row>
    <row r="934" spans="1:19" hidden="1" outlineLevel="2" x14ac:dyDescent="0.25">
      <c r="A934" s="16" t="s">
        <v>15</v>
      </c>
      <c r="B934" s="25">
        <f>+B588/[21]Result!$G$15</f>
        <v>-5.7961954290065617E-3</v>
      </c>
      <c r="C934" s="25">
        <f>+C588/[1]Result!$G$15</f>
        <v>1.0013283911338421E-2</v>
      </c>
      <c r="D934" s="33">
        <f>+D588/[5]Result!$G$15</f>
        <v>-9.7653243366891435E-2</v>
      </c>
      <c r="E934" s="25">
        <f>+E588/[6]Result!$G$15</f>
        <v>2.8073835455175892E-2</v>
      </c>
      <c r="F934" s="25">
        <f>+F588/[7]Result!$G$15</f>
        <v>-9.0648681642901338E-3</v>
      </c>
      <c r="G934" s="33">
        <f>+G588/[8]Result!$G$15</f>
        <v>2.6413360188698993E-3</v>
      </c>
      <c r="H934" s="25">
        <f>+H588/[9]Result!$G$15</f>
        <v>-1.1456290113605577E-2</v>
      </c>
      <c r="I934" s="25">
        <f>+I588/[10]Result!$G$15</f>
        <v>3.2544359247348815E-4</v>
      </c>
      <c r="J934" s="33">
        <f>+J588/[11]Result!$G$15</f>
        <v>-1.9273157772809759E-3</v>
      </c>
      <c r="K934" s="25">
        <f>+K588/[12]Result!$G$15</f>
        <v>5.5228964476332397E-3</v>
      </c>
      <c r="L934" s="25">
        <f>+L588/[13]Result!$G$15</f>
        <v>-1.7040793051760539E-2</v>
      </c>
      <c r="M934" s="25">
        <f>+M588/[14]Result!$G$15</f>
        <v>-0.39010438721068441</v>
      </c>
      <c r="N934" s="33">
        <f>+N588/[15]Result!$G$15</f>
        <v>8.9551492308584252E-3</v>
      </c>
      <c r="O934" s="25">
        <f>+O588/[16]Result!$G$15</f>
        <v>2.9106202557298379E-2</v>
      </c>
      <c r="P934" s="25">
        <f>+P588/[17]Result!$G$15</f>
        <v>1.9242042312873738E-2</v>
      </c>
      <c r="Q934" s="33">
        <f>+Q588/[18]Result!$G$15</f>
        <v>-1.4821776145088499E-3</v>
      </c>
      <c r="R934" s="33">
        <f>+R588/[19]Result!$G$15</f>
        <v>1.2149410695105448E-2</v>
      </c>
      <c r="S934" s="34">
        <f>+S588/[20]Result!$G$15</f>
        <v>9.438723166376865E-3</v>
      </c>
    </row>
    <row r="935" spans="1:19" hidden="1" outlineLevel="2" x14ac:dyDescent="0.25">
      <c r="A935" s="16" t="s">
        <v>16</v>
      </c>
      <c r="B935" s="25">
        <f>+B589/[21]Result!$G$16</f>
        <v>-5.2079317569662638E-3</v>
      </c>
      <c r="C935" s="25">
        <f>+C589/[1]Result!$G$16</f>
        <v>9.3273930686062212E-3</v>
      </c>
      <c r="D935" s="33">
        <f>+D589/[5]Result!$G$16</f>
        <v>-0.13363670792323901</v>
      </c>
      <c r="E935" s="25">
        <f>+E589/[6]Result!$G$16</f>
        <v>2.6219561728316469E-2</v>
      </c>
      <c r="F935" s="25">
        <f>+F589/[7]Result!$G$16</f>
        <v>-9.3478572968583133E-3</v>
      </c>
      <c r="G935" s="33">
        <f>+G589/[8]Result!$G$16</f>
        <v>-9.4200825808339259E-3</v>
      </c>
      <c r="H935" s="25">
        <f>+H589/[9]Result!$G$16</f>
        <v>-9.656587110445378E-3</v>
      </c>
      <c r="I935" s="25">
        <f>+I589/[10]Result!$G$16</f>
        <v>-1.0048626035954133E-3</v>
      </c>
      <c r="J935" s="33">
        <f>+J589/[11]Result!$G$16</f>
        <v>7.3135131953504396E-3</v>
      </c>
      <c r="K935" s="25">
        <f>+K589/[12]Result!$G$16</f>
        <v>4.6955610697731664E-3</v>
      </c>
      <c r="L935" s="25">
        <f>+L589/[13]Result!$G$16</f>
        <v>-1.8323937634206932E-2</v>
      </c>
      <c r="M935" s="25">
        <f>+M589/[14]Result!$G$16</f>
        <v>-0.28344681325929649</v>
      </c>
      <c r="N935" s="33">
        <f>+N589/[15]Result!$G$16</f>
        <v>9.2043506152600756E-3</v>
      </c>
      <c r="O935" s="25">
        <f>+O589/[16]Result!$G$16</f>
        <v>3.175005590877468E-2</v>
      </c>
      <c r="P935" s="25">
        <f>+P589/[17]Result!$G$16</f>
        <v>-1.3085724818099928E-2</v>
      </c>
      <c r="Q935" s="33">
        <f>+Q589/[18]Result!$G$16</f>
        <v>-1.2811840912803918E-3</v>
      </c>
      <c r="R935" s="33">
        <f>+R589/[19]Result!$G$16</f>
        <v>1.2590897315615265E-2</v>
      </c>
      <c r="S935" s="34">
        <f>+S589/[20]Result!$G$16</f>
        <v>1.1679037812905716E-2</v>
      </c>
    </row>
    <row r="936" spans="1:19" hidden="1" outlineLevel="2" x14ac:dyDescent="0.25">
      <c r="A936" s="16" t="s">
        <v>17</v>
      </c>
      <c r="B936" s="25">
        <f>+B590/[21]Result!$G$17</f>
        <v>-5.3632278981930025E-3</v>
      </c>
      <c r="C936" s="25">
        <f>+C590/[1]Result!$G$17</f>
        <v>9.5883807385370636E-3</v>
      </c>
      <c r="D936" s="33">
        <f>+D590/[5]Result!$G$17</f>
        <v>-0.13403667418341858</v>
      </c>
      <c r="E936" s="25">
        <f>+E590/[6]Result!$G$17</f>
        <v>2.6698496243999253E-2</v>
      </c>
      <c r="F936" s="25">
        <f>+F590/[7]Result!$G$17</f>
        <v>-1.0749905317606849E-2</v>
      </c>
      <c r="G936" s="33">
        <f>+G590/[8]Result!$G$17</f>
        <v>-1.5056956874116125E-2</v>
      </c>
      <c r="H936" s="25">
        <f>+H590/[9]Result!$G$17</f>
        <v>-7.9144221327619533E-3</v>
      </c>
      <c r="I936" s="25">
        <f>+I590/[10]Result!$G$17</f>
        <v>-2.0564847357552396E-3</v>
      </c>
      <c r="J936" s="33">
        <f>+J590/[11]Result!$G$17</f>
        <v>6.2809426665276207E-3</v>
      </c>
      <c r="K936" s="25">
        <f>+K590/[12]Result!$G$17</f>
        <v>3.7972569091392736E-3</v>
      </c>
      <c r="L936" s="25">
        <f>+L590/[13]Result!$G$17</f>
        <v>-1.7614121803151528E-2</v>
      </c>
      <c r="M936" s="25">
        <f>+M590/[14]Result!$G$17</f>
        <v>-0.26258389379648306</v>
      </c>
      <c r="N936" s="33">
        <f>+N590/[15]Result!$G$17</f>
        <v>1.0450822808389302E-2</v>
      </c>
      <c r="O936" s="25">
        <f>+O590/[16]Result!$G$17</f>
        <v>3.2084653242972931E-2</v>
      </c>
      <c r="P936" s="25">
        <f>+P590/[17]Result!$G$17</f>
        <v>-8.8379764941712551E-3</v>
      </c>
      <c r="Q936" s="33">
        <f>+Q590/[18]Result!$G$17</f>
        <v>-2.0358255733335211E-3</v>
      </c>
      <c r="R936" s="33">
        <f>+R590/[19]Result!$G$17</f>
        <v>1.2535566186505037E-2</v>
      </c>
      <c r="S936" s="34">
        <f>+S590/[20]Result!$G$17</f>
        <v>1.335265330244783E-2</v>
      </c>
    </row>
    <row r="937" spans="1:19" hidden="1" outlineLevel="2" x14ac:dyDescent="0.25">
      <c r="A937" s="16" t="s">
        <v>18</v>
      </c>
      <c r="B937" s="25">
        <f>+B591/[21]Result!$G$18</f>
        <v>-6.5206062676893212E-3</v>
      </c>
      <c r="C937" s="25">
        <f>+C591/[1]Result!$G$18</f>
        <v>1.044187499690984E-2</v>
      </c>
      <c r="D937" s="33">
        <f>+D591/[5]Result!$G$18</f>
        <v>-0.13105067766394782</v>
      </c>
      <c r="E937" s="25">
        <f>+E591/[6]Result!$G$18</f>
        <v>2.798729394631912E-2</v>
      </c>
      <c r="F937" s="25">
        <f>+F591/[7]Result!$G$18</f>
        <v>-1.2376470086845497E-2</v>
      </c>
      <c r="G937" s="33">
        <f>+G591/[8]Result!$G$18</f>
        <v>-1.1023797944412743E-2</v>
      </c>
      <c r="H937" s="25">
        <f>+H591/[9]Result!$G$18</f>
        <v>-8.6174854263532004E-3</v>
      </c>
      <c r="I937" s="25">
        <f>+I591/[10]Result!$G$18</f>
        <v>-3.3169066142495732E-3</v>
      </c>
      <c r="J937" s="33">
        <f>+J591/[11]Result!$G$18</f>
        <v>8.1180717551107024E-3</v>
      </c>
      <c r="K937" s="25">
        <f>+K591/[12]Result!$G$18</f>
        <v>3.7755959484839967E-3</v>
      </c>
      <c r="L937" s="25">
        <f>+L591/[13]Result!$G$18</f>
        <v>-1.7205791096183372E-2</v>
      </c>
      <c r="M937" s="25">
        <f>+M591/[14]Result!$G$18</f>
        <v>-0.23998248902731228</v>
      </c>
      <c r="N937" s="33">
        <f>+N591/[15]Result!$G$18</f>
        <v>1.2063571484840928E-2</v>
      </c>
      <c r="O937" s="25">
        <f>+O591/[16]Result!$G$18</f>
        <v>3.0961900753172646E-2</v>
      </c>
      <c r="P937" s="25">
        <f>+P591/[17]Result!$G$18</f>
        <v>-6.6218647798533979E-3</v>
      </c>
      <c r="Q937" s="33">
        <f>+Q591/[18]Result!$G$18</f>
        <v>-1.8047974489890813E-3</v>
      </c>
      <c r="R937" s="33">
        <f>+R591/[19]Result!$G$18</f>
        <v>1.2640876847469364E-2</v>
      </c>
      <c r="S937" s="34">
        <f>+S591/[20]Result!$G$18</f>
        <v>1.3962884552600014E-2</v>
      </c>
    </row>
    <row r="938" spans="1:19" hidden="1" outlineLevel="2" x14ac:dyDescent="0.25">
      <c r="A938" s="16" t="s">
        <v>19</v>
      </c>
      <c r="B938" s="25">
        <f>+B592/[21]Result!$G$19</f>
        <v>-8.8107083385977648E-3</v>
      </c>
      <c r="C938" s="25">
        <f>+C592/[1]Result!$G$19</f>
        <v>1.2066443891743628E-2</v>
      </c>
      <c r="D938" s="33">
        <f>+D592/[5]Result!$G$19</f>
        <v>-0.12850280585740512</v>
      </c>
      <c r="E938" s="25">
        <f>+E592/[6]Result!$G$19</f>
        <v>2.9084221442087537E-2</v>
      </c>
      <c r="F938" s="25">
        <f>+F592/[7]Result!$G$19</f>
        <v>-1.411016538172177E-2</v>
      </c>
      <c r="G938" s="33">
        <f>+G592/[8]Result!$G$19</f>
        <v>-1.9654707544099679E-2</v>
      </c>
      <c r="H938" s="25">
        <f>+H592/[9]Result!$G$19</f>
        <v>-1.0222131181444535E-2</v>
      </c>
      <c r="I938" s="25">
        <f>+I592/[10]Result!$G$19</f>
        <v>-4.2514917613072729E-3</v>
      </c>
      <c r="J938" s="33">
        <f>+J592/[11]Result!$G$19</f>
        <v>1.1909039124058099E-3</v>
      </c>
      <c r="K938" s="25">
        <f>+K592/[12]Result!$G$19</f>
        <v>3.7037374204588061E-3</v>
      </c>
      <c r="L938" s="25">
        <f>+L592/[13]Result!$G$19</f>
        <v>-1.9696697137291407E-2</v>
      </c>
      <c r="M938" s="25">
        <f>+M592/[14]Result!$G$19</f>
        <v>-0.22332436033493486</v>
      </c>
      <c r="N938" s="33">
        <f>+N592/[15]Result!$G$19</f>
        <v>1.2030856700133886E-2</v>
      </c>
      <c r="O938" s="25">
        <f>+O592/[16]Result!$G$19</f>
        <v>3.0989014660083053E-2</v>
      </c>
      <c r="P938" s="25">
        <f>+P592/[17]Result!$G$19</f>
        <v>-1.4807741838034686E-2</v>
      </c>
      <c r="Q938" s="33">
        <f>+Q592/[18]Result!$G$19</f>
        <v>-2.935305187279903E-3</v>
      </c>
      <c r="R938" s="33">
        <f>+R592/[19]Result!$G$19</f>
        <v>1.2230653963083902E-2</v>
      </c>
      <c r="S938" s="34">
        <f>+S592/[20]Result!$G$19</f>
        <v>1.4155995571915462E-2</v>
      </c>
    </row>
    <row r="939" spans="1:19" hidden="1" outlineLevel="2" x14ac:dyDescent="0.25">
      <c r="A939" s="16" t="s">
        <v>20</v>
      </c>
      <c r="B939" s="25">
        <f>+B593/[21]Result!$G$20</f>
        <v>-1.0813814273135991E-2</v>
      </c>
      <c r="C939" s="25">
        <f>+C593/[1]Result!$G$20</f>
        <v>1.2352045814042652E-2</v>
      </c>
      <c r="D939" s="33">
        <f>+D593/[5]Result!$G$20</f>
        <v>-0.13019635290784481</v>
      </c>
      <c r="E939" s="25">
        <f>+E593/[6]Result!$G$20</f>
        <v>3.0976902288422453E-2</v>
      </c>
      <c r="F939" s="25">
        <f>+F593/[7]Result!$G$20</f>
        <v>-1.595986469174886E-2</v>
      </c>
      <c r="G939" s="33">
        <f>+G593/[8]Result!$G$20</f>
        <v>-2.6526068329629511E-2</v>
      </c>
      <c r="H939" s="25">
        <f>+H593/[9]Result!$G$20</f>
        <v>-1.1950001269829025E-2</v>
      </c>
      <c r="I939" s="25">
        <f>+I593/[10]Result!$G$20</f>
        <v>-5.2135492630430071E-3</v>
      </c>
      <c r="J939" s="33">
        <f>+J593/[11]Result!$G$20</f>
        <v>6.6988541883753168E-3</v>
      </c>
      <c r="K939" s="25">
        <f>+K593/[12]Result!$G$20</f>
        <v>3.4342725410625983E-3</v>
      </c>
      <c r="L939" s="25">
        <f>+L593/[13]Result!$G$20</f>
        <v>-2.2417362439459198E-2</v>
      </c>
      <c r="M939" s="25">
        <f>+M593/[14]Result!$G$20</f>
        <v>-0.2109817103707225</v>
      </c>
      <c r="N939" s="33">
        <f>+N593/[15]Result!$G$20</f>
        <v>9.9231097790027784E-3</v>
      </c>
      <c r="O939" s="25">
        <f>+O593/[16]Result!$G$20</f>
        <v>3.1779412379360703E-2</v>
      </c>
      <c r="P939" s="25">
        <f>+P593/[17]Result!$G$20</f>
        <v>-1.1370553238656232E-2</v>
      </c>
      <c r="Q939" s="33">
        <f>+Q593/[18]Result!$G$20</f>
        <v>-4.8988616725180222E-3</v>
      </c>
      <c r="R939" s="33">
        <f>+R593/[19]Result!$G$20</f>
        <v>9.3822418157315235E-3</v>
      </c>
      <c r="S939" s="34">
        <f>+S593/[20]Result!$G$20</f>
        <v>1.2631544583079355E-2</v>
      </c>
    </row>
    <row r="940" spans="1:19" hidden="1" outlineLevel="2" x14ac:dyDescent="0.25">
      <c r="A940" s="16" t="s">
        <v>21</v>
      </c>
      <c r="B940" s="25">
        <f>+B594/[21]Result!$G$21</f>
        <v>-1.1817371726662347E-2</v>
      </c>
      <c r="C940" s="25">
        <f>+C594/[1]Result!$G$21</f>
        <v>1.0727536196384195E-2</v>
      </c>
      <c r="D940" s="33">
        <f>+D594/[5]Result!$G$21</f>
        <v>-0.13114773804216459</v>
      </c>
      <c r="E940" s="25">
        <f>+E594/[6]Result!$G$21</f>
        <v>3.3914904699526474E-2</v>
      </c>
      <c r="F940" s="25">
        <f>+F594/[7]Result!$G$21</f>
        <v>-1.8074814365514794E-2</v>
      </c>
      <c r="G940" s="33">
        <f>+G594/[8]Result!$G$21</f>
        <v>-2.930854324474845E-2</v>
      </c>
      <c r="H940" s="25">
        <f>+H594/[9]Result!$G$21</f>
        <v>-1.3340252418395626E-2</v>
      </c>
      <c r="I940" s="25">
        <f>+I594/[10]Result!$G$21</f>
        <v>-6.574417629764938E-3</v>
      </c>
      <c r="J940" s="33">
        <f>+J594/[11]Result!$G$21</f>
        <v>1.2221491071592122E-2</v>
      </c>
      <c r="K940" s="25">
        <f>+K594/[12]Result!$G$21</f>
        <v>3.0993438761799433E-3</v>
      </c>
      <c r="L940" s="25">
        <f>+L594/[13]Result!$G$21</f>
        <v>-2.5001538384266216E-2</v>
      </c>
      <c r="M940" s="25">
        <f>+M594/[14]Result!$G$21</f>
        <v>-0.20366700142760963</v>
      </c>
      <c r="N940" s="33">
        <f>+N594/[15]Result!$G$21</f>
        <v>8.588600356227008E-3</v>
      </c>
      <c r="O940" s="25">
        <f>+O594/[16]Result!$G$21</f>
        <v>3.3450073139370297E-2</v>
      </c>
      <c r="P940" s="25">
        <f>+P594/[17]Result!$G$21</f>
        <v>-7.262475687232612E-3</v>
      </c>
      <c r="Q940" s="33">
        <f>+Q594/[18]Result!$G$21</f>
        <v>-6.0014762559345795E-3</v>
      </c>
      <c r="R940" s="33">
        <f>+R594/[19]Result!$G$21</f>
        <v>6.8242259784826245E-3</v>
      </c>
      <c r="S940" s="34">
        <f>+S594/[20]Result!$G$21</f>
        <v>1.1146806364447641E-2</v>
      </c>
    </row>
    <row r="941" spans="1:19" hidden="1" outlineLevel="2" x14ac:dyDescent="0.25">
      <c r="A941" s="16" t="s">
        <v>22</v>
      </c>
      <c r="B941" s="25">
        <f>+B595/[21]Result!$G$22</f>
        <v>-1.2279907929758103E-2</v>
      </c>
      <c r="C941" s="25">
        <f>+C595/[1]Result!$G$22</f>
        <v>8.7407515460905423E-3</v>
      </c>
      <c r="D941" s="33">
        <f>+D595/[5]Result!$G$22</f>
        <v>-0.12722017917989181</v>
      </c>
      <c r="E941" s="25">
        <f>+E595/[6]Result!$G$22</f>
        <v>3.6878969879984569E-2</v>
      </c>
      <c r="F941" s="25">
        <f>+F595/[7]Result!$G$22</f>
        <v>-2.0234945788800484E-2</v>
      </c>
      <c r="G941" s="33">
        <f>+G595/[8]Result!$G$22</f>
        <v>-3.1926345968775117E-2</v>
      </c>
      <c r="H941" s="25">
        <f>+H595/[9]Result!$G$22</f>
        <v>-1.4472987487639246E-2</v>
      </c>
      <c r="I941" s="25">
        <f>+I595/[10]Result!$G$22</f>
        <v>-8.140239133046118E-3</v>
      </c>
      <c r="J941" s="33">
        <f>+J595/[11]Result!$G$22</f>
        <v>2.4893734968334882E-2</v>
      </c>
      <c r="K941" s="25">
        <f>+K595/[12]Result!$G$22</f>
        <v>2.7807575721936939E-3</v>
      </c>
      <c r="L941" s="25">
        <f>+L595/[13]Result!$G$22</f>
        <v>-2.7391180708664351E-2</v>
      </c>
      <c r="M941" s="25">
        <f>+M595/[14]Result!$G$22</f>
        <v>-0.19363670222103455</v>
      </c>
      <c r="N941" s="33">
        <f>+N595/[15]Result!$G$22</f>
        <v>9.2806304086700663E-3</v>
      </c>
      <c r="O941" s="25">
        <f>+O595/[16]Result!$G$22</f>
        <v>3.5333230900435435E-2</v>
      </c>
      <c r="P941" s="25">
        <f>+P595/[17]Result!$G$22</f>
        <v>-3.221581484567558E-4</v>
      </c>
      <c r="Q941" s="33">
        <f>+Q595/[18]Result!$G$22</f>
        <v>-7.0278346053349013E-3</v>
      </c>
      <c r="R941" s="33">
        <f>+R595/[19]Result!$G$22</f>
        <v>5.9730586418949259E-3</v>
      </c>
      <c r="S941" s="34">
        <f>+S595/[20]Result!$G$22</f>
        <v>1.1742650331444471E-2</v>
      </c>
    </row>
    <row r="942" spans="1:19" hidden="1" outlineLevel="2" x14ac:dyDescent="0.25">
      <c r="A942" s="16" t="s">
        <v>23</v>
      </c>
      <c r="B942" s="25">
        <f>+B596/[21]Result!$G$23</f>
        <v>-1.2894529733812693E-2</v>
      </c>
      <c r="C942" s="25">
        <f>+C596/[1]Result!$G$23</f>
        <v>8.0862992917099964E-3</v>
      </c>
      <c r="D942" s="33">
        <f>+D596/[5]Result!$G$23</f>
        <v>-0.11724821909664415</v>
      </c>
      <c r="E942" s="25">
        <f>+E596/[6]Result!$G$23</f>
        <v>3.893242622237976E-2</v>
      </c>
      <c r="F942" s="25">
        <f>+F596/[7]Result!$G$23</f>
        <v>-2.2516201472200948E-2</v>
      </c>
      <c r="G942" s="33">
        <f>+G596/[8]Result!$G$23</f>
        <v>-2.8501647846316997E-2</v>
      </c>
      <c r="H942" s="25">
        <f>+H596/[9]Result!$G$23</f>
        <v>-1.5291983677528152E-2</v>
      </c>
      <c r="I942" s="25">
        <f>+I596/[10]Result!$G$23</f>
        <v>-9.7481786007808779E-3</v>
      </c>
      <c r="J942" s="33">
        <f>+J596/[11]Result!$G$23</f>
        <v>3.8756844683555731E-2</v>
      </c>
      <c r="K942" s="25">
        <f>+K596/[12]Result!$G$23</f>
        <v>2.494413127550383E-3</v>
      </c>
      <c r="L942" s="25">
        <f>+L596/[13]Result!$G$23</f>
        <v>-2.9534371369728224E-2</v>
      </c>
      <c r="M942" s="25">
        <f>+M596/[14]Result!$G$23</f>
        <v>-0.17898580858198074</v>
      </c>
      <c r="N942" s="33">
        <f>+N596/[15]Result!$G$23</f>
        <v>1.0350828343389861E-2</v>
      </c>
      <c r="O942" s="25">
        <f>+O596/[16]Result!$G$23</f>
        <v>3.7107880489436189E-2</v>
      </c>
      <c r="P942" s="25">
        <f>+P596/[17]Result!$G$23</f>
        <v>2.8327144062019914E-3</v>
      </c>
      <c r="Q942" s="33">
        <f>+Q596/[18]Result!$G$23</f>
        <v>-7.5142997850486982E-3</v>
      </c>
      <c r="R942" s="33">
        <f>+R596/[19]Result!$G$23</f>
        <v>5.2463888090489462E-3</v>
      </c>
      <c r="S942" s="34">
        <f>+S596/[20]Result!$G$23</f>
        <v>1.2506870345904151E-2</v>
      </c>
    </row>
    <row r="943" spans="1:19" hidden="1" outlineLevel="2" x14ac:dyDescent="0.25">
      <c r="A943" s="16" t="s">
        <v>24</v>
      </c>
      <c r="B943" s="25">
        <f>+B597/[21]Result!$G$24</f>
        <v>-1.4243838579411751E-2</v>
      </c>
      <c r="C943" s="25">
        <f>+C597/[1]Result!$G$24</f>
        <v>1.0162161607491629E-2</v>
      </c>
      <c r="D943" s="33">
        <f>+D597/[5]Result!$G$24</f>
        <v>-0.12089988183180637</v>
      </c>
      <c r="E943" s="25">
        <f>+E597/[6]Result!$G$24</f>
        <v>3.931675694702895E-2</v>
      </c>
      <c r="F943" s="25">
        <f>+F597/[7]Result!$G$24</f>
        <v>-2.4913741589908181E-2</v>
      </c>
      <c r="G943" s="33">
        <f>+G597/[8]Result!$G$24</f>
        <v>-3.6615656828307176E-2</v>
      </c>
      <c r="H943" s="25">
        <f>+H597/[9]Result!$G$24</f>
        <v>-1.5834125981811869E-2</v>
      </c>
      <c r="I943" s="25">
        <f>+I597/[10]Result!$G$24</f>
        <v>-1.1385124921999033E-2</v>
      </c>
      <c r="J943" s="33">
        <f>+J597/[11]Result!$G$24</f>
        <v>3.3335436032021493E-2</v>
      </c>
      <c r="K943" s="25">
        <f>+K597/[12]Result!$G$24</f>
        <v>2.1587229712708403E-3</v>
      </c>
      <c r="L943" s="25">
        <f>+L597/[13]Result!$G$24</f>
        <v>-3.1374122785349248E-2</v>
      </c>
      <c r="M943" s="25">
        <f>+M597/[14]Result!$G$24</f>
        <v>-0.17585793421247697</v>
      </c>
      <c r="N943" s="33">
        <f>+N597/[15]Result!$G$24</f>
        <v>1.1573494940398391E-2</v>
      </c>
      <c r="O943" s="25">
        <f>+O597/[16]Result!$G$24</f>
        <v>3.8759343344166579E-2</v>
      </c>
      <c r="P943" s="25">
        <f>+P597/[17]Result!$G$24</f>
        <v>-2.0564180060660829E-3</v>
      </c>
      <c r="Q943" s="33">
        <f>+Q597/[18]Result!$G$24</f>
        <v>-7.6404005779525134E-3</v>
      </c>
      <c r="R943" s="33">
        <f>+R597/[19]Result!$G$24</f>
        <v>4.6858851936568101E-3</v>
      </c>
      <c r="S943" s="34">
        <f>+S597/[20]Result!$G$24</f>
        <v>1.3282910328620697E-2</v>
      </c>
    </row>
    <row r="944" spans="1:19" hidden="1" outlineLevel="1" x14ac:dyDescent="0.25">
      <c r="A944" s="15" t="s">
        <v>25</v>
      </c>
      <c r="B944" s="25">
        <f>+B598/'[21]Stat by Mat'!$J$6</f>
        <v>-1.9557004149971306E-2</v>
      </c>
      <c r="C944" s="25">
        <f>+C598/'[1]Stat by Mat'!$J$6</f>
        <v>2.1421662376286576E-2</v>
      </c>
      <c r="D944" s="33">
        <f>+D598/'[5]Stat by Mat'!$J$6</f>
        <v>-0.11657292357720274</v>
      </c>
      <c r="E944" s="25">
        <f>+E598/'[6]Stat by Mat'!$J$6</f>
        <v>3.6596335687320007E-2</v>
      </c>
      <c r="F944" s="25">
        <f>+F598/'[7]Stat by Mat'!$J$6</f>
        <v>-3.1185355352086983E-2</v>
      </c>
      <c r="G944" s="33">
        <f>+G598/'[8]Stat by Mat'!$J$6</f>
        <v>-3.6631575777445767E-2</v>
      </c>
      <c r="H944" s="25">
        <f>+H598/'[9]Stat by Mat'!$J$6</f>
        <v>-1.7257789051451755E-2</v>
      </c>
      <c r="I944" s="25">
        <f>+I598/'[10]Stat by Mat'!$J$6</f>
        <v>-1.6132388061601572E-2</v>
      </c>
      <c r="J944" s="33">
        <f>+J598/'[11]Stat by Mat'!$J$6</f>
        <v>6.4894725297454173E-2</v>
      </c>
      <c r="K944" s="25">
        <f>+K598/'[12]Stat by Mat'!$J$6</f>
        <v>1.0229420461097423E-3</v>
      </c>
      <c r="L944" s="25">
        <f>+L598/'[13]Stat by Mat'!$J$6</f>
        <v>-3.6861635430216012E-2</v>
      </c>
      <c r="M944" s="25">
        <f>+M598/'[14]Stat by Mat'!$J$6</f>
        <v>-0.27281404412924942</v>
      </c>
      <c r="N944" s="33">
        <f>+N598/'[15]Stat by Mat'!$J$6</f>
        <v>1.5346138296259608E-2</v>
      </c>
      <c r="O944" s="25">
        <f>+O598/'[16]Stat by Mat'!$J$6</f>
        <v>4.3638005710360167E-2</v>
      </c>
      <c r="P944" s="25">
        <f>+P598/'[17]Stat by Mat'!$J$6</f>
        <v>9.5548687013520921E-3</v>
      </c>
      <c r="Q944" s="33">
        <f>+Q598/'[18]Stat by Mat'!$J$6</f>
        <v>-7.7750765093349576E-3</v>
      </c>
      <c r="R944" s="33">
        <f>+R598/'[19]Stat by Mat'!$J$6</f>
        <v>3.0923285399844323E-3</v>
      </c>
      <c r="S944" s="34">
        <f>+S598/'[20]Stat by Mat'!$J$6</f>
        <v>1.5751464282787925E-2</v>
      </c>
    </row>
    <row r="945" spans="1:19" hidden="1" outlineLevel="2" x14ac:dyDescent="0.25">
      <c r="A945" s="16" t="s">
        <v>26</v>
      </c>
      <c r="B945" s="25">
        <f>+B599/[21]Result!$G$25</f>
        <v>-1.6041508470385654E-2</v>
      </c>
      <c r="C945" s="25">
        <f>+C599/[1]Result!$G$25</f>
        <v>1.3894856885370283E-2</v>
      </c>
      <c r="D945" s="33">
        <f>+D599/[5]Result!$G$25</f>
        <v>-0.12446978672626947</v>
      </c>
      <c r="E945" s="25">
        <f>+E599/[6]Result!$G$25</f>
        <v>3.8503183556465002E-2</v>
      </c>
      <c r="F945" s="25">
        <f>+F599/[7]Result!$G$25</f>
        <v>-2.7040504538522123E-2</v>
      </c>
      <c r="G945" s="33">
        <f>+G599/[8]Result!$G$25</f>
        <v>-4.1974662342366589E-2</v>
      </c>
      <c r="H945" s="25">
        <f>+H599/[9]Result!$G$25</f>
        <v>-1.6250952027923638E-2</v>
      </c>
      <c r="I945" s="25">
        <f>+I599/[10]Result!$G$25</f>
        <v>-1.2937407443287348E-2</v>
      </c>
      <c r="J945" s="33">
        <f>+J599/[11]Result!$G$25</f>
        <v>3.9754304202947094E-2</v>
      </c>
      <c r="K945" s="25">
        <f>+K599/[12]Result!$G$25</f>
        <v>1.7760897147135865E-3</v>
      </c>
      <c r="L945" s="25">
        <f>+L599/[13]Result!$G$25</f>
        <v>-3.3049688649589258E-2</v>
      </c>
      <c r="M945" s="25">
        <f>+M599/[14]Result!$G$25</f>
        <v>-0.19372412970340805</v>
      </c>
      <c r="N945" s="33">
        <f>+N599/[15]Result!$G$25</f>
        <v>1.2766492408604533E-2</v>
      </c>
      <c r="O945" s="25">
        <f>+O599/[16]Result!$G$25</f>
        <v>4.0270895130485783E-2</v>
      </c>
      <c r="P945" s="25">
        <f>+P599/[17]Result!$G$25</f>
        <v>-2.570949686566763E-3</v>
      </c>
      <c r="Q945" s="33">
        <f>+Q599/[18]Result!$G$25</f>
        <v>-7.6409321728164014E-3</v>
      </c>
      <c r="R945" s="33">
        <f>+R599/[19]Result!$G$25</f>
        <v>4.1371697458564725E-3</v>
      </c>
      <c r="S945" s="34">
        <f>+S599/[20]Result!$G$25</f>
        <v>1.4168517119793158E-2</v>
      </c>
    </row>
    <row r="946" spans="1:19" hidden="1" outlineLevel="2" x14ac:dyDescent="0.25">
      <c r="A946" s="16" t="s">
        <v>27</v>
      </c>
      <c r="B946" s="25">
        <f>+B600/[21]Result!$G$26</f>
        <v>-1.7735443156215048E-2</v>
      </c>
      <c r="C946" s="25">
        <f>+C600/[1]Result!$G$26</f>
        <v>1.7426305601265235E-2</v>
      </c>
      <c r="D946" s="33">
        <f>+D600/[5]Result!$G$26</f>
        <v>-0.12731080355975852</v>
      </c>
      <c r="E946" s="25">
        <f>+E600/[6]Result!$G$26</f>
        <v>3.7624154249657316E-2</v>
      </c>
      <c r="F946" s="25">
        <f>+F600/[7]Result!$G$26</f>
        <v>-2.8946099204361812E-2</v>
      </c>
      <c r="G946" s="33">
        <f>+G600/[8]Result!$G$26</f>
        <v>-4.5923118962455607E-2</v>
      </c>
      <c r="H946" s="25">
        <f>+H600/[9]Result!$G$26</f>
        <v>-1.6731709697583214E-2</v>
      </c>
      <c r="I946" s="25">
        <f>+I600/[10]Result!$G$26</f>
        <v>-1.4276806570321184E-2</v>
      </c>
      <c r="J946" s="33">
        <f>+J600/[11]Result!$G$26</f>
        <v>4.8101918450819077E-2</v>
      </c>
      <c r="K946" s="25">
        <f>+K600/[12]Result!$G$26</f>
        <v>1.4485223453588386E-3</v>
      </c>
      <c r="L946" s="25">
        <f>+L600/[13]Result!$G$26</f>
        <v>-3.4630549903168481E-2</v>
      </c>
      <c r="M946" s="25">
        <f>+M600/[14]Result!$G$26</f>
        <v>-0.21629493701494482</v>
      </c>
      <c r="N946" s="33">
        <f>+N600/[15]Result!$G$26</f>
        <v>1.3914492074967661E-2</v>
      </c>
      <c r="O946" s="25">
        <f>+O600/[16]Result!$G$26</f>
        <v>4.1627612966892102E-2</v>
      </c>
      <c r="P946" s="25">
        <f>+P600/[17]Result!$G$26</f>
        <v>-5.4598690125961452E-5</v>
      </c>
      <c r="Q946" s="33">
        <f>+Q600/[18]Result!$G$26</f>
        <v>-7.7060065536929635E-3</v>
      </c>
      <c r="R946" s="33">
        <f>+R600/[19]Result!$G$26</f>
        <v>3.6154895677690604E-3</v>
      </c>
      <c r="S946" s="34">
        <f>+S600/[20]Result!$G$26</f>
        <v>1.4864213308445434E-2</v>
      </c>
    </row>
    <row r="947" spans="1:19" hidden="1" outlineLevel="2" x14ac:dyDescent="0.25">
      <c r="A947" s="16" t="s">
        <v>28</v>
      </c>
      <c r="B947" s="25">
        <f>+B601/[21]Result!$G$27</f>
        <v>-1.9083235742497557E-2</v>
      </c>
      <c r="C947" s="25">
        <f>+C601/[1]Result!$G$27</f>
        <v>2.045850213238868E-2</v>
      </c>
      <c r="D947" s="33">
        <f>+D601/[5]Result!$G$27</f>
        <v>-0.12570294177608338</v>
      </c>
      <c r="E947" s="25">
        <f>+E601/[6]Result!$G$27</f>
        <v>3.6820081494463204E-2</v>
      </c>
      <c r="F947" s="25">
        <f>+F601/[7]Result!$G$27</f>
        <v>-3.0585813441878815E-2</v>
      </c>
      <c r="G947" s="33">
        <f>+G601/[8]Result!$G$27</f>
        <v>-4.6401787003414664E-2</v>
      </c>
      <c r="H947" s="25">
        <f>+H601/[9]Result!$G$27</f>
        <v>-1.7182782548144534E-2</v>
      </c>
      <c r="I947" s="25">
        <f>+I601/[10]Result!$G$27</f>
        <v>-1.546755521899598E-2</v>
      </c>
      <c r="J947" s="33">
        <f>+J601/[11]Result!$G$27</f>
        <v>6.2050126791960841E-2</v>
      </c>
      <c r="K947" s="25">
        <f>+K601/[12]Result!$G$27</f>
        <v>1.1911482765726174E-3</v>
      </c>
      <c r="L947" s="25">
        <f>+L601/[13]Result!$G$27</f>
        <v>-3.6105367032538804E-2</v>
      </c>
      <c r="M947" s="25">
        <f>+M601/[14]Result!$G$27</f>
        <v>-0.23812963200523393</v>
      </c>
      <c r="N947" s="33">
        <f>+N601/[15]Result!$G$27</f>
        <v>1.4893511760808003E-2</v>
      </c>
      <c r="O947" s="25">
        <f>+O601/[16]Result!$G$27</f>
        <v>4.3038795239353375E-2</v>
      </c>
      <c r="P947" s="25">
        <f>+P601/[17]Result!$G$27</f>
        <v>7.2579787057714456E-3</v>
      </c>
      <c r="Q947" s="33">
        <f>+Q601/[18]Result!$G$27</f>
        <v>-7.7418218273720011E-3</v>
      </c>
      <c r="R947" s="33">
        <f>+R601/[19]Result!$G$27</f>
        <v>3.2430111708498235E-3</v>
      </c>
      <c r="S947" s="34">
        <f>+S601/[20]Result!$G$27</f>
        <v>1.5451735327204466E-2</v>
      </c>
    </row>
    <row r="948" spans="1:19" hidden="1" outlineLevel="2" x14ac:dyDescent="0.25">
      <c r="A948" s="16" t="s">
        <v>29</v>
      </c>
      <c r="B948" s="25">
        <f>+B602/[21]Result!$G$28</f>
        <v>-2.0255421558505533E-2</v>
      </c>
      <c r="C948" s="25">
        <f>+C602/[1]Result!$G$28</f>
        <v>2.3000523658751243E-2</v>
      </c>
      <c r="D948" s="33">
        <f>+D602/[5]Result!$G$28</f>
        <v>-0.11788893596415585</v>
      </c>
      <c r="E948" s="25">
        <f>+E602/[6]Result!$G$28</f>
        <v>3.6137519975592426E-2</v>
      </c>
      <c r="F948" s="25">
        <f>+F602/[7]Result!$G$28</f>
        <v>-3.1922164103797605E-2</v>
      </c>
      <c r="G948" s="33">
        <f>+G602/[8]Result!$G$28</f>
        <v>-3.2227277732418805E-2</v>
      </c>
      <c r="H948" s="25">
        <f>+H602/[9]Result!$G$28</f>
        <v>-1.7382961172014034E-2</v>
      </c>
      <c r="I948" s="25">
        <f>+I602/[10]Result!$G$28</f>
        <v>-1.6704456431236251E-2</v>
      </c>
      <c r="J948" s="33">
        <f>+J602/[11]Result!$G$28</f>
        <v>7.3757726475875293E-2</v>
      </c>
      <c r="K948" s="25">
        <f>+K602/[12]Result!$G$28</f>
        <v>9.0452936797673681E-4</v>
      </c>
      <c r="L948" s="25">
        <f>+L602/[13]Result!$G$28</f>
        <v>-3.7350611890709602E-2</v>
      </c>
      <c r="M948" s="25">
        <f>+M602/[14]Result!$G$28</f>
        <v>-0.25592070521281457</v>
      </c>
      <c r="N948" s="33">
        <f>+N602/[15]Result!$G$28</f>
        <v>1.5902884942990747E-2</v>
      </c>
      <c r="O948" s="25">
        <f>+O602/[16]Result!$G$28</f>
        <v>4.4401691394747402E-2</v>
      </c>
      <c r="P948" s="25">
        <f>+P602/[17]Result!$G$28</f>
        <v>9.7312864313521177E-3</v>
      </c>
      <c r="Q948" s="33">
        <f>+Q602/[18]Result!$G$28</f>
        <v>-7.749423773595626E-3</v>
      </c>
      <c r="R948" s="33">
        <f>+R602/[19]Result!$G$28</f>
        <v>2.8221492972478192E-3</v>
      </c>
      <c r="S948" s="34">
        <f>+S602/[20]Result!$G$28</f>
        <v>1.6144029534737002E-2</v>
      </c>
    </row>
    <row r="949" spans="1:19" hidden="1" outlineLevel="2" x14ac:dyDescent="0.25">
      <c r="A949" s="16" t="s">
        <v>30</v>
      </c>
      <c r="B949" s="25">
        <f>+B603/[21]Result!$G$29</f>
        <v>-2.1336743828068563E-2</v>
      </c>
      <c r="C949" s="25">
        <f>+C603/[1]Result!$G$29</f>
        <v>2.5322992400843947E-2</v>
      </c>
      <c r="D949" s="33">
        <f>+D603/[5]Result!$G$29</f>
        <v>-0.11654120457618669</v>
      </c>
      <c r="E949" s="25">
        <f>+E603/[6]Result!$G$29</f>
        <v>3.5620692237527285E-2</v>
      </c>
      <c r="F949" s="25">
        <f>+F603/[7]Result!$G$29</f>
        <v>-3.3141150692871338E-2</v>
      </c>
      <c r="G949" s="33">
        <f>+G603/[8]Result!$G$29</f>
        <v>-3.7354924011648083E-2</v>
      </c>
      <c r="H949" s="25">
        <f>+H603/[9]Result!$G$29</f>
        <v>-1.7651945372838412E-2</v>
      </c>
      <c r="I949" s="25">
        <f>+I603/[10]Result!$G$29</f>
        <v>-1.7754925411027276E-2</v>
      </c>
      <c r="J949" s="33">
        <f>+J603/[11]Result!$G$29</f>
        <v>6.1638154831076937E-2</v>
      </c>
      <c r="K949" s="25">
        <f>+K603/[12]Result!$G$29</f>
        <v>5.8939311950054977E-4</v>
      </c>
      <c r="L949" s="25">
        <f>+L603/[13]Result!$G$29</f>
        <v>-3.8453658050504699E-2</v>
      </c>
      <c r="M949" s="25">
        <f>+M603/[14]Result!$G$29</f>
        <v>-0.28247852711449145</v>
      </c>
      <c r="N949" s="33">
        <f>+N603/[15]Result!$G$29</f>
        <v>1.6823280869838943E-2</v>
      </c>
      <c r="O949" s="25">
        <f>+O603/[16]Result!$G$29</f>
        <v>4.5593257278116826E-2</v>
      </c>
      <c r="P949" s="25">
        <f>+P603/[17]Result!$G$29</f>
        <v>-1.442042135716E-3</v>
      </c>
      <c r="Q949" s="33">
        <f>+Q603/[18]Result!$G$29</f>
        <v>-7.8448633169425075E-3</v>
      </c>
      <c r="R949" s="33">
        <f>+R603/[19]Result!$G$29</f>
        <v>2.4713185521693191E-3</v>
      </c>
      <c r="S949" s="34">
        <f>+S603/[20]Result!$G$29</f>
        <v>1.671724416923492E-2</v>
      </c>
    </row>
    <row r="950" spans="1:19" hidden="1" outlineLevel="2" x14ac:dyDescent="0.25">
      <c r="A950" s="16" t="s">
        <v>31</v>
      </c>
      <c r="B950" s="25">
        <f>+B604/[21]Result!$G$30</f>
        <v>-2.2194807004000189E-2</v>
      </c>
      <c r="C950" s="25">
        <f>+C604/[1]Result!$G$30</f>
        <v>2.7251914407548646E-2</v>
      </c>
      <c r="D950" s="33">
        <f>+D604/[5]Result!$G$30</f>
        <v>-0.11935499396707401</v>
      </c>
      <c r="E950" s="25">
        <f>+E604/[6]Result!$G$30</f>
        <v>3.5187901160568288E-2</v>
      </c>
      <c r="F950" s="25">
        <f>+F604/[7]Result!$G$30</f>
        <v>-3.4230117752859369E-2</v>
      </c>
      <c r="G950" s="33">
        <f>+G604/[8]Result!$G$30</f>
        <v>-4.5463133844215707E-2</v>
      </c>
      <c r="H950" s="25">
        <f>+H604/[9]Result!$G$30</f>
        <v>-1.800317742029876E-2</v>
      </c>
      <c r="I950" s="25">
        <f>+I604/[10]Result!$G$30</f>
        <v>-1.8592134920849757E-2</v>
      </c>
      <c r="J950" s="33">
        <f>+J604/[11]Result!$G$30</f>
        <v>7.6297533019859032E-2</v>
      </c>
      <c r="K950" s="25">
        <f>+K604/[12]Result!$G$30</f>
        <v>3.6810195595734515E-4</v>
      </c>
      <c r="L950" s="25">
        <f>+L604/[13]Result!$G$30</f>
        <v>-3.9636103662073999E-2</v>
      </c>
      <c r="M950" s="25">
        <f>+M604/[14]Result!$G$30</f>
        <v>-0.33391334925532246</v>
      </c>
      <c r="N950" s="33">
        <f>+N604/[15]Result!$G$30</f>
        <v>1.7639272402957464E-2</v>
      </c>
      <c r="O950" s="25">
        <f>+O604/[16]Result!$G$30</f>
        <v>4.6725955993137301E-2</v>
      </c>
      <c r="P950" s="25">
        <f>+P604/[17]Result!$G$30</f>
        <v>-3.1281121395133107E-4</v>
      </c>
      <c r="Q950" s="33">
        <f>+Q604/[18]Result!$G$30</f>
        <v>-7.9212137362364883E-3</v>
      </c>
      <c r="R950" s="33">
        <f>+R604/[19]Result!$G$30</f>
        <v>2.2046878126560877E-3</v>
      </c>
      <c r="S950" s="34">
        <f>+S604/[20]Result!$G$30</f>
        <v>1.7156514981421137E-2</v>
      </c>
    </row>
    <row r="951" spans="1:19" hidden="1" outlineLevel="2" x14ac:dyDescent="0.25">
      <c r="A951" s="16" t="s">
        <v>32</v>
      </c>
      <c r="B951" s="25">
        <f>+B605/[21]Result!$G$31</f>
        <v>-2.3051634509629479E-2</v>
      </c>
      <c r="C951" s="25">
        <f>+C605/[1]Result!$G$31</f>
        <v>2.8858552623303075E-2</v>
      </c>
      <c r="D951" s="33">
        <f>+D605/[5]Result!$G$31</f>
        <v>-0.11454171165763487</v>
      </c>
      <c r="E951" s="25">
        <f>+E605/[6]Result!$G$31</f>
        <v>3.4869282881043941E-2</v>
      </c>
      <c r="F951" s="25">
        <f>+F605/[7]Result!$G$31</f>
        <v>-3.5298466344360888E-2</v>
      </c>
      <c r="G951" s="33">
        <f>+G605/[8]Result!$G$31</f>
        <v>-4.6394967195217796E-2</v>
      </c>
      <c r="H951" s="25">
        <f>+H605/[9]Result!$G$31</f>
        <v>-1.8200653821151446E-2</v>
      </c>
      <c r="I951" s="25">
        <f>+I605/[10]Result!$G$31</f>
        <v>-1.9313255318818879E-2</v>
      </c>
      <c r="J951" s="33">
        <f>+J605/[11]Result!$G$31</f>
        <v>9.6754062280493505E-2</v>
      </c>
      <c r="K951" s="25">
        <f>+K605/[12]Result!$G$31</f>
        <v>3.8224039274512201E-4</v>
      </c>
      <c r="L951" s="25">
        <f>+L605/[13]Result!$G$31</f>
        <v>-4.0667378292208338E-2</v>
      </c>
      <c r="M951" s="25">
        <f>+M605/[14]Result!$G$31</f>
        <v>-0.40965032357313114</v>
      </c>
      <c r="N951" s="33">
        <f>+N605/[15]Result!$G$31</f>
        <v>1.8595308347303104E-2</v>
      </c>
      <c r="O951" s="25">
        <f>+O605/[16]Result!$G$31</f>
        <v>4.7666632560497045E-2</v>
      </c>
      <c r="P951" s="25">
        <f>+P605/[17]Result!$G$31</f>
        <v>-2.3385871200707234E-3</v>
      </c>
      <c r="Q951" s="33">
        <f>+Q605/[18]Result!$G$31</f>
        <v>-7.9784709283817271E-3</v>
      </c>
      <c r="R951" s="33">
        <f>+R605/[19]Result!$G$31</f>
        <v>2.0361892952044324E-3</v>
      </c>
      <c r="S951" s="34">
        <f>+S605/[20]Result!$G$31</f>
        <v>1.7447225787455833E-2</v>
      </c>
    </row>
    <row r="952" spans="1:19" hidden="1" outlineLevel="2" x14ac:dyDescent="0.25">
      <c r="A952" s="16" t="s">
        <v>33</v>
      </c>
      <c r="B952" s="25">
        <f>+B606/[21]Result!$G$32</f>
        <v>-2.37776174112856E-2</v>
      </c>
      <c r="C952" s="25">
        <f>+C606/[1]Result!$G$32</f>
        <v>3.0369981406690266E-2</v>
      </c>
      <c r="D952" s="33">
        <f>+D606/[5]Result!$G$32</f>
        <v>-0.10899473689844418</v>
      </c>
      <c r="E952" s="25">
        <f>+E606/[6]Result!$G$32</f>
        <v>3.4557508113270775E-2</v>
      </c>
      <c r="F952" s="25">
        <f>+F606/[7]Result!$G$32</f>
        <v>-3.6218725801610771E-2</v>
      </c>
      <c r="G952" s="33">
        <f>+G606/[8]Result!$G$32</f>
        <v>-4.4503138678768608E-2</v>
      </c>
      <c r="H952" s="25">
        <f>+H606/[9]Result!$G$32</f>
        <v>-1.8360174837826919E-2</v>
      </c>
      <c r="I952" s="25">
        <f>+I606/[10]Result!$G$32</f>
        <v>-1.9903659890513247E-2</v>
      </c>
      <c r="J952" s="33">
        <f>+J606/[11]Result!$G$32</f>
        <v>0.14738872140470433</v>
      </c>
      <c r="K952" s="25">
        <f>+K606/[12]Result!$G$32</f>
        <v>2.6511824333220129E-4</v>
      </c>
      <c r="L952" s="25">
        <f>+L606/[13]Result!$G$32</f>
        <v>-4.1534210998610495E-2</v>
      </c>
      <c r="M952" s="25">
        <f>+M606/[14]Result!$G$32</f>
        <v>-0.48178931201893405</v>
      </c>
      <c r="N952" s="33">
        <f>+N606/[15]Result!$G$32</f>
        <v>1.9303782253044573E-2</v>
      </c>
      <c r="O952" s="25">
        <f>+O606/[16]Result!$G$32</f>
        <v>4.8675066475732144E-2</v>
      </c>
      <c r="P952" s="25">
        <f>+P606/[17]Result!$G$32</f>
        <v>6.9914502701078213E-2</v>
      </c>
      <c r="Q952" s="33">
        <f>+Q606/[18]Result!$G$32</f>
        <v>-8.0166834065614357E-3</v>
      </c>
      <c r="R952" s="33">
        <f>+R606/[19]Result!$G$32</f>
        <v>1.8493783765352405E-3</v>
      </c>
      <c r="S952" s="34">
        <f>+S606/[20]Result!$G$32</f>
        <v>1.7842284316264855E-2</v>
      </c>
    </row>
    <row r="953" spans="1:19" hidden="1" outlineLevel="2" x14ac:dyDescent="0.25">
      <c r="A953" s="16" t="s">
        <v>34</v>
      </c>
      <c r="B953" s="25">
        <f>+B607/[21]Result!$G$33</f>
        <v>-2.4358796761741013E-2</v>
      </c>
      <c r="C953" s="25">
        <f>+C607/[1]Result!$G$33</f>
        <v>3.1628625466708755E-2</v>
      </c>
      <c r="D953" s="33">
        <f>+D607/[5]Result!$G$33</f>
        <v>-3.1917744177736955E-2</v>
      </c>
      <c r="E953" s="25">
        <f>+E607/[6]Result!$G$33</f>
        <v>3.4267688406651349E-2</v>
      </c>
      <c r="F953" s="25">
        <f>+F607/[7]Result!$G$33</f>
        <v>-3.684521654835806E-2</v>
      </c>
      <c r="G953" s="33">
        <f>+G607/[8]Result!$G$33</f>
        <v>4.9962224261635671E-2</v>
      </c>
      <c r="H953" s="25">
        <f>+H607/[9]Result!$G$33</f>
        <v>-1.8616161691859694E-2</v>
      </c>
      <c r="I953" s="25">
        <f>+I607/[10]Result!$G$33</f>
        <v>-2.0618582682716564E-2</v>
      </c>
      <c r="J953" s="33">
        <f>+J607/[11]Result!$G$33</f>
        <v>0.168880352466939</v>
      </c>
      <c r="K953" s="25">
        <f>+K607/[12]Result!$G$33</f>
        <v>0</v>
      </c>
      <c r="L953" s="25">
        <f>+L607/[13]Result!$G$33</f>
        <v>-4.2353540674051678E-2</v>
      </c>
      <c r="M953" s="25">
        <f>+M607/[14]Result!$G$33</f>
        <v>-0.45614794720132007</v>
      </c>
      <c r="N953" s="33">
        <f>+N607/[15]Result!$G$33</f>
        <v>1.9872290576051999E-2</v>
      </c>
      <c r="O953" s="25">
        <f>+O607/[16]Result!$G$33</f>
        <v>4.9769021530675583E-2</v>
      </c>
      <c r="P953" s="25">
        <f>+P607/[17]Result!$G$33</f>
        <v>0.13318534908089136</v>
      </c>
      <c r="Q953" s="33">
        <f>+Q607/[18]Result!$G$33</f>
        <v>-8.0358469857248135E-3</v>
      </c>
      <c r="R953" s="33">
        <f>+R607/[19]Result!$G$33</f>
        <v>1.5055712775833123E-3</v>
      </c>
      <c r="S953" s="34">
        <f>+S607/[20]Result!$G$33</f>
        <v>1.8358012240648074E-2</v>
      </c>
    </row>
    <row r="954" spans="1:19" hidden="1" outlineLevel="2" x14ac:dyDescent="0.25">
      <c r="A954" s="16" t="s">
        <v>35</v>
      </c>
      <c r="B954" s="25">
        <f>+B608/[21]Result!$G$34</f>
        <v>-2.4781889145031932E-2</v>
      </c>
      <c r="C954" s="25">
        <f>+C608/[1]Result!$G$34</f>
        <v>3.2604093789343536E-2</v>
      </c>
      <c r="D954" s="33">
        <f>+D608/[5]Result!$G$34</f>
        <v>-3.6776653879367703E-2</v>
      </c>
      <c r="E954" s="25">
        <f>+E608/[6]Result!$G$34</f>
        <v>3.3868375056216954E-2</v>
      </c>
      <c r="F954" s="25">
        <f>+F608/[7]Result!$G$34</f>
        <v>-3.7287290346925704E-2</v>
      </c>
      <c r="G954" s="33">
        <f>+G608/[8]Result!$G$34</f>
        <v>4.253612428075406E-2</v>
      </c>
      <c r="H954" s="25">
        <f>+H608/[9]Result!$G$34</f>
        <v>-1.8844388792296773E-2</v>
      </c>
      <c r="I954" s="25">
        <f>+I608/[10]Result!$G$34</f>
        <v>-2.1194578482234123E-2</v>
      </c>
      <c r="J954" s="33">
        <f>+J608/[11]Result!$G$34</f>
        <v>1.4194464045500531E-2</v>
      </c>
      <c r="K954" s="25">
        <f>+K608/[12]Result!$G$34</f>
        <v>0</v>
      </c>
      <c r="L954" s="25">
        <f>+L608/[13]Result!$G$34</f>
        <v>-4.3127089907014839E-2</v>
      </c>
      <c r="M954" s="25">
        <f>+M608/[14]Result!$G$34</f>
        <v>-0.37538021739218774</v>
      </c>
      <c r="N954" s="33">
        <f>+N608/[15]Result!$G$34</f>
        <v>2.043237867874307E-2</v>
      </c>
      <c r="O954" s="25">
        <f>+O608/[16]Result!$G$34</f>
        <v>5.0812636947067023E-2</v>
      </c>
      <c r="P954" s="25">
        <f>+P608/[17]Result!$G$34</f>
        <v>7.4149887847974744E-2</v>
      </c>
      <c r="Q954" s="33">
        <f>+Q608/[18]Result!$G$34</f>
        <v>-8.0359283943621327E-3</v>
      </c>
      <c r="R954" s="33">
        <f>+R608/[19]Result!$G$34</f>
        <v>1.2750710897217988E-3</v>
      </c>
      <c r="S954" s="34">
        <f>+S608/[20]Result!$G$34</f>
        <v>1.8719607508647002E-2</v>
      </c>
    </row>
    <row r="955" spans="1:19" hidden="1" outlineLevel="1" x14ac:dyDescent="0.25">
      <c r="A955" s="15" t="s">
        <v>36</v>
      </c>
      <c r="B955" s="25">
        <f>+B609/'[21]Stat by Mat'!$J$7</f>
        <v>-2.5741818924304469E-2</v>
      </c>
      <c r="C955" s="25">
        <f>+C609/'[1]Stat by Mat'!$J$7</f>
        <v>3.4734082962077688E-2</v>
      </c>
      <c r="D955" s="33">
        <f>+D609/'[5]Stat by Mat'!$J$7</f>
        <v>-5.3538810986084401E-2</v>
      </c>
      <c r="E955" s="25">
        <f>+E609/'[6]Stat by Mat'!$J$7</f>
        <v>3.3322802811511225E-2</v>
      </c>
      <c r="F955" s="25">
        <f>+F609/'[7]Stat by Mat'!$J$7</f>
        <v>-3.8562724860518031E-2</v>
      </c>
      <c r="G955" s="33">
        <f>+G609/'[8]Stat by Mat'!$J$7</f>
        <v>1.2366899465598855E-2</v>
      </c>
      <c r="H955" s="25">
        <f>+H609/'[9]Stat by Mat'!$J$7</f>
        <v>-1.9095006039332101E-2</v>
      </c>
      <c r="I955" s="25">
        <f>+I609/'[10]Stat by Mat'!$J$7</f>
        <v>-2.2375747338924532E-2</v>
      </c>
      <c r="J955" s="33">
        <f>+J609/'[11]Stat by Mat'!$J$7</f>
        <v>4.4460954822597168E-2</v>
      </c>
      <c r="K955" s="25">
        <f>+K609/'[12]Stat by Mat'!$J$7</f>
        <v>-3.1211608295673152E-4</v>
      </c>
      <c r="L955" s="25">
        <f>+L609/'[13]Stat by Mat'!$J$7</f>
        <v>-4.4867406170251749E-2</v>
      </c>
      <c r="M955" s="25">
        <f>+M609/'[14]Stat by Mat'!$J$7</f>
        <v>-0.54615269122935495</v>
      </c>
      <c r="N955" s="33">
        <f>+N609/'[15]Stat by Mat'!$J$7</f>
        <v>2.1747966304119348E-2</v>
      </c>
      <c r="O955" s="25">
        <f>+O609/'[16]Stat by Mat'!$J$7</f>
        <v>5.3462120743260996E-2</v>
      </c>
      <c r="P955" s="25">
        <f>+P609/'[17]Stat by Mat'!$J$7</f>
        <v>0.32492713982385985</v>
      </c>
      <c r="Q955" s="33">
        <f>+Q609/'[18]Stat by Mat'!$J$7</f>
        <v>-7.9652935221323894E-3</v>
      </c>
      <c r="R955" s="33">
        <f>+R609/'[19]Stat by Mat'!$J$7</f>
        <v>7.2764586907396369E-4</v>
      </c>
      <c r="S955" s="34">
        <f>+S609/'[20]Stat by Mat'!$J$7</f>
        <v>1.9490699653355682E-2</v>
      </c>
    </row>
    <row r="956" spans="1:19" hidden="1" outlineLevel="2" x14ac:dyDescent="0.25">
      <c r="A956" s="16" t="s">
        <v>37</v>
      </c>
      <c r="B956" s="25">
        <f>+B610/[21]Result!$G$35</f>
        <v>-2.5175643635064034E-2</v>
      </c>
      <c r="C956" s="25">
        <f>+C610/[1]Result!$G$35</f>
        <v>3.341740885984118E-2</v>
      </c>
      <c r="D956" s="33">
        <f>+D610/[5]Result!$G$35</f>
        <v>-4.5379063810821484E-2</v>
      </c>
      <c r="E956" s="25">
        <f>+E610/[6]Result!$G$35</f>
        <v>3.3661870629240732E-2</v>
      </c>
      <c r="F956" s="25">
        <f>+F610/[7]Result!$G$35</f>
        <v>-3.7814385697559801E-2</v>
      </c>
      <c r="G956" s="33">
        <f>+G610/[8]Result!$G$35</f>
        <v>2.1022136147829818E-2</v>
      </c>
      <c r="H956" s="25">
        <f>+H610/[9]Result!$G$35</f>
        <v>-1.8899825978640941E-2</v>
      </c>
      <c r="I956" s="25">
        <f>+I610/[10]Result!$G$35</f>
        <v>-2.1616908727334884E-2</v>
      </c>
      <c r="J956" s="33">
        <f>+J610/[11]Result!$G$35</f>
        <v>2.1918328861401229E-2</v>
      </c>
      <c r="K956" s="25">
        <f>+K610/[12]Result!$G$35</f>
        <v>-1.4603649660153945E-4</v>
      </c>
      <c r="L956" s="25">
        <f>+L610/[13]Result!$G$35</f>
        <v>-4.3713506845436213E-2</v>
      </c>
      <c r="M956" s="25">
        <f>+M610/[14]Result!$G$35</f>
        <v>-0.41828971068278137</v>
      </c>
      <c r="N956" s="33">
        <f>+N610/[15]Result!$G$35</f>
        <v>2.0833211323369284E-2</v>
      </c>
      <c r="O956" s="25">
        <f>+O610/[16]Result!$G$35</f>
        <v>5.1807961400805111E-2</v>
      </c>
      <c r="P956" s="25">
        <f>+P610/[17]Result!$G$35</f>
        <v>0.11307251593128073</v>
      </c>
      <c r="Q956" s="33">
        <f>+Q610/[18]Result!$G$35</f>
        <v>-8.0169656582867264E-3</v>
      </c>
      <c r="R956" s="33">
        <f>+R610/[19]Result!$G$35</f>
        <v>1.1712660697092111E-3</v>
      </c>
      <c r="S956" s="34">
        <f>+S610/[20]Result!$G$35</f>
        <v>1.8913287803727613E-2</v>
      </c>
    </row>
    <row r="957" spans="1:19" hidden="1" outlineLevel="2" x14ac:dyDescent="0.25">
      <c r="A957" s="16" t="s">
        <v>38</v>
      </c>
      <c r="B957" s="25">
        <f>+B611/[21]Result!$G$36</f>
        <v>-2.5541818817973364E-2</v>
      </c>
      <c r="C957" s="25">
        <f>+C611/[1]Result!$G$36</f>
        <v>3.4211204598264183E-2</v>
      </c>
      <c r="D957" s="33">
        <f>+D611/[5]Result!$G$36</f>
        <v>-5.9314802009480368E-2</v>
      </c>
      <c r="E957" s="25">
        <f>+E611/[6]Result!$G$36</f>
        <v>3.3524981121548753E-2</v>
      </c>
      <c r="F957" s="25">
        <f>+F611/[7]Result!$G$36</f>
        <v>-3.8295592116715363E-2</v>
      </c>
      <c r="G957" s="33">
        <f>+G611/[8]Result!$G$36</f>
        <v>4.3532426938681281E-3</v>
      </c>
      <c r="H957" s="25">
        <f>+H611/[9]Result!$G$36</f>
        <v>-1.9065541324307746E-2</v>
      </c>
      <c r="I957" s="25">
        <f>+I611/[10]Result!$G$36</f>
        <v>-2.2020180973655715E-2</v>
      </c>
      <c r="J957" s="33">
        <f>+J611/[11]Result!$G$36</f>
        <v>4.9897530974820352E-2</v>
      </c>
      <c r="K957" s="25">
        <f>+K611/[12]Result!$G$36</f>
        <v>-3.0285466525581883E-4</v>
      </c>
      <c r="L957" s="25">
        <f>+L611/[13]Result!$G$36</f>
        <v>-4.4244375375719389E-2</v>
      </c>
      <c r="M957" s="25">
        <f>+M611/[14]Result!$G$36</f>
        <v>-0.52112794939988349</v>
      </c>
      <c r="N957" s="33">
        <f>+N611/[15]Result!$G$36</f>
        <v>2.1368121105198139E-2</v>
      </c>
      <c r="O957" s="25">
        <f>+O611/[16]Result!$G$36</f>
        <v>5.2594212266195914E-2</v>
      </c>
      <c r="P957" s="25">
        <f>+P611/[17]Result!$G$36</f>
        <v>0.2132904182365058</v>
      </c>
      <c r="Q957" s="33">
        <f>+Q611/[18]Result!$G$36</f>
        <v>-7.9789585080127859E-3</v>
      </c>
      <c r="R957" s="33">
        <f>+R611/[19]Result!$G$36</f>
        <v>1.0591342712216319E-3</v>
      </c>
      <c r="S957" s="34">
        <f>+S611/[20]Result!$G$36</f>
        <v>1.9076353034695077E-2</v>
      </c>
    </row>
    <row r="958" spans="1:19" hidden="1" outlineLevel="2" x14ac:dyDescent="0.25">
      <c r="A958" s="16" t="s">
        <v>39</v>
      </c>
      <c r="B958" s="25">
        <f>+B612/[21]Result!$G$37</f>
        <v>-2.5726122978526545E-2</v>
      </c>
      <c r="C958" s="25">
        <f>+C612/[1]Result!$G$37</f>
        <v>3.4823569880838866E-2</v>
      </c>
      <c r="D958" s="33">
        <f>+D612/[5]Result!$G$37</f>
        <v>-5.5075684500721991E-2</v>
      </c>
      <c r="E958" s="25">
        <f>+E612/[6]Result!$G$37</f>
        <v>3.3144644620500464E-2</v>
      </c>
      <c r="F958" s="25">
        <f>+F612/[7]Result!$G$37</f>
        <v>-3.8578838519575151E-2</v>
      </c>
      <c r="G958" s="33">
        <f>+G612/[8]Result!$G$37</f>
        <v>3.8488873454523365E-3</v>
      </c>
      <c r="H958" s="25">
        <f>+H612/[9]Result!$G$37</f>
        <v>-1.9051664146252405E-2</v>
      </c>
      <c r="I958" s="25">
        <f>+I612/[10]Result!$G$37</f>
        <v>-2.2404557699419139E-2</v>
      </c>
      <c r="J958" s="33">
        <f>+J612/[11]Result!$G$37</f>
        <v>8.5106633939093193E-2</v>
      </c>
      <c r="K958" s="25">
        <f>+K612/[12]Result!$G$37</f>
        <v>-3.1244859856758276E-4</v>
      </c>
      <c r="L958" s="25">
        <f>+L612/[13]Result!$G$37</f>
        <v>-4.4868258002072045E-2</v>
      </c>
      <c r="M958" s="25">
        <f>+M612/[14]Result!$G$37</f>
        <v>-0.60224679013727012</v>
      </c>
      <c r="N958" s="33">
        <f>+N612/[15]Result!$G$37</f>
        <v>2.1895124068233893E-2</v>
      </c>
      <c r="O958" s="25">
        <f>+O612/[16]Result!$G$37</f>
        <v>5.3320182604320102E-2</v>
      </c>
      <c r="P958" s="25">
        <f>+P612/[17]Result!$G$37</f>
        <v>0.3388947932185799</v>
      </c>
      <c r="Q958" s="33">
        <f>+Q612/[18]Result!$G$37</f>
        <v>-7.9219055772144983E-3</v>
      </c>
      <c r="R958" s="33">
        <f>+R612/[19]Result!$G$37</f>
        <v>7.8072461604126358E-4</v>
      </c>
      <c r="S958" s="34">
        <f>+S612/[20]Result!$G$37</f>
        <v>1.9369653139449917E-2</v>
      </c>
    </row>
    <row r="959" spans="1:19" hidden="1" outlineLevel="2" x14ac:dyDescent="0.25">
      <c r="A959" s="16" t="s">
        <v>40</v>
      </c>
      <c r="B959" s="25">
        <f>+B613/[21]Result!$G$38</f>
        <v>-2.5872685042784071E-2</v>
      </c>
      <c r="C959" s="25">
        <f>+C613/[1]Result!$G$38</f>
        <v>3.5237869633991475E-2</v>
      </c>
      <c r="D959" s="33">
        <f>+D613/[5]Result!$G$38</f>
        <v>-4.8430862999571847E-2</v>
      </c>
      <c r="E959" s="25">
        <f>+E613/[6]Result!$G$38</f>
        <v>3.317430307340663E-2</v>
      </c>
      <c r="F959" s="25">
        <f>+F613/[7]Result!$G$38</f>
        <v>-3.8960848071999031E-2</v>
      </c>
      <c r="G959" s="33">
        <f>+G613/[8]Result!$G$38</f>
        <v>7.5629610724147426E-3</v>
      </c>
      <c r="H959" s="25">
        <f>+H613/[9]Result!$G$38</f>
        <v>-1.8996917013130492E-2</v>
      </c>
      <c r="I959" s="25">
        <f>+I613/[10]Result!$G$38</f>
        <v>-2.2769877718467672E-2</v>
      </c>
      <c r="J959" s="33">
        <f>+J613/[11]Result!$G$38</f>
        <v>5.0787101575519765E-2</v>
      </c>
      <c r="K959" s="25">
        <f>+K613/[12]Result!$G$38</f>
        <v>-3.2204189632195043E-4</v>
      </c>
      <c r="L959" s="25">
        <f>+L613/[13]Result!$G$38</f>
        <v>-4.5447609822822754E-2</v>
      </c>
      <c r="M959" s="25">
        <f>+M613/[14]Result!$G$38</f>
        <v>-0.65178940090123216</v>
      </c>
      <c r="N959" s="33">
        <f>+N613/[15]Result!$G$38</f>
        <v>2.2247626869685885E-2</v>
      </c>
      <c r="O959" s="25">
        <f>+O613/[16]Result!$G$38</f>
        <v>5.4154574146817361E-2</v>
      </c>
      <c r="P959" s="25">
        <f>+P613/[17]Result!$G$38</f>
        <v>0.38948368550253953</v>
      </c>
      <c r="Q959" s="33">
        <f>+Q613/[18]Result!$G$38</f>
        <v>-7.845804402697984E-3</v>
      </c>
      <c r="R959" s="33">
        <f>+R613/[19]Result!$G$38</f>
        <v>4.8319565561916102E-4</v>
      </c>
      <c r="S959" s="34">
        <f>+S613/[20]Result!$G$38</f>
        <v>1.9643445395456753E-2</v>
      </c>
    </row>
    <row r="960" spans="1:19" hidden="1" outlineLevel="2" x14ac:dyDescent="0.25">
      <c r="A960" s="16" t="s">
        <v>41</v>
      </c>
      <c r="B960" s="25">
        <f>+B614/[21]Result!$G$39</f>
        <v>-2.6142932821651803E-2</v>
      </c>
      <c r="C960" s="25">
        <f>+C614/[1]Result!$G$39</f>
        <v>3.578386276339228E-2</v>
      </c>
      <c r="D960" s="33">
        <f>+D614/[5]Result!$G$39</f>
        <v>-7.3039303618516252E-2</v>
      </c>
      <c r="E960" s="25">
        <f>+E614/[6]Result!$G$39</f>
        <v>3.3147603810258934E-2</v>
      </c>
      <c r="F960" s="25">
        <f>+F614/[7]Result!$G$39</f>
        <v>-3.9139087146412059E-2</v>
      </c>
      <c r="G960" s="33">
        <f>+G614/[8]Result!$G$39</f>
        <v>-4.6657061867033086E-3</v>
      </c>
      <c r="H960" s="25">
        <f>+H614/[9]Result!$G$39</f>
        <v>-1.9231564275565566E-2</v>
      </c>
      <c r="I960" s="25">
        <f>+I614/[10]Result!$G$39</f>
        <v>-2.2955166855569947E-2</v>
      </c>
      <c r="J960" s="33">
        <f>+J614/[11]Result!$G$39</f>
        <v>2.9673021900123029E-2</v>
      </c>
      <c r="K960" s="25">
        <f>+K614/[12]Result!$G$39</f>
        <v>-3.316338104816968E-4</v>
      </c>
      <c r="L960" s="25">
        <f>+L614/[13]Result!$G$39</f>
        <v>-4.5821872818299594E-2</v>
      </c>
      <c r="M960" s="25">
        <f>+M614/[14]Result!$G$39</f>
        <v>-0.70618466199135488</v>
      </c>
      <c r="N960" s="33">
        <f>+N614/[15]Result!$G$39</f>
        <v>2.2580699094109404E-2</v>
      </c>
      <c r="O960" s="25">
        <f>+O614/[16]Result!$G$39</f>
        <v>5.4941128883058833E-2</v>
      </c>
      <c r="P960" s="25">
        <f>+P614/[17]Result!$G$39</f>
        <v>0.47590896631436613</v>
      </c>
      <c r="Q960" s="33">
        <f>+Q614/[18]Result!$G$39</f>
        <v>-7.9138296209488677E-3</v>
      </c>
      <c r="R960" s="33">
        <f>+R614/[19]Result!$G$39</f>
        <v>3.3107257755757638E-4</v>
      </c>
      <c r="S960" s="34">
        <f>+S614/[20]Result!$G$39</f>
        <v>1.9897715451224932E-2</v>
      </c>
    </row>
    <row r="961" spans="1:20" hidden="1" outlineLevel="2" x14ac:dyDescent="0.25">
      <c r="A961" s="16" t="s">
        <v>42</v>
      </c>
      <c r="B961" s="25">
        <f>+B615/[21]Result!$G$40</f>
        <v>-2.6386795539960928E-2</v>
      </c>
      <c r="C961" s="25">
        <f>+C615/[1]Result!$G$40</f>
        <v>3.6302070640236425E-2</v>
      </c>
      <c r="D961" s="33">
        <f>+D615/[5]Result!$G$40</f>
        <v>-6.5754781904694415E-2</v>
      </c>
      <c r="E961" s="25">
        <f>+E615/[6]Result!$G$40</f>
        <v>3.2881577598691793E-2</v>
      </c>
      <c r="F961" s="25">
        <f>+F615/[7]Result!$G$40</f>
        <v>-3.9257975513320588E-2</v>
      </c>
      <c r="G961" s="33">
        <f>+G615/[8]Result!$G$40</f>
        <v>7.8559883643384842E-3</v>
      </c>
      <c r="H961" s="25">
        <f>+H615/[9]Result!$G$40</f>
        <v>-1.9447355671915308E-2</v>
      </c>
      <c r="I961" s="25">
        <f>+I615/[10]Result!$G$40</f>
        <v>-2.3110320675482816E-2</v>
      </c>
      <c r="J961" s="33">
        <f>+J615/[11]Result!$G$40</f>
        <v>6.0336927757697896E-2</v>
      </c>
      <c r="K961" s="25">
        <f>+K615/[12]Result!$G$40</f>
        <v>-5.1066707210072938E-4</v>
      </c>
      <c r="L961" s="25">
        <f>+L615/[13]Result!$G$40</f>
        <v>-4.6140954725404304E-2</v>
      </c>
      <c r="M961" s="25">
        <f>+M615/[14]Result!$G$40</f>
        <v>-0.81903594527413781</v>
      </c>
      <c r="N961" s="33">
        <f>+N615/[15]Result!$G$40</f>
        <v>2.2894243231341843E-2</v>
      </c>
      <c r="O961" s="25">
        <f>+O615/[16]Result!$G$40</f>
        <v>5.5675295082676775E-2</v>
      </c>
      <c r="P961" s="25">
        <f>+P615/[17]Result!$G$40</f>
        <v>0.98232515795432518</v>
      </c>
      <c r="Q961" s="33">
        <f>+Q615/[18]Result!$G$40</f>
        <v>-7.9743945964420426E-3</v>
      </c>
      <c r="R961" s="33">
        <f>+R615/[19]Result!$G$40</f>
        <v>3.4066924309358952E-4</v>
      </c>
      <c r="S961" s="34">
        <f>+S615/[20]Result!$G$40</f>
        <v>1.9959897353443622E-2</v>
      </c>
    </row>
    <row r="962" spans="1:20" hidden="1" outlineLevel="2" x14ac:dyDescent="0.25">
      <c r="A962" s="16" t="s">
        <v>43</v>
      </c>
      <c r="B962" s="25">
        <f>+B616/[21]Result!$G$41</f>
        <v>-2.6600361189540359E-2</v>
      </c>
      <c r="C962" s="25">
        <f>+C616/[1]Result!$G$41</f>
        <v>3.6606727487605926E-2</v>
      </c>
      <c r="D962" s="33">
        <f>+D616/[5]Result!$G$41</f>
        <v>-5.0577225429358205E-2</v>
      </c>
      <c r="E962" s="25">
        <f>+E616/[6]Result!$G$41</f>
        <v>3.2728752544681237E-2</v>
      </c>
      <c r="F962" s="25">
        <f>+F616/[7]Result!$G$41</f>
        <v>-3.9493336390182161E-2</v>
      </c>
      <c r="G962" s="33">
        <f>+G616/[8]Result!$G$41</f>
        <v>1.8267506950708876E-2</v>
      </c>
      <c r="H962" s="25">
        <f>+H616/[9]Result!$G$41</f>
        <v>-1.9473296475813487E-2</v>
      </c>
      <c r="I962" s="25">
        <f>+I616/[10]Result!$G$41</f>
        <v>-2.340965903407068E-2</v>
      </c>
      <c r="J962" s="33">
        <f>+J616/[11]Result!$G$41</f>
        <v>9.4384883553278537E-2</v>
      </c>
      <c r="K962" s="25">
        <f>+K616/[12]Result!$G$41</f>
        <v>-5.2741644055442276E-4</v>
      </c>
      <c r="L962" s="25">
        <f>+L616/[13]Result!$G$41</f>
        <v>-4.6571019330854786E-2</v>
      </c>
      <c r="M962" s="25">
        <f>+M616/[14]Result!$G$41</f>
        <v>-0.92791805793144677</v>
      </c>
      <c r="N962" s="33">
        <f>+N616/[15]Result!$G$41</f>
        <v>2.3188378626709125E-2</v>
      </c>
      <c r="O962" s="25">
        <f>+O616/[16]Result!$G$41</f>
        <v>5.6361983675170632E-2</v>
      </c>
      <c r="P962" s="25">
        <f>+P616/[17]Result!$G$41</f>
        <v>2.9714238323691076</v>
      </c>
      <c r="Q962" s="33">
        <f>+Q616/[18]Result!$G$41</f>
        <v>-7.8506871270121042E-3</v>
      </c>
      <c r="R962" s="33">
        <f>+R616/[19]Result!$G$41</f>
        <v>1.7636403556966343E-4</v>
      </c>
      <c r="S962" s="34">
        <f>+S616/[20]Result!$G$41</f>
        <v>2.016783157689191E-2</v>
      </c>
    </row>
    <row r="963" spans="1:20" hidden="1" outlineLevel="2" x14ac:dyDescent="0.25">
      <c r="A963" s="16" t="s">
        <v>44</v>
      </c>
      <c r="B963" s="25">
        <f>+B617/[21]Result!$G$42</f>
        <v>-2.6788046202261249E-2</v>
      </c>
      <c r="C963" s="25">
        <f>+C617/[1]Result!$G$42</f>
        <v>3.6871526364150697E-2</v>
      </c>
      <c r="D963" s="33">
        <f>+D617/[5]Result!$G$42</f>
        <v>-2.4989487125350558E-2</v>
      </c>
      <c r="E963" s="25">
        <f>+E617/[6]Result!$G$42</f>
        <v>3.2701658503035552E-2</v>
      </c>
      <c r="F963" s="25">
        <f>+F617/[7]Result!$G$42</f>
        <v>-3.9680205164793592E-2</v>
      </c>
      <c r="G963" s="33">
        <f>+G617/[8]Result!$G$42</f>
        <v>3.4695954130345395E-2</v>
      </c>
      <c r="H963" s="25">
        <f>+H617/[9]Result!$G$42</f>
        <v>-1.9468542472249026E-2</v>
      </c>
      <c r="I963" s="25">
        <f>+I617/[10]Result!$G$42</f>
        <v>-2.3690092746783756E-2</v>
      </c>
      <c r="J963" s="33">
        <f>+J617/[11]Result!$G$42</f>
        <v>0.12561852648653368</v>
      </c>
      <c r="K963" s="25">
        <f>+K617/[12]Result!$G$42</f>
        <v>-5.3921154192162297E-4</v>
      </c>
      <c r="L963" s="25">
        <f>+L617/[13]Result!$G$42</f>
        <v>-4.6957423254125212E-2</v>
      </c>
      <c r="M963" s="25">
        <f>+M617/[14]Result!$G$42</f>
        <v>-0.97856680398468721</v>
      </c>
      <c r="N963" s="33">
        <f>+N617/[15]Result!$G$42</f>
        <v>2.364552328522776E-2</v>
      </c>
      <c r="O963" s="25">
        <f>+O617/[16]Result!$G$42</f>
        <v>5.6806997411109637E-2</v>
      </c>
      <c r="P963" s="25">
        <f>+P617/[17]Result!$G$42</f>
        <v>12.135994737255166</v>
      </c>
      <c r="Q963" s="33">
        <f>+Q617/[18]Result!$G$42</f>
        <v>-7.8850768350664669E-3</v>
      </c>
      <c r="R963" s="33">
        <f>+R617/[19]Result!$G$42</f>
        <v>0</v>
      </c>
      <c r="S963" s="34">
        <f>+S617/[20]Result!$G$42</f>
        <v>2.0543465416692032E-2</v>
      </c>
    </row>
    <row r="964" spans="1:20" hidden="1" outlineLevel="2" x14ac:dyDescent="0.25">
      <c r="A964" s="16" t="s">
        <v>45</v>
      </c>
      <c r="B964" s="25">
        <f>+B618/[21]Result!$G$43</f>
        <v>-2.6945072513652097E-2</v>
      </c>
      <c r="C964" s="25">
        <f>+C618/[1]Result!$G$43</f>
        <v>3.7096418203187889E-2</v>
      </c>
      <c r="D964" s="33">
        <f>+D618/[5]Result!$G$43</f>
        <v>-1.8818934788274386E-2</v>
      </c>
      <c r="E964" s="25">
        <f>+E618/[6]Result!$G$43</f>
        <v>3.2817710479552661E-2</v>
      </c>
      <c r="F964" s="25">
        <f>+F618/[7]Result!$G$43</f>
        <v>-4.0000064074287314E-2</v>
      </c>
      <c r="G964" s="33">
        <f>+G618/[8]Result!$G$43</f>
        <v>1.7533609492114084E-2</v>
      </c>
      <c r="H964" s="25">
        <f>+H618/[9]Result!$G$43</f>
        <v>-1.9618271288566219E-2</v>
      </c>
      <c r="I964" s="25">
        <f>+I618/[10]Result!$G$43</f>
        <v>-2.3951641574845934E-2</v>
      </c>
      <c r="J964" s="33">
        <f>+J618/[11]Result!$G$43</f>
        <v>3.9878759859132147E-2</v>
      </c>
      <c r="K964" s="25">
        <f>+K618/[12]Result!$G$43</f>
        <v>-7.3985444156618322E-4</v>
      </c>
      <c r="L964" s="25">
        <f>+L618/[13]Result!$G$43</f>
        <v>-4.7120619509269289E-2</v>
      </c>
      <c r="M964" s="25">
        <f>+M618/[14]Result!$G$43</f>
        <v>-1.0047572542510326</v>
      </c>
      <c r="N964" s="33">
        <f>+N618/[15]Result!$G$43</f>
        <v>2.3908488241705238E-2</v>
      </c>
      <c r="O964" s="25">
        <f>+O618/[16]Result!$G$43</f>
        <v>5.7384860630218783E-2</v>
      </c>
      <c r="P964" s="25">
        <f>+P618/[17]Result!$G$43</f>
        <v>-47.798746567887079</v>
      </c>
      <c r="Q964" s="33">
        <f>+Q618/[18]Result!$G$43</f>
        <v>-7.912619193869928E-3</v>
      </c>
      <c r="R964" s="33">
        <f>+R618/[19]Result!$G$43</f>
        <v>0</v>
      </c>
      <c r="S964" s="34">
        <f>+S618/[20]Result!$G$43</f>
        <v>2.0532506595164833E-2</v>
      </c>
    </row>
    <row r="965" spans="1:20" hidden="1" outlineLevel="2" x14ac:dyDescent="0.25">
      <c r="A965" s="16" t="s">
        <v>46</v>
      </c>
      <c r="B965" s="25">
        <f>+B619/[21]Result!$G$44</f>
        <v>-2.7076704358188122E-2</v>
      </c>
      <c r="C965" s="25">
        <f>+C619/[1]Result!$G$44</f>
        <v>3.7281433039581785E-2</v>
      </c>
      <c r="D965" s="33">
        <f>+D619/[5]Result!$G$44</f>
        <v>-0.10603270962891542</v>
      </c>
      <c r="E965" s="25">
        <f>+E619/[6]Result!$G$44</f>
        <v>3.2893919640935722E-2</v>
      </c>
      <c r="F965" s="25">
        <f>+F619/[7]Result!$G$44</f>
        <v>-4.0282740748289206E-2</v>
      </c>
      <c r="G965" s="33">
        <f>+G619/[8]Result!$G$44</f>
        <v>3.7523235684697433E-2</v>
      </c>
      <c r="H965" s="25">
        <f>+H619/[9]Result!$G$44</f>
        <v>-1.9564426683224216E-2</v>
      </c>
      <c r="I965" s="25">
        <f>+I619/[10]Result!$G$44</f>
        <v>-2.4194459657131333E-2</v>
      </c>
      <c r="J965" s="33">
        <f>+J619/[11]Result!$G$44</f>
        <v>-5.9492811320510521E-2</v>
      </c>
      <c r="K965" s="25">
        <f>+K619/[12]Result!$G$44</f>
        <v>-7.5902500951280881E-4</v>
      </c>
      <c r="L965" s="25">
        <f>+L619/[13]Result!$G$44</f>
        <v>-4.7408178678073988E-2</v>
      </c>
      <c r="M965" s="25">
        <f>+M619/[14]Result!$G$44</f>
        <v>-1.0386276868507955</v>
      </c>
      <c r="N965" s="33">
        <f>+N619/[15]Result!$G$44</f>
        <v>2.3953425301480404E-2</v>
      </c>
      <c r="O965" s="25">
        <f>+O619/[16]Result!$G$44</f>
        <v>5.8114468047558474E-2</v>
      </c>
      <c r="P965" s="25">
        <f>+P619/[17]Result!$G$44</f>
        <v>-7.1581575714820556</v>
      </c>
      <c r="Q965" s="33">
        <f>+Q619/[18]Result!$G$44</f>
        <v>-7.9277578341354037E-3</v>
      </c>
      <c r="R965" s="33">
        <f>+R619/[19]Result!$G$44</f>
        <v>0</v>
      </c>
      <c r="S965" s="34">
        <f>+S619/[20]Result!$G$44</f>
        <v>2.0489197295780599E-2</v>
      </c>
    </row>
    <row r="966" spans="1:20" hidden="1" outlineLevel="2" x14ac:dyDescent="0.25">
      <c r="A966" s="16" t="s">
        <v>47</v>
      </c>
      <c r="B966" s="25">
        <f>+B620/[21]Result!$G$45</f>
        <v>-2.6988712180448973E-2</v>
      </c>
      <c r="C966" s="25">
        <f>+C620/[1]Result!$G$45</f>
        <v>3.7426541708333212E-2</v>
      </c>
      <c r="D966" s="33">
        <f>+D620/[5]Result!$G$45</f>
        <v>-8.8475771500901343E-2</v>
      </c>
      <c r="E966" s="25">
        <f>+E620/[6]Result!$G$45</f>
        <v>3.2730474134280846E-2</v>
      </c>
      <c r="F966" s="25">
        <f>+F620/[7]Result!$G$45</f>
        <v>-4.034270041353958E-2</v>
      </c>
      <c r="G966" s="33">
        <f>+G620/[8]Result!$G$45</f>
        <v>4.2524385768813254E-2</v>
      </c>
      <c r="H966" s="25">
        <f>+H620/[9]Result!$G$45</f>
        <v>-1.9479283443097982E-2</v>
      </c>
      <c r="I966" s="25">
        <f>+I620/[10]Result!$G$45</f>
        <v>-2.4230162991402151E-2</v>
      </c>
      <c r="J966" s="33">
        <f>+J620/[11]Result!$G$45</f>
        <v>-6.224057517238997E-2</v>
      </c>
      <c r="K966" s="25">
        <f>+K620/[12]Result!$G$45</f>
        <v>-7.7819859395521825E-4</v>
      </c>
      <c r="L966" s="25">
        <f>+L620/[13]Result!$G$45</f>
        <v>-4.783664540784207E-2</v>
      </c>
      <c r="M966" s="25">
        <f>+M620/[14]Result!$G$45</f>
        <v>3.8754993692310586</v>
      </c>
      <c r="N966" s="33">
        <f>+N620/[15]Result!$G$45</f>
        <v>2.4169341020625491E-2</v>
      </c>
      <c r="O966" s="25">
        <f>+O620/[16]Result!$G$45</f>
        <v>5.8599980798915763E-2</v>
      </c>
      <c r="P966" s="25">
        <f>+P620/[17]Result!$G$45</f>
        <v>0.39154484038239623</v>
      </c>
      <c r="Q966" s="33">
        <f>+Q620/[18]Result!$G$45</f>
        <v>-7.9364585982743575E-3</v>
      </c>
      <c r="R966" s="33">
        <f>+R620/[19]Result!$G$45</f>
        <v>-1.9260839393671467E-4</v>
      </c>
      <c r="S966" s="34">
        <f>+S620/[20]Result!$G$45</f>
        <v>2.0812984881459051E-2</v>
      </c>
    </row>
    <row r="967" spans="1:20" hidden="1" outlineLevel="2" x14ac:dyDescent="0.25">
      <c r="A967" s="16" t="s">
        <v>48</v>
      </c>
      <c r="B967" s="25">
        <f>+B621/[21]Result!$G$46</f>
        <v>-2.7056339441494843E-2</v>
      </c>
      <c r="C967" s="25">
        <f>+C621/[1]Result!$G$46</f>
        <v>3.7737633778758627E-2</v>
      </c>
      <c r="D967" s="33">
        <f>+D621/[5]Result!$G$46</f>
        <v>-7.5308808235889008E-2</v>
      </c>
      <c r="E967" s="25">
        <f>+E621/[6]Result!$G$46</f>
        <v>3.2718756655598924E-2</v>
      </c>
      <c r="F967" s="25">
        <f>+F621/[7]Result!$G$46</f>
        <v>-4.0353467056599937E-2</v>
      </c>
      <c r="G967" s="33">
        <f>+G621/[8]Result!$G$46</f>
        <v>4.3257022663926309E-2</v>
      </c>
      <c r="H967" s="25">
        <f>+H621/[9]Result!$G$46</f>
        <v>-1.9563067109065205E-2</v>
      </c>
      <c r="I967" s="25">
        <f>+I621/[10]Result!$G$46</f>
        <v>-2.4234508092817214E-2</v>
      </c>
      <c r="J967" s="33">
        <f>+J621/[11]Result!$G$46</f>
        <v>-4.9459789065945003E-2</v>
      </c>
      <c r="K967" s="25">
        <f>+K621/[12]Result!$G$46</f>
        <v>-7.9736611633582561E-4</v>
      </c>
      <c r="L967" s="25">
        <f>+L621/[13]Result!$G$46</f>
        <v>-4.8040347807118175E-2</v>
      </c>
      <c r="M967" s="25">
        <f>+M621/[14]Result!$G$46</f>
        <v>3.3426804957928806</v>
      </c>
      <c r="N967" s="33">
        <f>+N621/[15]Result!$G$46</f>
        <v>2.4365648993846249E-2</v>
      </c>
      <c r="O967" s="25">
        <f>+O621/[16]Result!$G$46</f>
        <v>5.9031301557639672E-2</v>
      </c>
      <c r="P967" s="25">
        <f>+P621/[17]Result!$G$46</f>
        <v>0.72686924848804013</v>
      </c>
      <c r="Q967" s="33">
        <f>+Q621/[18]Result!$G$46</f>
        <v>-7.9323494261088479E-3</v>
      </c>
      <c r="R967" s="33">
        <f>+R621/[19]Result!$G$46</f>
        <v>-2.0082036573608667E-4</v>
      </c>
      <c r="S967" s="34">
        <f>+S621/[20]Result!$G$46</f>
        <v>2.0928957618347795E-2</v>
      </c>
    </row>
    <row r="968" spans="1:20" hidden="1" outlineLevel="2" x14ac:dyDescent="0.25">
      <c r="A968" s="16" t="s">
        <v>49</v>
      </c>
      <c r="B968" s="25">
        <f>+B622/[21]Result!$G$47</f>
        <v>-2.7296998596834557E-2</v>
      </c>
      <c r="C968" s="25">
        <f>+C622/[1]Result!$G$47</f>
        <v>3.8022462253552922E-2</v>
      </c>
      <c r="D968" s="33">
        <f>+D622/[5]Result!$G$47</f>
        <v>-5.8264078652373624E-2</v>
      </c>
      <c r="E968" s="25">
        <f>+E622/[6]Result!$G$47</f>
        <v>3.2884036239783074E-2</v>
      </c>
      <c r="F968" s="25">
        <f>+F622/[7]Result!$G$47</f>
        <v>-4.0516101504764333E-2</v>
      </c>
      <c r="G968" s="33">
        <f>+G622/[8]Result!$G$47</f>
        <v>3.311146772194476E-2</v>
      </c>
      <c r="H968" s="25">
        <f>+H622/[9]Result!$G$47</f>
        <v>-1.9628060477789231E-2</v>
      </c>
      <c r="I968" s="25">
        <f>+I622/[10]Result!$G$47</f>
        <v>-2.4411647218250409E-2</v>
      </c>
      <c r="J968" s="33">
        <f>+J622/[11]Result!$G$47</f>
        <v>-3.8643815052702479E-2</v>
      </c>
      <c r="K968" s="25">
        <f>+K622/[12]Result!$G$47</f>
        <v>-8.1653499844830868E-4</v>
      </c>
      <c r="L968" s="25">
        <f>+L622/[13]Result!$G$47</f>
        <v>-4.8194929225143936E-2</v>
      </c>
      <c r="M968" s="25">
        <f>+M622/[14]Result!$G$47</f>
        <v>2.3549325718433534</v>
      </c>
      <c r="N968" s="33">
        <f>+N622/[15]Result!$G$47</f>
        <v>2.4749200214812604E-2</v>
      </c>
      <c r="O968" s="25">
        <f>+O622/[16]Result!$G$47</f>
        <v>5.9416014487628795E-2</v>
      </c>
      <c r="P968" s="25">
        <f>+P622/[17]Result!$G$47</f>
        <v>0.6518738713340243</v>
      </c>
      <c r="Q968" s="33">
        <f>+Q622/[18]Result!$G$47</f>
        <v>-8.1226610224785587E-3</v>
      </c>
      <c r="R968" s="33">
        <f>+R622/[19]Result!$G$47</f>
        <v>-2.0199122694070817E-4</v>
      </c>
      <c r="S968" s="34">
        <f>+S622/[20]Result!$G$47</f>
        <v>2.0811819636796246E-2</v>
      </c>
    </row>
    <row r="969" spans="1:20" hidden="1" outlineLevel="2" x14ac:dyDescent="0.25">
      <c r="A969" s="16" t="s">
        <v>50</v>
      </c>
      <c r="B969" s="25">
        <f>+B623/[21]Result!$G$48</f>
        <v>-2.7316685621262812E-2</v>
      </c>
      <c r="C969" s="25">
        <f>+C623/[1]Result!$G$48</f>
        <v>-2.0527671277372116E-2</v>
      </c>
      <c r="D969" s="33">
        <f>+D623/[5]Result!$G$48</f>
        <v>0</v>
      </c>
      <c r="E969" s="25">
        <f>+E623/[6]Result!$G$48</f>
        <v>0</v>
      </c>
      <c r="F969" s="25">
        <f>+F623/[7]Result!$G$48</f>
        <v>-6.308945963160062E-2</v>
      </c>
      <c r="G969" s="33">
        <f>+G623/[8]Result!$G$48</f>
        <v>4.1039667107237922E-2</v>
      </c>
      <c r="H969" s="25">
        <f>+H623/[9]Result!$G$48</f>
        <v>0</v>
      </c>
      <c r="I969" s="25">
        <f>+I623/[10]Result!$G$48</f>
        <v>0</v>
      </c>
      <c r="J969" s="33">
        <f>+J623/[11]Result!$G$48</f>
        <v>0</v>
      </c>
      <c r="K969" s="25">
        <f>+K623/[12]Result!$G$48</f>
        <v>0</v>
      </c>
      <c r="L969" s="25">
        <f>+L623/[13]Result!$G$48</f>
        <v>0</v>
      </c>
      <c r="M969" s="25">
        <f>+M623/[14]Result!$G$48</f>
        <v>0</v>
      </c>
      <c r="N969" s="33">
        <f>+N623/[15]Result!$G$48</f>
        <v>0</v>
      </c>
      <c r="O969" s="25">
        <f>+O623/[16]Result!$G$48</f>
        <v>0</v>
      </c>
      <c r="P969" s="25">
        <f>+P623/[17]Result!$G$48</f>
        <v>0</v>
      </c>
      <c r="Q969" s="33">
        <f>+Q623/[18]Result!$G$48</f>
        <v>0</v>
      </c>
      <c r="R969" s="33">
        <f>+R623/[19]Result!$G$48</f>
        <v>0</v>
      </c>
      <c r="S969" s="34">
        <f>+S623/[20]Result!$G$48</f>
        <v>0</v>
      </c>
    </row>
    <row r="970" spans="1:20" hidden="1" outlineLevel="2" x14ac:dyDescent="0.25">
      <c r="A970" s="16" t="s">
        <v>51</v>
      </c>
      <c r="B970" s="25">
        <f>+B624/[21]Result!$G$49</f>
        <v>-2.7304540493989813E-2</v>
      </c>
      <c r="C970" s="25">
        <f>+C624/[1]Result!$G$49</f>
        <v>3.8053070914517047E-2</v>
      </c>
      <c r="D970" s="33">
        <f>+D624/[5]Result!$G$49</f>
        <v>-5.8164342618294076E-2</v>
      </c>
      <c r="E970" s="25">
        <f>+E624/[6]Result!$G$49</f>
        <v>3.2455533216185807E-2</v>
      </c>
      <c r="F970" s="25">
        <f>+F624/[7]Result!$G$49</f>
        <v>-4.0319400483947075E-2</v>
      </c>
      <c r="G970" s="33">
        <f>+G624/[8]Result!$G$49</f>
        <v>3.130984763000471E-2</v>
      </c>
      <c r="H970" s="25">
        <f>+H624/[9]Result!$G$49</f>
        <v>-1.970144779878278E-2</v>
      </c>
      <c r="I970" s="25">
        <f>+I624/[10]Result!$G$49</f>
        <v>-2.4503030701313971E-2</v>
      </c>
      <c r="J970" s="33">
        <f>+J624/[11]Result!$G$49</f>
        <v>-3.6559706905823067E-2</v>
      </c>
      <c r="K970" s="25">
        <f>+K624/[12]Result!$G$49</f>
        <v>-8.5487008557978369E-4</v>
      </c>
      <c r="L970" s="25">
        <f>+L624/[13]Result!$G$49</f>
        <v>-4.8575850937125256E-2</v>
      </c>
      <c r="M970" s="25">
        <f>+M624/[14]Result!$G$49</f>
        <v>1.5967224975711631</v>
      </c>
      <c r="N970" s="33">
        <f>+N624/[15]Result!$G$49</f>
        <v>2.5053602656422206E-2</v>
      </c>
      <c r="O970" s="25">
        <f>+O624/[16]Result!$G$49</f>
        <v>6.0482418536571408E-2</v>
      </c>
      <c r="P970" s="25">
        <f>+P624/[17]Result!$G$49</f>
        <v>0.30520935124804333</v>
      </c>
      <c r="Q970" s="33">
        <f>+Q624/[18]Result!$G$49</f>
        <v>-8.2934404406017036E-3</v>
      </c>
      <c r="R970" s="33">
        <f>+R624/[19]Result!$G$49</f>
        <v>-2.1137287991847541E-4</v>
      </c>
      <c r="S970" s="34">
        <f>+S624/[20]Result!$G$49</f>
        <v>2.1144953839000339E-2</v>
      </c>
    </row>
    <row r="971" spans="1:20" hidden="1" outlineLevel="2" x14ac:dyDescent="0.25">
      <c r="A971" s="16" t="s">
        <v>52</v>
      </c>
      <c r="B971" s="25">
        <f>+B625/[21]Result!$G$50</f>
        <v>-2.7479724964200172E-2</v>
      </c>
      <c r="C971" s="25">
        <f>+C625/[1]Result!$G$50</f>
        <v>3.8234205455183107E-2</v>
      </c>
      <c r="D971" s="33">
        <f>+D625/[5]Result!$G$50</f>
        <v>-6.1243333205101023E-2</v>
      </c>
      <c r="E971" s="25">
        <f>+E625/[6]Result!$G$50</f>
        <v>3.2516937844049271E-2</v>
      </c>
      <c r="F971" s="25">
        <f>+F625/[7]Result!$G$50</f>
        <v>-4.0362205308969605E-2</v>
      </c>
      <c r="G971" s="33">
        <f>+G625/[8]Result!$G$50</f>
        <v>3.2507820775145489E-2</v>
      </c>
      <c r="H971" s="25">
        <f>+H625/[9]Result!$G$50</f>
        <v>-1.9497576234544796E-2</v>
      </c>
      <c r="I971" s="25">
        <f>+I625/[10]Result!$G$50</f>
        <v>-2.4615141411524804E-2</v>
      </c>
      <c r="J971" s="33">
        <f>+J625/[11]Result!$G$50</f>
        <v>-4.6477070219334497E-2</v>
      </c>
      <c r="K971" s="25">
        <f>+K625/[12]Result!$G$50</f>
        <v>-8.7403431448095678E-4</v>
      </c>
      <c r="L971" s="25">
        <f>+L625/[13]Result!$G$50</f>
        <v>-4.8597737307203251E-2</v>
      </c>
      <c r="M971" s="25">
        <f>+M625/[14]Result!$G$50</f>
        <v>1.4483302731942846</v>
      </c>
      <c r="N971" s="33">
        <f>+N625/[15]Result!$G$50</f>
        <v>2.518089740349121E-2</v>
      </c>
      <c r="O971" s="25">
        <f>+O625/[16]Result!$G$50</f>
        <v>6.0720786805699846E-2</v>
      </c>
      <c r="P971" s="25">
        <f>+P625/[17]Result!$G$50</f>
        <v>0.30240456081406603</v>
      </c>
      <c r="Q971" s="33">
        <f>+Q625/[18]Result!$G$50</f>
        <v>-8.046038716571835E-3</v>
      </c>
      <c r="R971" s="33">
        <f>+R625/[19]Result!$G$50</f>
        <v>-4.364273743162827E-4</v>
      </c>
      <c r="S971" s="34">
        <f>+S625/[20]Result!$G$50</f>
        <v>2.1183386466182948E-2</v>
      </c>
    </row>
    <row r="972" spans="1:20" hidden="1" outlineLevel="2" x14ac:dyDescent="0.25">
      <c r="A972" s="16" t="s">
        <v>53</v>
      </c>
      <c r="B972" s="25">
        <f>+B626/[21]Result!$G$51</f>
        <v>-2.7420343904959631E-2</v>
      </c>
      <c r="C972" s="25">
        <f>+C626/[1]Result!$G$51</f>
        <v>3.815942422979187E-2</v>
      </c>
      <c r="D972" s="33">
        <f>+D626/[5]Result!$G$51</f>
        <v>-5.9041399843524772E-2</v>
      </c>
      <c r="E972" s="25">
        <f>+E626/[6]Result!$G$51</f>
        <v>3.2544195660257319E-2</v>
      </c>
      <c r="F972" s="25">
        <f>+F626/[7]Result!$G$51</f>
        <v>-4.0580802835925425E-2</v>
      </c>
      <c r="G972" s="33">
        <f>+G626/[8]Result!$G$51</f>
        <v>4.3932413614495104E-2</v>
      </c>
      <c r="H972" s="25">
        <f>+H626/[9]Result!$G$51</f>
        <v>-1.9478163607130637E-2</v>
      </c>
      <c r="I972" s="25">
        <f>+I626/[10]Result!$G$51</f>
        <v>-2.4716934339163703E-2</v>
      </c>
      <c r="J972" s="33">
        <f>+J626/[11]Result!$G$51</f>
        <v>-6.1036067860138633E-2</v>
      </c>
      <c r="K972" s="25">
        <f>+K626/[12]Result!$G$51</f>
        <v>-8.9319633411046116E-4</v>
      </c>
      <c r="L972" s="25">
        <f>+L626/[13]Result!$G$51</f>
        <v>-4.8788189275982295E-2</v>
      </c>
      <c r="M972" s="25">
        <f>+M626/[14]Result!$G$51</f>
        <v>1.036025651420956</v>
      </c>
      <c r="N972" s="33">
        <f>+N626/[15]Result!$G$51</f>
        <v>2.5279426439307265E-2</v>
      </c>
      <c r="O972" s="25">
        <f>+O626/[16]Result!$G$51</f>
        <v>6.1147436718321742E-2</v>
      </c>
      <c r="P972" s="25">
        <f>+P626/[17]Result!$G$51</f>
        <v>0.41738925707532881</v>
      </c>
      <c r="Q972" s="33">
        <f>+Q626/[18]Result!$G$51</f>
        <v>-7.9985776185855333E-3</v>
      </c>
      <c r="R972" s="33">
        <f>+R626/[19]Result!$G$51</f>
        <v>-2.2530810294316996E-4</v>
      </c>
      <c r="S972" s="34">
        <f>+S626/[20]Result!$G$51</f>
        <v>2.0967904204726232E-2</v>
      </c>
    </row>
    <row r="973" spans="1:20" hidden="1" outlineLevel="2" x14ac:dyDescent="0.25">
      <c r="A973" s="16" t="s">
        <v>54</v>
      </c>
      <c r="B973" s="25">
        <f>+B627/[21]Result!$G$52</f>
        <v>-2.7328562367309798E-2</v>
      </c>
      <c r="C973" s="25">
        <f>+C627/[1]Result!$G$52</f>
        <v>3.803539056447728E-2</v>
      </c>
      <c r="D973" s="33">
        <f>+D627/[5]Result!$G$52</f>
        <v>-8.8922461641964434E-2</v>
      </c>
      <c r="E973" s="25">
        <f>+E627/[6]Result!$G$52</f>
        <v>3.2780112863071462E-2</v>
      </c>
      <c r="F973" s="25">
        <f>+F627/[7]Result!$G$52</f>
        <v>-4.0776126807834108E-2</v>
      </c>
      <c r="G973" s="33">
        <f>+G627/[8]Result!$G$52</f>
        <v>7.6619049482678378E-2</v>
      </c>
      <c r="H973" s="25">
        <f>+H627/[9]Result!$G$52</f>
        <v>-1.967038116912885E-2</v>
      </c>
      <c r="I973" s="25">
        <f>+I627/[10]Result!$G$52</f>
        <v>-2.4570886588655819E-2</v>
      </c>
      <c r="J973" s="33">
        <f>+J627/[11]Result!$G$52</f>
        <v>-7.062676688697557E-2</v>
      </c>
      <c r="K973" s="25">
        <f>+K627/[12]Result!$G$52</f>
        <v>-9.1235614484713756E-4</v>
      </c>
      <c r="L973" s="25">
        <f>+L627/[13]Result!$G$52</f>
        <v>-4.8727500691834499E-2</v>
      </c>
      <c r="M973" s="25">
        <f>+M627/[14]Result!$G$52</f>
        <v>0.25817500158315076</v>
      </c>
      <c r="N973" s="33">
        <f>+N627/[15]Result!$G$52</f>
        <v>2.559891101351202E-2</v>
      </c>
      <c r="O973" s="25">
        <f>+O627/[16]Result!$G$52</f>
        <v>6.1533745015808862E-2</v>
      </c>
      <c r="P973" s="25">
        <f>+P627/[17]Result!$G$52</f>
        <v>0.90107472864173843</v>
      </c>
      <c r="Q973" s="33">
        <f>+Q627/[18]Result!$G$52</f>
        <v>-8.1698247542904088E-3</v>
      </c>
      <c r="R973" s="33">
        <f>+R627/[19]Result!$G$52</f>
        <v>-2.2544478045168222E-4</v>
      </c>
      <c r="S973" s="34">
        <f>+S627/[20]Result!$G$52</f>
        <v>2.1188226004466133E-2</v>
      </c>
    </row>
    <row r="974" spans="1:20" hidden="1" outlineLevel="2" x14ac:dyDescent="0.25">
      <c r="A974" s="16" t="s">
        <v>55</v>
      </c>
      <c r="B974" s="25">
        <f>+B628/[21]Result!$G$53</f>
        <v>-2.7438303077495691E-2</v>
      </c>
      <c r="C974" s="25">
        <f>+C628/[1]Result!$G$53</f>
        <v>3.812141855981821E-2</v>
      </c>
      <c r="D974" s="33">
        <f>+D628/[5]Result!$G$53</f>
        <v>-0.11261872775697818</v>
      </c>
      <c r="E974" s="25">
        <f>+E628/[6]Result!$G$53</f>
        <v>3.275757194180471E-2</v>
      </c>
      <c r="F974" s="25">
        <f>+F628/[7]Result!$G$53</f>
        <v>-4.0717619913642887E-2</v>
      </c>
      <c r="G974" s="33">
        <f>+G628/[8]Result!$G$53</f>
        <v>2.679586324016496E-2</v>
      </c>
      <c r="H974" s="25">
        <f>+H628/[9]Result!$G$53</f>
        <v>-1.962241808557311E-2</v>
      </c>
      <c r="I974" s="25">
        <f>+I628/[10]Result!$G$53</f>
        <v>-2.4851024158739882E-2</v>
      </c>
      <c r="J974" s="33">
        <f>+J628/[11]Result!$G$53</f>
        <v>-8.9980794982176163E-2</v>
      </c>
      <c r="K974" s="25">
        <f>+K628/[12]Result!$G$53</f>
        <v>-9.3152042769951288E-4</v>
      </c>
      <c r="L974" s="25">
        <f>+L628/[13]Result!$G$53</f>
        <v>-4.8835857803155053E-2</v>
      </c>
      <c r="M974" s="25">
        <f>+M628/[14]Result!$G$53</f>
        <v>-0.88840338684734033</v>
      </c>
      <c r="N974" s="33">
        <f>+N628/[15]Result!$G$53</f>
        <v>2.5431943624793351E-2</v>
      </c>
      <c r="O974" s="25">
        <f>+O628/[16]Result!$G$53</f>
        <v>6.1879074032110369E-2</v>
      </c>
      <c r="P974" s="25">
        <f>+P628/[17]Result!$G$53</f>
        <v>11.989953236414582</v>
      </c>
      <c r="Q974" s="33">
        <f>+Q628/[18]Result!$G$53</f>
        <v>-8.1127302637124341E-3</v>
      </c>
      <c r="R974" s="33">
        <f>+R628/[19]Result!$G$53</f>
        <v>-4.6518468686051573E-4</v>
      </c>
      <c r="S974" s="34">
        <f>+S628/[20]Result!$G$53</f>
        <v>2.116849276086755E-2</v>
      </c>
    </row>
    <row r="975" spans="1:20" hidden="1" outlineLevel="2" x14ac:dyDescent="0.25">
      <c r="A975" s="16" t="s">
        <v>56</v>
      </c>
      <c r="B975" s="25">
        <f>+B629/[21]Result!$G$54</f>
        <v>-2.7529257688963776E-2</v>
      </c>
      <c r="C975" s="25">
        <f>+C629/[1]Result!$G$54</f>
        <v>3.8172236652759664E-2</v>
      </c>
      <c r="D975" s="33">
        <f>+D629/[5]Result!$G$54</f>
        <v>-0.1717643769283704</v>
      </c>
      <c r="E975" s="25">
        <f>+E629/[6]Result!$G$54</f>
        <v>3.2456750375218925E-2</v>
      </c>
      <c r="F975" s="25">
        <f>+F629/[7]Result!$G$54</f>
        <v>-4.0622166218590619E-2</v>
      </c>
      <c r="G975" s="33">
        <f>+G629/[8]Result!$G$54</f>
        <v>8.250204890977185E-2</v>
      </c>
      <c r="H975" s="25">
        <f>+H629/[9]Result!$G$54</f>
        <v>-1.9555605599396293E-2</v>
      </c>
      <c r="I975" s="25">
        <f>+I629/[10]Result!$G$54</f>
        <v>-2.4897261160839484E-2</v>
      </c>
      <c r="J975" s="33">
        <f>+J629/[11]Result!$G$54</f>
        <v>-9.8282052777561774E-2</v>
      </c>
      <c r="K975" s="25">
        <f>+K629/[12]Result!$G$54</f>
        <v>-9.5068513410715555E-4</v>
      </c>
      <c r="L975" s="25">
        <f>+L629/[13]Result!$G$54</f>
        <v>-4.9140778130062561E-2</v>
      </c>
      <c r="M975" s="25">
        <f>+M629/[14]Result!$G$54</f>
        <v>-1.0008901522681055</v>
      </c>
      <c r="N975" s="33">
        <f>+N629/[15]Result!$G$54</f>
        <v>2.5230321292343049E-2</v>
      </c>
      <c r="O975" s="25">
        <f>+O629/[16]Result!$G$54</f>
        <v>6.2183785904158274E-2</v>
      </c>
      <c r="P975" s="25">
        <f>+P629/[17]Result!$G$54</f>
        <v>-2.6797386986318474E-2</v>
      </c>
      <c r="Q975" s="33">
        <f>+Q629/[17]Result!$G$54</f>
        <v>-7.8256849308690254E-3</v>
      </c>
      <c r="R975" s="33">
        <f>+R629/[17]Result!$G$54</f>
        <v>-4.5832998422455645E-4</v>
      </c>
      <c r="S975" s="34">
        <f>+S629/[17]Result!$G$54</f>
        <v>2.0378113160543821E-2</v>
      </c>
    </row>
    <row r="976" spans="1:20" collapsed="1" x14ac:dyDescent="0.25">
      <c r="A976" s="12" t="s">
        <v>93</v>
      </c>
      <c r="B976" s="25">
        <f>+B630/SUM([21]Result!$H$5:$H$54)</f>
        <v>1.5074275439591165E-2</v>
      </c>
      <c r="C976" s="25">
        <f>+C630/SUM([1]Result!$H$5:$H$54)</f>
        <v>-3.406709260441125E-2</v>
      </c>
      <c r="D976" s="33">
        <f>+D630/SUM([5]Result!$H$5:$H$54)</f>
        <v>3.7077477175659991E-2</v>
      </c>
      <c r="E976" s="25">
        <f>+E630/SUM([6]Result!$H$5:$H$54)</f>
        <v>-8.3881846962160805E-2</v>
      </c>
      <c r="F976" s="25">
        <f>+F630/SUM([7]Result!$H$5:$H$54)</f>
        <v>1.3981157878040201E-2</v>
      </c>
      <c r="G976" s="33">
        <f>+G630/SUM([8]Result!$H$5:$H$54)</f>
        <v>1.5349274477540005E-2</v>
      </c>
      <c r="H976" s="29">
        <f>+H630/SUM([9]Result!$H$5:$H$54)</f>
        <v>2.7544870519379084E-2</v>
      </c>
      <c r="I976" s="29">
        <f>+I630/SUM([10]Result!$H$5:$H$54)</f>
        <v>-1.2847417410683105E-2</v>
      </c>
      <c r="J976" s="33">
        <f>+J630/SUM([11]Result!$H$5:$H$54)</f>
        <v>4.6887267308530142E-2</v>
      </c>
      <c r="K976" s="29">
        <f>+K630/SUM([12]Result!$H$5:$H$54)</f>
        <v>-9.6319510300502519E-3</v>
      </c>
      <c r="L976" s="29">
        <f>+L630/SUM([13]Result!$H$5:$H$54)</f>
        <v>1.435400383348313E-2</v>
      </c>
      <c r="M976" s="65">
        <f>+M630/SUM([14]Result!$H$5:$H$54)</f>
        <v>-0.12431612806153021</v>
      </c>
      <c r="N976" s="29">
        <f>+N630/SUM([15]Result!$H$5:$H$54)</f>
        <v>-1.2298190012388239E-2</v>
      </c>
      <c r="O976" s="29">
        <f>+O630/SUM([16]Result!$H$5:$H$54)</f>
        <v>-3.2049642145676759E-2</v>
      </c>
      <c r="P976" s="65">
        <f>+P630/SUM([17]Result!$H$5:$H$54)</f>
        <v>0.28513637242177986</v>
      </c>
      <c r="Q976" s="29">
        <f>+Q630/SUM([18]Result!$H$5:$H$54)</f>
        <v>7.7966377292249542E-3</v>
      </c>
      <c r="R976" s="29">
        <f>+R630/SUM([19]Result!$H$5:$H$54)</f>
        <v>-2.9449051326847501E-2</v>
      </c>
      <c r="S976" s="63">
        <f>+S630/SUM([20]Result!$H$5:$H$54)</f>
        <v>-6.1986225172259071E-3</v>
      </c>
      <c r="T976" s="13"/>
    </row>
    <row r="977" spans="1:19" hidden="1" outlineLevel="1" x14ac:dyDescent="0.25">
      <c r="A977" s="15" t="s">
        <v>2</v>
      </c>
      <c r="B977" s="25">
        <f>+B631/'[21]Stat by Mat 2'!$D$3</f>
        <v>2.8020917448789911E-2</v>
      </c>
      <c r="C977" s="25">
        <f>+C631/'[1]Stat by Mat 2'!$D$3</f>
        <v>-5.7392573288201666E-2</v>
      </c>
      <c r="D977" s="33">
        <f>+D631/'[5]Stat by Mat 2'!$D$3</f>
        <v>9.8514239361224665E-2</v>
      </c>
      <c r="E977" s="25">
        <f>+E631/'[6]Stat by Mat 2'!$D$3</f>
        <v>-0.12682768084882909</v>
      </c>
      <c r="F977" s="25">
        <f>+F631/'[7]Stat by Mat 2'!$D$3</f>
        <v>2.3620432493499238E-2</v>
      </c>
      <c r="G977" s="33">
        <f>+G631/'[8]Stat by Mat 2'!$D$3</f>
        <v>1.9636940106924631E-2</v>
      </c>
      <c r="H977" s="25">
        <f>+H631/'[9]Stat by Mat 2'!$D$3</f>
        <v>4.2320050165853405E-2</v>
      </c>
      <c r="I977" s="25">
        <f>+I631/'[10]Stat by Mat 2'!$D$3</f>
        <v>-1.6292681098188998E-2</v>
      </c>
      <c r="J977" s="33">
        <f>+J631/'[11]Stat by Mat 2'!$D$3</f>
        <v>7.0590182010892497E-2</v>
      </c>
      <c r="K977" s="25">
        <f>+K631/'[12]Stat by Mat 2'!$D$3</f>
        <v>-1.138918737007757E-2</v>
      </c>
      <c r="L977" s="25">
        <f>+L631/'[13]Stat by Mat 2'!$D$3</f>
        <v>1.802800077447704E-2</v>
      </c>
      <c r="M977" s="25">
        <f>+M631/'[14]Stat by Mat 2'!$D$3</f>
        <v>-5.5733391614229501E-2</v>
      </c>
      <c r="N977" s="33">
        <f>+N631/'[15]Stat by Mat 2'!$D$3</f>
        <v>-1.3945827739710035E-2</v>
      </c>
      <c r="O977" s="25">
        <f>+O631/'[16]Stat by Mat 2'!$D$3</f>
        <v>-3.5858270225200682E-2</v>
      </c>
      <c r="P977" s="25">
        <f>+P631/'[17]Stat by Mat 2'!$D$3</f>
        <v>0.38631400038624464</v>
      </c>
      <c r="Q977" s="33">
        <f>+Q631/'[18]Stat by Mat 2'!$D$3</f>
        <v>1.2827640624121861E-2</v>
      </c>
      <c r="R977" s="33">
        <f>+R631/'[19]Stat by Mat 2'!$D$3</f>
        <v>-3.6212573545160276E-2</v>
      </c>
      <c r="S977" s="34">
        <f>+S631/'[20]Stat by Mat 2'!$D$3</f>
        <v>-5.0701599094942562E-3</v>
      </c>
    </row>
    <row r="978" spans="1:19" ht="15" hidden="1" customHeight="1" outlineLevel="2" x14ac:dyDescent="0.25">
      <c r="A978" s="16" t="s">
        <v>3</v>
      </c>
      <c r="B978" s="25">
        <f>+B632/[21]Result!$H$5</f>
        <v>2.4030703811893008E-2</v>
      </c>
      <c r="C978" s="25">
        <f>+C632/[1]Result!$H$5</f>
        <v>-6.3521905870234721E-2</v>
      </c>
      <c r="D978" s="33">
        <f>+D632/[5]Result!$H$5</f>
        <v>5.0167348307721092E-3</v>
      </c>
      <c r="E978" s="25">
        <f>+E632/[6]Result!$H$5</f>
        <v>-0.12673293828530738</v>
      </c>
      <c r="F978" s="25">
        <f>+F632/[7]Result!$H$5</f>
        <v>8.7913610459457066E-3</v>
      </c>
      <c r="G978" s="33">
        <f>+G632/[8]Result!$H$5</f>
        <v>-7.9413433306423892E-2</v>
      </c>
      <c r="H978" s="25">
        <f>+H632/[9]Result!$H$5</f>
        <v>3.4210085894248815E-2</v>
      </c>
      <c r="I978" s="25">
        <f>+I632/[10]Result!$H$5</f>
        <v>-4.1185524614095288E-3</v>
      </c>
      <c r="J978" s="33">
        <f>+J632/[11]Result!$H$5</f>
        <v>-2.5278399017992587E-2</v>
      </c>
      <c r="K978" s="25">
        <f>+K632/[12]Result!$H$5</f>
        <v>2.6884724466621837E-3</v>
      </c>
      <c r="L978" s="25">
        <f>+L632/[13]Result!$H$5</f>
        <v>5.3211767231325906E-3</v>
      </c>
      <c r="M978" s="25">
        <f>+M632/[14]Result!$H$5</f>
        <v>-4.6362172879852219E-2</v>
      </c>
      <c r="N978" s="33">
        <f>+N632/[15]Result!$H$5</f>
        <v>-1.2988793000660089E-3</v>
      </c>
      <c r="O978" s="25">
        <f>+O632/[16]Result!$H$5</f>
        <v>-1.3036173649898722E-2</v>
      </c>
      <c r="P978" s="25">
        <f>+P632/[17]Result!$H$5</f>
        <v>0.47167614839187449</v>
      </c>
      <c r="Q978" s="33">
        <f>+Q632/[18]Result!$H$5</f>
        <v>2.599614859200601E-2</v>
      </c>
      <c r="R978" s="33">
        <f>+R632/[19]Result!$H$5</f>
        <v>-2.9329322712238443E-2</v>
      </c>
      <c r="S978" s="34">
        <f>+S632/[20]Result!$H$5</f>
        <v>-1.5452103098499842E-3</v>
      </c>
    </row>
    <row r="979" spans="1:19" hidden="1" outlineLevel="2" x14ac:dyDescent="0.25">
      <c r="A979" s="16" t="s">
        <v>4</v>
      </c>
      <c r="B979" s="25">
        <f>+B633/[21]Result!$H$6</f>
        <v>2.8283203220797536E-2</v>
      </c>
      <c r="C979" s="25">
        <f>+C633/[1]Result!$H$6</f>
        <v>-5.7402159386074549E-2</v>
      </c>
      <c r="D979" s="33">
        <f>+D633/[5]Result!$H$6</f>
        <v>0.20300240063475064</v>
      </c>
      <c r="E979" s="25">
        <f>+E633/[6]Result!$H$6</f>
        <v>-0.13269060597905166</v>
      </c>
      <c r="F979" s="25">
        <f>+F633/[7]Result!$H$6</f>
        <v>2.1444243887748876E-2</v>
      </c>
      <c r="G979" s="33">
        <f>+G633/[8]Result!$H$6</f>
        <v>4.9269735760950936E-2</v>
      </c>
      <c r="H979" s="25">
        <f>+H633/[9]Result!$H$6</f>
        <v>4.3159233830698682E-2</v>
      </c>
      <c r="I979" s="25">
        <f>+I633/[10]Result!$H$6</f>
        <v>-1.36494175053881E-2</v>
      </c>
      <c r="J979" s="33">
        <f>+J633/[11]Result!$H$6</f>
        <v>7.8488518568610013E-2</v>
      </c>
      <c r="K979" s="25">
        <f>+K633/[12]Result!$H$6</f>
        <v>-8.4334985999483057E-3</v>
      </c>
      <c r="L979" s="25">
        <f>+L633/[13]Result!$H$6</f>
        <v>1.4624451576467272E-2</v>
      </c>
      <c r="M979" s="25">
        <f>+M633/[14]Result!$H$6</f>
        <v>-5.4840071058479198E-2</v>
      </c>
      <c r="N979" s="33">
        <f>+N633/[15]Result!$H$6</f>
        <v>-1.013313103713291E-2</v>
      </c>
      <c r="O979" s="25">
        <f>+O633/[16]Result!$H$6</f>
        <v>-2.6562950488769672E-2</v>
      </c>
      <c r="P979" s="25">
        <f>+P633/[17]Result!$H$6</f>
        <v>0.43672553615934478</v>
      </c>
      <c r="Q979" s="33">
        <f>+Q633/[18]Result!$H$6</f>
        <v>2.0310110300038629E-2</v>
      </c>
      <c r="R979" s="33">
        <f>+R633/[19]Result!$H$6</f>
        <v>-3.7076552139501236E-2</v>
      </c>
      <c r="S979" s="34">
        <f>+S633/[20]Result!$H$6</f>
        <v>-4.7167342732739618E-3</v>
      </c>
    </row>
    <row r="980" spans="1:19" hidden="1" outlineLevel="2" x14ac:dyDescent="0.25">
      <c r="A980" s="16" t="s">
        <v>5</v>
      </c>
      <c r="B980" s="25">
        <f>+B634/[21]Result!$H$7</f>
        <v>3.2446102911299568E-2</v>
      </c>
      <c r="C980" s="25">
        <f>+C634/[1]Result!$H$7</f>
        <v>-5.7793666708026756E-2</v>
      </c>
      <c r="D980" s="33">
        <f>+D634/[5]Result!$H$7</f>
        <v>5.3469473694483585E-2</v>
      </c>
      <c r="E980" s="25">
        <f>+E634/[6]Result!$H$7</f>
        <v>-0.13028447814204225</v>
      </c>
      <c r="F980" s="25">
        <f>+F634/[7]Result!$H$7</f>
        <v>2.9414766708990729E-2</v>
      </c>
      <c r="G980" s="33">
        <f>+G634/[8]Result!$H$7</f>
        <v>2.8891490940985403E-2</v>
      </c>
      <c r="H980" s="25">
        <f>+H634/[9]Result!$H$7</f>
        <v>4.7599969022419523E-2</v>
      </c>
      <c r="I980" s="25">
        <f>+I634/[10]Result!$H$7</f>
        <v>-2.203120135435363E-2</v>
      </c>
      <c r="J980" s="33">
        <f>+J634/[11]Result!$H$7</f>
        <v>0.12777594942225479</v>
      </c>
      <c r="K980" s="25">
        <f>+K634/[12]Result!$H$7</f>
        <v>-1.5716730751299798E-2</v>
      </c>
      <c r="L980" s="25">
        <f>+L634/[13]Result!$H$7</f>
        <v>2.0812557234269433E-2</v>
      </c>
      <c r="M980" s="25">
        <f>+M634/[14]Result!$H$7</f>
        <v>-2.9963298484246795E-2</v>
      </c>
      <c r="N980" s="33">
        <f>+N634/[15]Result!$H$7</f>
        <v>-1.8764135267875272E-2</v>
      </c>
      <c r="O980" s="25">
        <f>+O634/[16]Result!$H$7</f>
        <v>-4.1254110069745067E-2</v>
      </c>
      <c r="P980" s="25">
        <f>+P634/[17]Result!$H$7</f>
        <v>0.35882477473204671</v>
      </c>
      <c r="Q980" s="33">
        <f>+Q634/[18]Result!$H$7</f>
        <v>8.0244662597217121E-3</v>
      </c>
      <c r="R980" s="33">
        <f>+R634/[19]Result!$H$7</f>
        <v>-4.0105903613631894E-2</v>
      </c>
      <c r="S980" s="34">
        <f>+S634/[20]Result!$H$7</f>
        <v>-4.7627868358469756E-3</v>
      </c>
    </row>
    <row r="981" spans="1:19" hidden="1" outlineLevel="2" x14ac:dyDescent="0.25">
      <c r="A981" s="16" t="s">
        <v>6</v>
      </c>
      <c r="B981" s="25">
        <f>+B635/[21]Result!$H$8</f>
        <v>2.9267620464889069E-2</v>
      </c>
      <c r="C981" s="25">
        <f>+C635/[1]Result!$H$8</f>
        <v>-5.5168281048699495E-2</v>
      </c>
      <c r="D981" s="33">
        <f>+D635/[5]Result!$H$8</f>
        <v>9.3275605687994562E-2</v>
      </c>
      <c r="E981" s="25">
        <f>+E635/[6]Result!$H$8</f>
        <v>-0.12141484183736566</v>
      </c>
      <c r="F981" s="25">
        <f>+F635/[7]Result!$H$8</f>
        <v>3.0852860216733606E-2</v>
      </c>
      <c r="G981" s="33">
        <f>+G635/[8]Result!$H$8</f>
        <v>3.7779900705412463E-2</v>
      </c>
      <c r="H981" s="25">
        <f>+H635/[9]Result!$H$8</f>
        <v>4.3996291348674735E-2</v>
      </c>
      <c r="I981" s="25">
        <f>+I635/[10]Result!$H$8</f>
        <v>-2.280780347919046E-2</v>
      </c>
      <c r="J981" s="33">
        <f>+J635/[11]Result!$H$8</f>
        <v>8.4128186420238477E-2</v>
      </c>
      <c r="K981" s="25">
        <f>+K635/[12]Result!$H$8</f>
        <v>-1.7788988291351875E-2</v>
      </c>
      <c r="L981" s="25">
        <f>+L635/[13]Result!$H$8</f>
        <v>2.4236247992595057E-2</v>
      </c>
      <c r="M981" s="25">
        <f>+M635/[14]Result!$H$8</f>
        <v>-6.0010312246067052E-2</v>
      </c>
      <c r="N981" s="33">
        <f>+N635/[15]Result!$H$8</f>
        <v>-2.1163044574835334E-2</v>
      </c>
      <c r="O981" s="25">
        <f>+O635/[16]Result!$H$8</f>
        <v>-5.1523544788090063E-2</v>
      </c>
      <c r="P981" s="25">
        <f>+P635/[17]Result!$H$8</f>
        <v>0.31190915087427618</v>
      </c>
      <c r="Q981" s="33">
        <f>+Q635/[18]Result!$H$8</f>
        <v>-6.6280914105741183E-4</v>
      </c>
      <c r="R981" s="33">
        <f>+R635/[19]Result!$H$8</f>
        <v>-3.7282568834497043E-2</v>
      </c>
      <c r="S981" s="34">
        <f>+S635/[20]Result!$H$8</f>
        <v>-6.0099155494641029E-3</v>
      </c>
    </row>
    <row r="982" spans="1:19" hidden="1" outlineLevel="2" x14ac:dyDescent="0.25">
      <c r="A982" s="16" t="s">
        <v>7</v>
      </c>
      <c r="B982" s="25">
        <f>+B636/[21]Result!$H$9</f>
        <v>2.4408914859827394E-2</v>
      </c>
      <c r="C982" s="25">
        <f>+C636/[1]Result!$H$9</f>
        <v>-5.0457213195696946E-2</v>
      </c>
      <c r="D982" s="33">
        <f>+D636/[5]Result!$H$9</f>
        <v>8.3129661976566654E-2</v>
      </c>
      <c r="E982" s="25">
        <f>+E636/[6]Result!$H$9</f>
        <v>-0.11346770106339026</v>
      </c>
      <c r="F982" s="25">
        <f>+F636/[7]Result!$H$9</f>
        <v>3.0489928681658722E-2</v>
      </c>
      <c r="G982" s="33">
        <f>+G636/[8]Result!$H$9</f>
        <v>3.9971125268283059E-2</v>
      </c>
      <c r="H982" s="25">
        <f>+H636/[9]Result!$H$9</f>
        <v>3.9251140742934947E-2</v>
      </c>
      <c r="I982" s="25">
        <f>+I636/[10]Result!$H$9</f>
        <v>-1.9598629272833443E-2</v>
      </c>
      <c r="J982" s="33">
        <f>+J636/[11]Result!$H$9</f>
        <v>5.5149915059803246E-2</v>
      </c>
      <c r="K982" s="25">
        <f>+K636/[12]Result!$H$9</f>
        <v>-1.8537825033696512E-2</v>
      </c>
      <c r="L982" s="25">
        <f>+L636/[13]Result!$H$9</f>
        <v>2.8017958325894078E-2</v>
      </c>
      <c r="M982" s="25">
        <f>+M636/[14]Result!$H$9</f>
        <v>-0.1058377494647961</v>
      </c>
      <c r="N982" s="33">
        <f>+N636/[15]Result!$H$9</f>
        <v>-2.0199296034005547E-2</v>
      </c>
      <c r="O982" s="25">
        <f>+O636/[16]Result!$H$9</f>
        <v>-5.6826428903389924E-2</v>
      </c>
      <c r="P982" s="25">
        <f>+P636/[17]Result!$H$9</f>
        <v>0.2926303694088091</v>
      </c>
      <c r="Q982" s="33">
        <f>+Q636/[18]Result!$H$9</f>
        <v>-9.702623959125091E-4</v>
      </c>
      <c r="R982" s="33">
        <f>+R636/[19]Result!$H$9</f>
        <v>-3.4187194353965181E-2</v>
      </c>
      <c r="S982" s="34">
        <f>+S636/[20]Result!$H$9</f>
        <v>-1.0513287116157994E-2</v>
      </c>
    </row>
    <row r="983" spans="1:19" hidden="1" outlineLevel="1" x14ac:dyDescent="0.25">
      <c r="A983" s="15" t="s">
        <v>8</v>
      </c>
      <c r="B983" s="25">
        <f>+B637/'[21]Stat by Mat 2'!$D$4</f>
        <v>1.4899352963796075E-2</v>
      </c>
      <c r="C983" s="25">
        <f>+C637/'[1]Stat by Mat 2'!$D$4</f>
        <v>-3.1287605211635358E-2</v>
      </c>
      <c r="D983" s="33">
        <f>+D637/'[5]Stat by Mat 2'!$D$4</f>
        <v>6.9401403945525492E-2</v>
      </c>
      <c r="E983" s="25">
        <f>+E637/'[6]Stat by Mat 2'!$D$4</f>
        <v>-8.5272927840010684E-2</v>
      </c>
      <c r="F983" s="25">
        <f>+F637/'[7]Stat by Mat 2'!$D$4</f>
        <v>2.5268080808881523E-2</v>
      </c>
      <c r="G983" s="33">
        <f>+G637/'[8]Stat by Mat 2'!$D$4</f>
        <v>3.8249650193976387E-2</v>
      </c>
      <c r="H983" s="25">
        <f>+H637/'[9]Stat by Mat 2'!$D$4</f>
        <v>2.8049205606515065E-2</v>
      </c>
      <c r="I983" s="25">
        <f>+I637/'[10]Stat by Mat 2'!$D$4</f>
        <v>-1.0644221212746085E-2</v>
      </c>
      <c r="J983" s="33">
        <f>+J637/'[11]Stat by Mat 2'!$D$4</f>
        <v>1.8424972767879768E-2</v>
      </c>
      <c r="K983" s="25">
        <f>+K637/'[12]Stat by Mat 2'!$D$4</f>
        <v>-1.4494320675603202E-2</v>
      </c>
      <c r="L983" s="25">
        <f>+L637/'[13]Stat by Mat 2'!$D$4</f>
        <v>3.099523127892086E-2</v>
      </c>
      <c r="M983" s="25">
        <f>+M637/'[14]Stat by Mat 2'!$D$4</f>
        <v>-0.16934080039039928</v>
      </c>
      <c r="N983" s="33">
        <f>+N637/'[15]Stat by Mat 2'!$D$4</f>
        <v>-1.7456571573262053E-2</v>
      </c>
      <c r="O983" s="25">
        <f>+O637/'[16]Stat by Mat 2'!$D$4</f>
        <v>-5.49442572154775E-2</v>
      </c>
      <c r="P983" s="25">
        <f>+P637/'[17]Stat by Mat 2'!$D$4</f>
        <v>0.22037753643867405</v>
      </c>
      <c r="Q983" s="33">
        <f>+Q637/'[18]Stat by Mat 2'!$D$4</f>
        <v>6.3567081508727693E-4</v>
      </c>
      <c r="R983" s="33">
        <f>+R637/'[19]Stat by Mat 2'!$D$4</f>
        <v>-2.7143833857586178E-2</v>
      </c>
      <c r="S983" s="34">
        <f>+S637/'[20]Stat by Mat 2'!$D$4</f>
        <v>-1.3590152949493187E-2</v>
      </c>
    </row>
    <row r="984" spans="1:19" hidden="1" outlineLevel="2" x14ac:dyDescent="0.25">
      <c r="A984" s="16" t="s">
        <v>9</v>
      </c>
      <c r="B984" s="25">
        <f>+B638/[21]Result!$H$10</f>
        <v>2.2875989936224275E-2</v>
      </c>
      <c r="C984" s="25">
        <f>+C638/[1]Result!$H$10</f>
        <v>-4.8383941417989948E-2</v>
      </c>
      <c r="D984" s="33">
        <f>+D638/[5]Result!$H$10</f>
        <v>8.7458680172246353E-2</v>
      </c>
      <c r="E984" s="25">
        <f>+E638/[6]Result!$H$10</f>
        <v>-0.10399543559074974</v>
      </c>
      <c r="F984" s="25">
        <f>+F638/[7]Result!$H$10</f>
        <v>2.9134978462657449E-2</v>
      </c>
      <c r="G984" s="33">
        <f>+G638/[8]Result!$H$10</f>
        <v>3.4723587976974155E-2</v>
      </c>
      <c r="H984" s="25">
        <f>+H638/[9]Result!$H$10</f>
        <v>3.4605181012640887E-2</v>
      </c>
      <c r="I984" s="25">
        <f>+I638/[10]Result!$H$10</f>
        <v>-1.6144665459947357E-2</v>
      </c>
      <c r="J984" s="33">
        <f>+J638/[11]Result!$H$10</f>
        <v>3.3641610019535216E-2</v>
      </c>
      <c r="K984" s="25">
        <f>+K638/[12]Result!$H$10</f>
        <v>-1.774043621111597E-2</v>
      </c>
      <c r="L984" s="25">
        <f>+L638/[13]Result!$H$10</f>
        <v>3.0739993776568456E-2</v>
      </c>
      <c r="M984" s="25">
        <f>+M638/[14]Result!$H$10</f>
        <v>-0.12195849348679</v>
      </c>
      <c r="N984" s="33">
        <f>+N638/[15]Result!$H$10</f>
        <v>-1.9326046699624486E-2</v>
      </c>
      <c r="O984" s="25">
        <f>+O638/[16]Result!$H$10</f>
        <v>-5.8005111990490632E-2</v>
      </c>
      <c r="P984" s="25">
        <f>+P638/[17]Result!$H$10</f>
        <v>0.25251082673938302</v>
      </c>
      <c r="Q984" s="33">
        <f>+Q638/[18]Result!$H$10</f>
        <v>-3.5549592226879754E-5</v>
      </c>
      <c r="R984" s="33">
        <f>+R638/[19]Result!$H$10</f>
        <v>-3.1669395883125832E-2</v>
      </c>
      <c r="S984" s="34">
        <f>+S638/[20]Result!$H$10</f>
        <v>-1.2917735162770382E-2</v>
      </c>
    </row>
    <row r="985" spans="1:19" hidden="1" outlineLevel="2" x14ac:dyDescent="0.25">
      <c r="A985" s="16" t="s">
        <v>10</v>
      </c>
      <c r="B985" s="25">
        <f>+B639/[21]Result!$H$11</f>
        <v>1.9853463818112153E-2</v>
      </c>
      <c r="C985" s="25">
        <f>+C639/[1]Result!$H$11</f>
        <v>-4.3021098076326411E-2</v>
      </c>
      <c r="D985" s="33">
        <f>+D639/[5]Result!$H$11</f>
        <v>9.2133751285321405E-2</v>
      </c>
      <c r="E985" s="25">
        <f>+E639/[6]Result!$H$11</f>
        <v>-9.2659049149618908E-2</v>
      </c>
      <c r="F985" s="25">
        <f>+F639/[7]Result!$H$11</f>
        <v>2.714874167685194E-2</v>
      </c>
      <c r="G985" s="33">
        <f>+G639/[8]Result!$H$11</f>
        <v>3.9074468604584169E-2</v>
      </c>
      <c r="H985" s="25">
        <f>+H639/[9]Result!$H$11</f>
        <v>2.9705120950588033E-2</v>
      </c>
      <c r="I985" s="25">
        <f>+I639/[10]Result!$H$11</f>
        <v>-1.2667933989949802E-2</v>
      </c>
      <c r="J985" s="33">
        <f>+J639/[11]Result!$H$11</f>
        <v>2.4448674207658387E-2</v>
      </c>
      <c r="K985" s="25">
        <f>+K639/[12]Result!$H$11</f>
        <v>-1.5526324566590198E-2</v>
      </c>
      <c r="L985" s="25">
        <f>+L639/[13]Result!$H$11</f>
        <v>3.1559103521134418E-2</v>
      </c>
      <c r="M985" s="25">
        <f>+M639/[14]Result!$H$11</f>
        <v>-0.13933878762939125</v>
      </c>
      <c r="N985" s="33">
        <f>+N639/[15]Result!$H$11</f>
        <v>-1.8696728059427292E-2</v>
      </c>
      <c r="O985" s="25">
        <f>+O639/[16]Result!$H$11</f>
        <v>-5.6664863714033946E-2</v>
      </c>
      <c r="P985" s="25">
        <f>+P639/[17]Result!$H$11</f>
        <v>0.2316911585340537</v>
      </c>
      <c r="Q985" s="33">
        <f>+Q639/[18]Result!$H$11</f>
        <v>2.3807825536864376E-4</v>
      </c>
      <c r="R985" s="33">
        <f>+R639/[19]Result!$H$11</f>
        <v>-2.8727697642517536E-2</v>
      </c>
      <c r="S985" s="34">
        <f>+S639/[20]Result!$H$11</f>
        <v>-1.3523955445552299E-2</v>
      </c>
    </row>
    <row r="986" spans="1:19" hidden="1" outlineLevel="2" x14ac:dyDescent="0.25">
      <c r="A986" s="16" t="s">
        <v>11</v>
      </c>
      <c r="B986" s="25">
        <f>+B640/[21]Result!$H$12</f>
        <v>1.6695304244332569E-2</v>
      </c>
      <c r="C986" s="25">
        <f>+C640/[1]Result!$H$12</f>
        <v>-3.6853646414795133E-2</v>
      </c>
      <c r="D986" s="33">
        <f>+D640/[5]Result!$H$12</f>
        <v>9.2163565128380892E-2</v>
      </c>
      <c r="E986" s="25">
        <f>+E640/[6]Result!$H$12</f>
        <v>-8.2127906473582826E-2</v>
      </c>
      <c r="F986" s="25">
        <f>+F640/[7]Result!$H$12</f>
        <v>2.5466182575613849E-2</v>
      </c>
      <c r="G986" s="33">
        <f>+G640/[8]Result!$H$12</f>
        <v>4.1831886411429341E-2</v>
      </c>
      <c r="H986" s="25">
        <f>+H640/[9]Result!$H$12</f>
        <v>2.6193431818799295E-2</v>
      </c>
      <c r="I986" s="25">
        <f>+I640/[10]Result!$H$12</f>
        <v>-9.5892626149016464E-3</v>
      </c>
      <c r="J986" s="33">
        <f>+J640/[11]Result!$H$12</f>
        <v>1.7029435351657209E-2</v>
      </c>
      <c r="K986" s="25">
        <f>+K640/[12]Result!$H$12</f>
        <v>-1.3292216071265728E-2</v>
      </c>
      <c r="L986" s="25">
        <f>+L640/[13]Result!$H$12</f>
        <v>3.1210972965584501E-2</v>
      </c>
      <c r="M986" s="25">
        <f>+M640/[14]Result!$H$12</f>
        <v>-0.15859536481921049</v>
      </c>
      <c r="N986" s="33">
        <f>+N640/[15]Result!$H$12</f>
        <v>-1.7238920624894107E-2</v>
      </c>
      <c r="O986" s="25">
        <f>+O640/[16]Result!$H$12</f>
        <v>-5.4413928882190564E-2</v>
      </c>
      <c r="P986" s="25">
        <f>+P640/[17]Result!$H$12</f>
        <v>0.20921391630957087</v>
      </c>
      <c r="Q986" s="33">
        <f>+Q640/[18]Result!$H$12</f>
        <v>1.0554028875930596E-3</v>
      </c>
      <c r="R986" s="33">
        <f>+R640/[19]Result!$H$12</f>
        <v>-2.6370468783600092E-2</v>
      </c>
      <c r="S986" s="34">
        <f>+S640/[20]Result!$H$12</f>
        <v>-1.3645808965076833E-2</v>
      </c>
    </row>
    <row r="987" spans="1:19" hidden="1" outlineLevel="2" x14ac:dyDescent="0.25">
      <c r="A987" s="16" t="s">
        <v>12</v>
      </c>
      <c r="B987" s="25">
        <f>+B641/[21]Result!$H$13</f>
        <v>9.2123262612943593E-3</v>
      </c>
      <c r="C987" s="25">
        <f>+C641/[1]Result!$H$13</f>
        <v>-1.5952743515385844E-2</v>
      </c>
      <c r="D987" s="33">
        <f>+D641/[5]Result!$H$13</f>
        <v>3.5229216419411812E-2</v>
      </c>
      <c r="E987" s="25">
        <f>+E641/[6]Result!$H$13</f>
        <v>-7.3000076687839754E-2</v>
      </c>
      <c r="F987" s="25">
        <f>+F641/[7]Result!$H$13</f>
        <v>2.4234525619666943E-2</v>
      </c>
      <c r="G987" s="33">
        <f>+G641/[8]Result!$H$13</f>
        <v>3.2985793614299291E-2</v>
      </c>
      <c r="H987" s="25">
        <f>+H641/[9]Result!$H$13</f>
        <v>2.3103496962797263E-2</v>
      </c>
      <c r="I987" s="25">
        <f>+I641/[10]Result!$H$13</f>
        <v>-6.6595234137267374E-3</v>
      </c>
      <c r="J987" s="33">
        <f>+J641/[11]Result!$H$13</f>
        <v>7.5511310872378922E-3</v>
      </c>
      <c r="K987" s="25">
        <f>+K641/[12]Result!$H$13</f>
        <v>-1.2247989221630763E-2</v>
      </c>
      <c r="L987" s="25">
        <f>+L641/[13]Result!$H$13</f>
        <v>3.0613961728891345E-2</v>
      </c>
      <c r="M987" s="25">
        <f>+M641/[14]Result!$H$13</f>
        <v>-0.16793860156321633</v>
      </c>
      <c r="N987" s="33">
        <f>+N641/[15]Result!$H$13</f>
        <v>-1.513444660463305E-2</v>
      </c>
      <c r="O987" s="25">
        <f>+O641/[16]Result!$H$13</f>
        <v>-5.2258858480010106E-2</v>
      </c>
      <c r="P987" s="25">
        <f>+P641/[17]Result!$H$13</f>
        <v>0.19339424086234885</v>
      </c>
      <c r="Q987" s="33">
        <f>+Q641/[18]Result!$H$13</f>
        <v>9.3655371883070841E-4</v>
      </c>
      <c r="R987" s="33">
        <f>+R641/[19]Result!$H$13</f>
        <v>-2.3480875964556294E-2</v>
      </c>
      <c r="S987" s="34">
        <f>+S641/[20]Result!$H$13</f>
        <v>-1.4261538611134425E-2</v>
      </c>
    </row>
    <row r="988" spans="1:19" hidden="1" outlineLevel="2" x14ac:dyDescent="0.25">
      <c r="A988" s="16" t="s">
        <v>13</v>
      </c>
      <c r="B988" s="25">
        <f>+B642/[21]Result!$H$14</f>
        <v>-2.2950671616645125E-3</v>
      </c>
      <c r="C988" s="25">
        <f>+C642/[1]Result!$H$14</f>
        <v>7.0799306054866885E-3</v>
      </c>
      <c r="D988" s="33">
        <f>+D642/[5]Result!$H$14</f>
        <v>1.4765950321032067E-2</v>
      </c>
      <c r="E988" s="25">
        <f>+E642/[6]Result!$H$14</f>
        <v>-5.8068360479012746E-2</v>
      </c>
      <c r="F988" s="25">
        <f>+F642/[7]Result!$H$14</f>
        <v>1.6746909854700481E-2</v>
      </c>
      <c r="G988" s="33">
        <f>+G642/[8]Result!$H$14</f>
        <v>4.4036787084148737E-2</v>
      </c>
      <c r="H988" s="25">
        <f>+H642/[9]Result!$H$14</f>
        <v>2.2158449476618561E-2</v>
      </c>
      <c r="I988" s="25">
        <f>+I642/[10]Result!$H$14</f>
        <v>-3.7805697599685019E-3</v>
      </c>
      <c r="J988" s="33">
        <f>+J642/[11]Result!$H$14</f>
        <v>-3.0211392188915658E-3</v>
      </c>
      <c r="K988" s="25">
        <f>+K642/[12]Result!$H$14</f>
        <v>-1.122202203984699E-2</v>
      </c>
      <c r="L988" s="25">
        <f>+L642/[13]Result!$H$14</f>
        <v>3.0697981566630936E-2</v>
      </c>
      <c r="M988" s="25">
        <f>+M642/[14]Result!$H$14</f>
        <v>-0.31444700907050827</v>
      </c>
      <c r="N988" s="33">
        <f>+N642/[15]Result!$H$14</f>
        <v>-1.4271871606629577E-2</v>
      </c>
      <c r="O988" s="25">
        <f>+O642/[16]Result!$H$14</f>
        <v>-4.9193455245208774E-2</v>
      </c>
      <c r="P988" s="25">
        <f>+P642/[17]Result!$H$14</f>
        <v>0.1812063476900749</v>
      </c>
      <c r="Q988" s="33">
        <f>+Q642/[18]Result!$H$14</f>
        <v>1.9034126328412663E-3</v>
      </c>
      <c r="R988" s="33">
        <f>+R642/[19]Result!$H$14</f>
        <v>-1.9529915677890839E-2</v>
      </c>
      <c r="S988" s="34">
        <f>+S642/[20]Result!$H$14</f>
        <v>-1.4299523024948633E-2</v>
      </c>
    </row>
    <row r="989" spans="1:19" hidden="1" outlineLevel="1" x14ac:dyDescent="0.25">
      <c r="A989" s="15" t="s">
        <v>14</v>
      </c>
      <c r="B989" s="25">
        <f>+B643/'[21]Stat by Mat 2'!$D$5</f>
        <v>-9.066141173748812E-3</v>
      </c>
      <c r="C989" s="25">
        <f>+C643/'[1]Stat by Mat 2'!$D$5</f>
        <v>1.1013774679436997E-2</v>
      </c>
      <c r="D989" s="33">
        <f>+D643/'[5]Stat by Mat 2'!$D$5</f>
        <v>-0.11879861654117413</v>
      </c>
      <c r="E989" s="25">
        <f>+E643/'[6]Stat by Mat 2'!$D$5</f>
        <v>2.2323093687651646E-2</v>
      </c>
      <c r="F989" s="25">
        <f>+F643/'[7]Stat by Mat 2'!$D$5</f>
        <v>-1.3501659545453942E-2</v>
      </c>
      <c r="G989" s="33">
        <f>+G643/'[8]Stat by Mat 2'!$D$5</f>
        <v>-1.4221873867510341E-2</v>
      </c>
      <c r="H989" s="25">
        <f>+H643/'[9]Stat by Mat 2'!$D$5</f>
        <v>-4.1506276101401429E-3</v>
      </c>
      <c r="I989" s="25">
        <f>+I643/'[10]Stat by Mat 2'!$D$5</f>
        <v>-3.9438593337016289E-3</v>
      </c>
      <c r="J989" s="33">
        <f>+J643/'[11]Stat by Mat 2'!$D$5</f>
        <v>1.036209302128102E-2</v>
      </c>
      <c r="K989" s="25">
        <f>+K643/'[12]Stat by Mat 2'!$D$5</f>
        <v>2.8571462078852454E-4</v>
      </c>
      <c r="L989" s="25">
        <f>+L643/'[13]Stat by Mat 2'!$D$5</f>
        <v>-6.0502797779830725E-3</v>
      </c>
      <c r="M989" s="25">
        <f>+M643/'[14]Stat by Mat 2'!$D$5</f>
        <v>-0.23164733448008806</v>
      </c>
      <c r="N989" s="33">
        <f>+N643/'[15]Stat by Mat 2'!$D$5</f>
        <v>-4.6033304083918447E-3</v>
      </c>
      <c r="O989" s="25">
        <f>+O643/'[16]Stat by Mat 2'!$D$5</f>
        <v>-2.3025866100962443E-4</v>
      </c>
      <c r="P989" s="25">
        <f>+P643/'[17]Stat by Mat 2'!$D$5</f>
        <v>6.2566180617229072E-2</v>
      </c>
      <c r="Q989" s="33">
        <f>+Q643/'[18]Stat by Mat 2'!$D$5</f>
        <v>-7.9918328254390209E-4</v>
      </c>
      <c r="R989" s="33">
        <f>+R643/'[19]Stat by Mat 2'!$D$5</f>
        <v>-7.3322819455030001E-3</v>
      </c>
      <c r="S989" s="34">
        <f>+S643/'[20]Stat by Mat 2'!$D$5</f>
        <v>-5.2460152728630235E-3</v>
      </c>
    </row>
    <row r="990" spans="1:19" hidden="1" outlineLevel="2" x14ac:dyDescent="0.25">
      <c r="A990" s="16" t="s">
        <v>15</v>
      </c>
      <c r="B990" s="25">
        <f>+B644/[21]Result!$H$15</f>
        <v>-6.3488046578110153E-3</v>
      </c>
      <c r="C990" s="25">
        <f>+C644/[1]Result!$H$15</f>
        <v>1.0981795447807157E-2</v>
      </c>
      <c r="D990" s="33">
        <f>+D644/[5]Result!$H$15</f>
        <v>-5.4273921444552738E-2</v>
      </c>
      <c r="E990" s="25">
        <f>+E644/[6]Result!$H$15</f>
        <v>-2.0523953288815133E-2</v>
      </c>
      <c r="F990" s="25">
        <f>+F644/[7]Result!$H$15</f>
        <v>1.6676286083450271E-4</v>
      </c>
      <c r="G990" s="33">
        <f>+G644/[8]Result!$H$15</f>
        <v>2.2439157199602756E-2</v>
      </c>
      <c r="H990" s="25">
        <f>+H644/[9]Result!$H$15</f>
        <v>2.0858483921722772E-2</v>
      </c>
      <c r="I990" s="25">
        <f>+I644/[10]Result!$H$15</f>
        <v>-5.6251266152654777E-4</v>
      </c>
      <c r="J990" s="33">
        <f>+J644/[11]Result!$H$15</f>
        <v>9.3203992199976219E-4</v>
      </c>
      <c r="K990" s="25">
        <f>+K644/[12]Result!$H$15</f>
        <v>-9.9075916508871761E-3</v>
      </c>
      <c r="L990" s="25">
        <f>+L644/[13]Result!$H$15</f>
        <v>2.9894702141133676E-2</v>
      </c>
      <c r="M990" s="25">
        <f>+M644/[14]Result!$H$15</f>
        <v>-0.3491499193019999</v>
      </c>
      <c r="N990" s="33">
        <f>+N644/[15]Result!$H$15</f>
        <v>-1.3536568128676088E-2</v>
      </c>
      <c r="O990" s="25">
        <f>+O644/[16]Result!$H$15</f>
        <v>-4.5755907704333625E-2</v>
      </c>
      <c r="P990" s="25">
        <f>+P644/[17]Result!$H$15</f>
        <v>0.16800438937278153</v>
      </c>
      <c r="Q990" s="33">
        <f>+Q644/[18]Result!$H$15</f>
        <v>2.2679663250003172E-3</v>
      </c>
      <c r="R990" s="33">
        <f>+R644/[19]Result!$H$15</f>
        <v>-1.7185692508435133E-2</v>
      </c>
      <c r="S990" s="34">
        <f>+S644/[20]Result!$H$15</f>
        <v>-1.4171520825121615E-2</v>
      </c>
    </row>
    <row r="991" spans="1:19" hidden="1" outlineLevel="2" x14ac:dyDescent="0.25">
      <c r="A991" s="16" t="s">
        <v>16</v>
      </c>
      <c r="B991" s="25">
        <f>+B645/[21]Result!$H$16</f>
        <v>-5.688055372017704E-3</v>
      </c>
      <c r="C991" s="25">
        <f>+C645/[1]Result!$H$16</f>
        <v>1.0204830968140009E-2</v>
      </c>
      <c r="D991" s="33">
        <f>+D645/[5]Result!$H$16</f>
        <v>-0.12776379856675019</v>
      </c>
      <c r="E991" s="25">
        <f>+E645/[6]Result!$H$16</f>
        <v>1.7640328634877401E-2</v>
      </c>
      <c r="F991" s="25">
        <f>+F645/[7]Result!$H$16</f>
        <v>-1.0238619749001854E-2</v>
      </c>
      <c r="G991" s="33">
        <f>+G645/[8]Result!$H$16</f>
        <v>-9.0049410199764361E-3</v>
      </c>
      <c r="H991" s="25">
        <f>+H645/[9]Result!$H$16</f>
        <v>4.8439454801747963E-3</v>
      </c>
      <c r="I991" s="25">
        <f>+I645/[10]Result!$H$16</f>
        <v>9.8204740235216938E-4</v>
      </c>
      <c r="J991" s="33">
        <f>+J645/[11]Result!$H$16</f>
        <v>7.26493753263907E-3</v>
      </c>
      <c r="K991" s="25">
        <f>+K645/[12]Result!$H$16</f>
        <v>-2.546506685581448E-3</v>
      </c>
      <c r="L991" s="25">
        <f>+L645/[13]Result!$H$16</f>
        <v>2.2685539383818246E-2</v>
      </c>
      <c r="M991" s="25">
        <f>+M645/[14]Result!$H$16</f>
        <v>-0.23625818686476027</v>
      </c>
      <c r="N991" s="33">
        <f>+N645/[15]Result!$H$16</f>
        <v>-1.2063408616860559E-2</v>
      </c>
      <c r="O991" s="25">
        <f>+O645/[16]Result!$H$16</f>
        <v>-4.2915040345958035E-2</v>
      </c>
      <c r="P991" s="25">
        <f>+P645/[17]Result!$H$16</f>
        <v>0.12165748830599001</v>
      </c>
      <c r="Q991" s="33">
        <f>+Q645/[18]Result!$H$16</f>
        <v>1.8636739401159277E-3</v>
      </c>
      <c r="R991" s="33">
        <f>+R645/[19]Result!$H$16</f>
        <v>-1.5684147360400736E-2</v>
      </c>
      <c r="S991" s="34">
        <f>+S645/[20]Result!$H$16</f>
        <v>-1.5064553220903882E-2</v>
      </c>
    </row>
    <row r="992" spans="1:19" hidden="1" outlineLevel="2" x14ac:dyDescent="0.25">
      <c r="A992" s="16" t="s">
        <v>17</v>
      </c>
      <c r="B992" s="25">
        <f>+B646/[21]Result!$H$17</f>
        <v>-5.8266095123510392E-3</v>
      </c>
      <c r="C992" s="25">
        <f>+C646/[1]Result!$H$17</f>
        <v>1.0412512656350821E-2</v>
      </c>
      <c r="D992" s="33">
        <f>+D646/[5]Result!$H$17</f>
        <v>-0.13752037550527788</v>
      </c>
      <c r="E992" s="25">
        <f>+E646/[6]Result!$H$17</f>
        <v>2.9044772946880935E-2</v>
      </c>
      <c r="F992" s="25">
        <f>+F646/[7]Result!$H$17</f>
        <v>-1.1693733901493822E-2</v>
      </c>
      <c r="G992" s="33">
        <f>+G646/[8]Result!$H$17</f>
        <v>-1.6228084497254602E-2</v>
      </c>
      <c r="H992" s="25">
        <f>+H646/[9]Result!$H$17</f>
        <v>-8.5907259847693585E-3</v>
      </c>
      <c r="I992" s="25">
        <f>+I646/[10]Result!$H$17</f>
        <v>-1.2215558951641173E-3</v>
      </c>
      <c r="J992" s="33">
        <f>+J646/[11]Result!$H$17</f>
        <v>5.3022448215172173E-3</v>
      </c>
      <c r="K992" s="25">
        <f>+K646/[12]Result!$H$17</f>
        <v>4.1209943291392196E-3</v>
      </c>
      <c r="L992" s="25">
        <f>+L646/[13]Result!$H$17</f>
        <v>-6.4120637275736562E-4</v>
      </c>
      <c r="M992" s="25">
        <f>+M646/[14]Result!$H$17</f>
        <v>-0.21526742662140905</v>
      </c>
      <c r="N992" s="33">
        <f>+N646/[15]Result!$H$17</f>
        <v>-1.1683368809982332E-2</v>
      </c>
      <c r="O992" s="25">
        <f>+O646/[16]Result!$H$17</f>
        <v>-2.4180334211177074E-2</v>
      </c>
      <c r="P992" s="25">
        <f>+P646/[17]Result!$H$17</f>
        <v>9.8279846106208865E-2</v>
      </c>
      <c r="Q992" s="33">
        <f>+Q646/[18]Result!$H$17</f>
        <v>2.1342475117354836E-3</v>
      </c>
      <c r="R992" s="33">
        <f>+R646/[19]Result!$H$17</f>
        <v>-1.3222265310138984E-2</v>
      </c>
      <c r="S992" s="34">
        <f>+S646/[20]Result!$H$17</f>
        <v>-1.5025537837856475E-2</v>
      </c>
    </row>
    <row r="993" spans="1:19" hidden="1" outlineLevel="2" x14ac:dyDescent="0.25">
      <c r="A993" s="16" t="s">
        <v>18</v>
      </c>
      <c r="B993" s="25">
        <f>+B647/[21]Result!$H$18</f>
        <v>-7.0775104434488692E-3</v>
      </c>
      <c r="C993" s="25">
        <f>+C647/[1]Result!$H$18</f>
        <v>1.1310218775719055E-2</v>
      </c>
      <c r="D993" s="33">
        <f>+D647/[5]Result!$H$18</f>
        <v>-0.13455720427015014</v>
      </c>
      <c r="E993" s="25">
        <f>+E647/[6]Result!$H$18</f>
        <v>3.0264982647326667E-2</v>
      </c>
      <c r="F993" s="25">
        <f>+F647/[7]Result!$H$18</f>
        <v>-1.3389317087175962E-2</v>
      </c>
      <c r="G993" s="33">
        <f>+G647/[8]Result!$H$18</f>
        <v>-1.2218745747823178E-2</v>
      </c>
      <c r="H993" s="25">
        <f>+H647/[9]Result!$H$18</f>
        <v>-9.3243935925436776E-3</v>
      </c>
      <c r="I993" s="25">
        <f>+I647/[10]Result!$H$18</f>
        <v>-3.6028344767261933E-3</v>
      </c>
      <c r="J993" s="33">
        <f>+J647/[11]Result!$H$18</f>
        <v>8.224259415074129E-3</v>
      </c>
      <c r="K993" s="25">
        <f>+K647/[12]Result!$H$18</f>
        <v>4.0765626786720948E-3</v>
      </c>
      <c r="L993" s="25">
        <f>+L647/[13]Result!$H$18</f>
        <v>-1.8602753699166107E-2</v>
      </c>
      <c r="M993" s="25">
        <f>+M647/[14]Result!$H$18</f>
        <v>-0.1979347915904611</v>
      </c>
      <c r="N993" s="33">
        <f>+N647/[15]Result!$H$18</f>
        <v>-1.1729610634510253E-2</v>
      </c>
      <c r="O993" s="25">
        <f>+O647/[16]Result!$H$18</f>
        <v>1.365521857704425E-3</v>
      </c>
      <c r="P993" s="25">
        <f>+P647/[17]Result!$H$18</f>
        <v>6.6862367055349176E-2</v>
      </c>
      <c r="Q993" s="33">
        <f>+Q647/[18]Result!$H$18</f>
        <v>1.5585909113668953E-3</v>
      </c>
      <c r="R993" s="33">
        <f>+R647/[19]Result!$H$18</f>
        <v>-1.165562888192723E-2</v>
      </c>
      <c r="S993" s="34">
        <f>+S647/[20]Result!$H$18</f>
        <v>-1.3386097274659154E-2</v>
      </c>
    </row>
    <row r="994" spans="1:19" hidden="1" outlineLevel="2" x14ac:dyDescent="0.25">
      <c r="A994" s="16" t="s">
        <v>19</v>
      </c>
      <c r="B994" s="25">
        <f>+B648/[21]Result!$H$19</f>
        <v>-9.5100970667352826E-3</v>
      </c>
      <c r="C994" s="25">
        <f>+C648/[1]Result!$H$19</f>
        <v>1.2998069473005552E-2</v>
      </c>
      <c r="D994" s="33">
        <f>+D648/[5]Result!$H$19</f>
        <v>-0.1320432131330781</v>
      </c>
      <c r="E994" s="25">
        <f>+E648/[6]Result!$H$19</f>
        <v>3.1301277270800919E-2</v>
      </c>
      <c r="F994" s="25">
        <f>+F648/[7]Result!$H$19</f>
        <v>-1.5181768326257051E-2</v>
      </c>
      <c r="G994" s="33">
        <f>+G648/[8]Result!$H$19</f>
        <v>-2.0853446737258138E-2</v>
      </c>
      <c r="H994" s="25">
        <f>+H648/[9]Result!$H$19</f>
        <v>-1.1013805762344708E-2</v>
      </c>
      <c r="I994" s="25">
        <f>+I648/[10]Result!$H$19</f>
        <v>-4.5799099988092897E-3</v>
      </c>
      <c r="J994" s="33">
        <f>+J648/[11]Result!$H$19</f>
        <v>1.346888430647715E-3</v>
      </c>
      <c r="K994" s="25">
        <f>+K648/[12]Result!$H$19</f>
        <v>3.9764805919685993E-3</v>
      </c>
      <c r="L994" s="25">
        <f>+L648/[13]Result!$H$19</f>
        <v>-2.1197713660231647E-2</v>
      </c>
      <c r="M994" s="25">
        <f>+M648/[14]Result!$H$19</f>
        <v>-0.19545762397705896</v>
      </c>
      <c r="N994" s="33">
        <f>+N648/[15]Result!$H$19</f>
        <v>-9.7113503558765215E-3</v>
      </c>
      <c r="O994" s="25">
        <f>+O648/[16]Result!$H$19</f>
        <v>1.8117993535797489E-2</v>
      </c>
      <c r="P994" s="25">
        <f>+P648/[17]Result!$H$19</f>
        <v>3.4347117167108192E-2</v>
      </c>
      <c r="Q994" s="33">
        <f>+Q648/[18]Result!$H$19</f>
        <v>2.49990109794084E-3</v>
      </c>
      <c r="R994" s="33">
        <f>+R648/[19]Result!$H$19</f>
        <v>-1.0143608215686169E-2</v>
      </c>
      <c r="S994" s="34">
        <f>+S648/[20]Result!$H$19</f>
        <v>-1.1238322132753879E-2</v>
      </c>
    </row>
    <row r="995" spans="1:19" hidden="1" outlineLevel="2" x14ac:dyDescent="0.25">
      <c r="A995" s="16" t="s">
        <v>20</v>
      </c>
      <c r="B995" s="25">
        <f>+B649/[21]Result!$H$20</f>
        <v>-1.1590177192627536E-2</v>
      </c>
      <c r="C995" s="25">
        <f>+C649/[1]Result!$H$20</f>
        <v>1.3202838620386875E-2</v>
      </c>
      <c r="D995" s="33">
        <f>+D649/[5]Result!$H$20</f>
        <v>-0.13378864068374399</v>
      </c>
      <c r="E995" s="25">
        <f>+E649/[6]Result!$H$20</f>
        <v>3.3222861705718754E-2</v>
      </c>
      <c r="F995" s="25">
        <f>+F649/[7]Result!$H$20</f>
        <v>-1.7101160106846473E-2</v>
      </c>
      <c r="G995" s="33">
        <f>+G649/[8]Result!$H$20</f>
        <v>-2.7723114238733887E-2</v>
      </c>
      <c r="H995" s="25">
        <f>+H649/[9]Result!$H$20</f>
        <v>-1.2805660800255648E-2</v>
      </c>
      <c r="I995" s="25">
        <f>+I649/[10]Result!$H$20</f>
        <v>-5.5981207339151368E-3</v>
      </c>
      <c r="J995" s="33">
        <f>+J649/[11]Result!$H$20</f>
        <v>6.9014973809638155E-3</v>
      </c>
      <c r="K995" s="25">
        <f>+K649/[12]Result!$H$20</f>
        <v>3.6679994726245596E-3</v>
      </c>
      <c r="L995" s="25">
        <f>+L649/[13]Result!$H$20</f>
        <v>-2.4009492943064731E-2</v>
      </c>
      <c r="M995" s="25">
        <f>+M649/[14]Result!$H$20</f>
        <v>-0.20194404573869393</v>
      </c>
      <c r="N995" s="33">
        <f>+N649/[15]Result!$H$20</f>
        <v>4.6833451713976004E-4</v>
      </c>
      <c r="O995" s="25">
        <f>+O649/[16]Result!$H$20</f>
        <v>3.0765255776408804E-2</v>
      </c>
      <c r="P995" s="25">
        <f>+P649/[17]Result!$H$20</f>
        <v>4.9627504654262558E-3</v>
      </c>
      <c r="Q995" s="33">
        <f>+Q649/[18]Result!$H$20</f>
        <v>-1.0773995503803957E-3</v>
      </c>
      <c r="R995" s="33">
        <f>+R649/[19]Result!$H$20</f>
        <v>-5.3218849171931518E-4</v>
      </c>
      <c r="S995" s="34">
        <f>+S649/[20]Result!$H$20</f>
        <v>6.6479667495925249E-4</v>
      </c>
    </row>
    <row r="996" spans="1:19" hidden="1" outlineLevel="2" x14ac:dyDescent="0.25">
      <c r="A996" s="16" t="s">
        <v>21</v>
      </c>
      <c r="B996" s="25">
        <f>+B650/[21]Result!$H$21</f>
        <v>-1.2600931291782811E-2</v>
      </c>
      <c r="C996" s="25">
        <f>+C650/[1]Result!$H$21</f>
        <v>1.1401632776914195E-2</v>
      </c>
      <c r="D996" s="33">
        <f>+D650/[5]Result!$H$21</f>
        <v>-0.13481873528271157</v>
      </c>
      <c r="E996" s="25">
        <f>+E650/[6]Result!$H$21</f>
        <v>3.6244770210320305E-2</v>
      </c>
      <c r="F996" s="25">
        <f>+F650/[7]Result!$H$21</f>
        <v>-1.9291061602640654E-2</v>
      </c>
      <c r="G996" s="33">
        <f>+G650/[8]Result!$H$21</f>
        <v>-3.0506570047261972E-2</v>
      </c>
      <c r="H996" s="25">
        <f>+H650/[9]Result!$H$21</f>
        <v>-1.4234467697619312E-2</v>
      </c>
      <c r="I996" s="25">
        <f>+I650/[10]Result!$H$21</f>
        <v>-7.0310921575071966E-3</v>
      </c>
      <c r="J996" s="33">
        <f>+J650/[11]Result!$H$21</f>
        <v>1.2460909308120724E-2</v>
      </c>
      <c r="K996" s="25">
        <f>+K650/[12]Result!$H$21</f>
        <v>3.2992098319571585E-3</v>
      </c>
      <c r="L996" s="25">
        <f>+L650/[13]Result!$H$21</f>
        <v>-2.6669986789214995E-2</v>
      </c>
      <c r="M996" s="25">
        <f>+M650/[14]Result!$H$21</f>
        <v>-0.20506943758046745</v>
      </c>
      <c r="N996" s="33">
        <f>+N650/[15]Result!$H$21</f>
        <v>9.1658849752126407E-3</v>
      </c>
      <c r="O996" s="25">
        <f>+O650/[16]Result!$H$21</f>
        <v>3.5725213790523812E-2</v>
      </c>
      <c r="P996" s="25">
        <f>+P650/[17]Result!$H$21</f>
        <v>-1.0041002079043336E-2</v>
      </c>
      <c r="Q996" s="33">
        <f>+Q650/[18]Result!$H$21</f>
        <v>-6.4173551943188583E-3</v>
      </c>
      <c r="R996" s="33">
        <f>+R650/[19]Result!$H$21</f>
        <v>7.2614128477445621E-3</v>
      </c>
      <c r="S996" s="34">
        <f>+S650/[20]Result!$H$21</f>
        <v>1.1891773843755478E-2</v>
      </c>
    </row>
    <row r="997" spans="1:19" hidden="1" outlineLevel="2" x14ac:dyDescent="0.25">
      <c r="A997" s="16" t="s">
        <v>22</v>
      </c>
      <c r="B997" s="25">
        <f>+B651/[21]Result!$H$22</f>
        <v>-1.3047715980505362E-2</v>
      </c>
      <c r="C997" s="25">
        <f>+C651/[1]Result!$H$22</f>
        <v>9.2622684534400413E-3</v>
      </c>
      <c r="D997" s="33">
        <f>+D651/[5]Result!$H$22</f>
        <v>-0.13097559147008217</v>
      </c>
      <c r="E997" s="25">
        <f>+E651/[6]Result!$H$22</f>
        <v>3.9268957068140591E-2</v>
      </c>
      <c r="F997" s="25">
        <f>+F651/[7]Result!$H$22</f>
        <v>-2.1518631696201242E-2</v>
      </c>
      <c r="G997" s="33">
        <f>+G651/[8]Result!$H$22</f>
        <v>-3.3149058818580393E-2</v>
      </c>
      <c r="H997" s="25">
        <f>+H651/[9]Result!$H$22</f>
        <v>-1.5385289547479567E-2</v>
      </c>
      <c r="I997" s="25">
        <f>+I651/[10]Result!$H$22</f>
        <v>-8.6719192817398798E-3</v>
      </c>
      <c r="J997" s="33">
        <f>+J651/[11]Result!$H$22</f>
        <v>2.5161632186096721E-2</v>
      </c>
      <c r="K997" s="25">
        <f>+K651/[12]Result!$H$22</f>
        <v>2.9492194886357377E-3</v>
      </c>
      <c r="L997" s="25">
        <f>+L651/[13]Result!$H$22</f>
        <v>-2.9110796911735189E-2</v>
      </c>
      <c r="M997" s="25">
        <f>+M651/[14]Result!$H$22</f>
        <v>-0.19507913314826722</v>
      </c>
      <c r="N997" s="33">
        <f>+N651/[15]Result!$H$22</f>
        <v>9.8765316825030081E-3</v>
      </c>
      <c r="O997" s="25">
        <f>+O651/[16]Result!$H$22</f>
        <v>3.7609816355186086E-2</v>
      </c>
      <c r="P997" s="25">
        <f>+P651/[17]Result!$H$22</f>
        <v>-2.9237008531919563E-3</v>
      </c>
      <c r="Q997" s="33">
        <f>+Q651/[18]Result!$H$22</f>
        <v>-7.4764493238612213E-3</v>
      </c>
      <c r="R997" s="33">
        <f>+R651/[19]Result!$H$22</f>
        <v>6.3339814801259111E-3</v>
      </c>
      <c r="S997" s="34">
        <f>+S651/[20]Result!$H$22</f>
        <v>1.2493584192171342E-2</v>
      </c>
    </row>
    <row r="998" spans="1:19" hidden="1" outlineLevel="2" x14ac:dyDescent="0.25">
      <c r="A998" s="16" t="s">
        <v>23</v>
      </c>
      <c r="B998" s="25">
        <f>+B652/[21]Result!$H$23</f>
        <v>-1.3667840950240423E-2</v>
      </c>
      <c r="C998" s="25">
        <f>+C652/[1]Result!$H$23</f>
        <v>8.5750100426750849E-3</v>
      </c>
      <c r="D998" s="33">
        <f>+D652/[5]Result!$H$23</f>
        <v>-0.12106662783572678</v>
      </c>
      <c r="E998" s="25">
        <f>+E652/[6]Result!$H$23</f>
        <v>4.1311510301209088E-2</v>
      </c>
      <c r="F998" s="25">
        <f>+F652/[7]Result!$H$23</f>
        <v>-2.3872886673562885E-2</v>
      </c>
      <c r="G998" s="33">
        <f>+G652/[8]Result!$H$23</f>
        <v>-2.9803907035671109E-2</v>
      </c>
      <c r="H998" s="25">
        <f>+H652/[9]Result!$H$23</f>
        <v>-1.620177500499919E-2</v>
      </c>
      <c r="I998" s="25">
        <f>+I652/[10]Result!$H$23</f>
        <v>-1.0347253024662937E-2</v>
      </c>
      <c r="J998" s="33">
        <f>+J652/[11]Result!$H$23</f>
        <v>3.904329686675248E-2</v>
      </c>
      <c r="K998" s="25">
        <f>+K652/[12]Result!$H$23</f>
        <v>2.6393400432423407E-3</v>
      </c>
      <c r="L998" s="25">
        <f>+L652/[13]Result!$H$23</f>
        <v>-3.129041141283289E-2</v>
      </c>
      <c r="M998" s="25">
        <f>+M652/[14]Result!$H$23</f>
        <v>-0.18049935550451185</v>
      </c>
      <c r="N998" s="33">
        <f>+N652/[15]Result!$H$23</f>
        <v>1.0987362750391395E-2</v>
      </c>
      <c r="O998" s="25">
        <f>+O652/[16]Result!$H$23</f>
        <v>3.9377550122059533E-2</v>
      </c>
      <c r="P998" s="25">
        <f>+P652/[17]Result!$H$23</f>
        <v>3.9991279326383986E-4</v>
      </c>
      <c r="Q998" s="33">
        <f>+Q652/[18]Result!$H$23</f>
        <v>-7.9617674485000563E-3</v>
      </c>
      <c r="R998" s="33">
        <f>+R652/[19]Result!$H$23</f>
        <v>5.5494713607468112E-3</v>
      </c>
      <c r="S998" s="34">
        <f>+S652/[20]Result!$H$23</f>
        <v>1.3263995111524644E-2</v>
      </c>
    </row>
    <row r="999" spans="1:19" hidden="1" outlineLevel="2" x14ac:dyDescent="0.25">
      <c r="A999" s="16" t="s">
        <v>24</v>
      </c>
      <c r="B999" s="25">
        <f>+B653/[21]Result!$H$24</f>
        <v>-1.5070027591381012E-2</v>
      </c>
      <c r="C999" s="25">
        <f>+C653/[1]Result!$H$24</f>
        <v>1.0793999020670141E-2</v>
      </c>
      <c r="D999" s="33">
        <f>+D653/[5]Result!$H$24</f>
        <v>-0.12466648791570741</v>
      </c>
      <c r="E999" s="25">
        <f>+E653/[6]Result!$H$24</f>
        <v>4.1577165208122775E-2</v>
      </c>
      <c r="F999" s="25">
        <f>+F653/[7]Result!$H$24</f>
        <v>-2.6338292858023228E-2</v>
      </c>
      <c r="G999" s="33">
        <f>+G653/[8]Result!$H$24</f>
        <v>-3.8018506178963948E-2</v>
      </c>
      <c r="H999" s="25">
        <f>+H653/[9]Result!$H$24</f>
        <v>-1.6728514739148548E-2</v>
      </c>
      <c r="I999" s="25">
        <f>+I653/[10]Result!$H$24</f>
        <v>-1.204928131440736E-2</v>
      </c>
      <c r="J999" s="33">
        <f>+J653/[11]Result!$H$24</f>
        <v>3.3632619575169068E-2</v>
      </c>
      <c r="K999" s="25">
        <f>+K653/[12]Result!$H$24</f>
        <v>2.274540756754804E-3</v>
      </c>
      <c r="L999" s="25">
        <f>+L653/[13]Result!$H$24</f>
        <v>-3.3141438201733001E-2</v>
      </c>
      <c r="M999" s="25">
        <f>+M653/[14]Result!$H$24</f>
        <v>-0.17742720821636632</v>
      </c>
      <c r="N999" s="33">
        <f>+N653/[15]Result!$H$24</f>
        <v>1.2248502115267344E-2</v>
      </c>
      <c r="O999" s="25">
        <f>+O653/[16]Result!$H$24</f>
        <v>4.1019095301344899E-2</v>
      </c>
      <c r="P999" s="25">
        <f>+P653/[17]Result!$H$24</f>
        <v>-4.3213737330589181E-3</v>
      </c>
      <c r="Q999" s="33">
        <f>+Q653/[18]Result!$H$24</f>
        <v>-8.0710029890450931E-3</v>
      </c>
      <c r="R999" s="33">
        <f>+R653/[19]Result!$H$24</f>
        <v>4.9442727579310135E-3</v>
      </c>
      <c r="S999" s="34">
        <f>+S653/[20]Result!$H$24</f>
        <v>1.4051804879557076E-2</v>
      </c>
    </row>
    <row r="1000" spans="1:19" hidden="1" outlineLevel="1" x14ac:dyDescent="0.25">
      <c r="A1000" s="15" t="s">
        <v>25</v>
      </c>
      <c r="B1000" s="25">
        <f>+B654/'[21]Stat by Mat 2'!$D$6</f>
        <v>-2.0821682945237556E-2</v>
      </c>
      <c r="C1000" s="25">
        <f>+C654/'[1]Stat by Mat 2'!$D$6</f>
        <v>2.3178724151201178E-2</v>
      </c>
      <c r="D1000" s="33">
        <f>+D654/'[5]Stat by Mat 2'!$D$6</f>
        <v>-0.11819243506031181</v>
      </c>
      <c r="E1000" s="25">
        <f>+E654/'[6]Stat by Mat 2'!$D$6</f>
        <v>3.8212241713952502E-2</v>
      </c>
      <c r="F1000" s="25">
        <f>+F654/'[7]Stat by Mat 2'!$D$6</f>
        <v>-3.3059038553444331E-2</v>
      </c>
      <c r="G1000" s="33">
        <f>+G654/'[8]Stat by Mat 2'!$D$6</f>
        <v>-3.6677574982024633E-2</v>
      </c>
      <c r="H1000" s="25">
        <f>+H654/'[9]Stat by Mat 2'!$D$6</f>
        <v>-1.817574471958636E-2</v>
      </c>
      <c r="I1000" s="25">
        <f>+I654/'[10]Stat by Mat 2'!$D$6</f>
        <v>-1.7221313697167926E-2</v>
      </c>
      <c r="J1000" s="33">
        <f>+J654/'[11]Stat by Mat 2'!$D$6</f>
        <v>6.7640140302520413E-2</v>
      </c>
      <c r="K1000" s="25">
        <f>+K654/'[12]Stat by Mat 2'!$D$6</f>
        <v>9.9977741520090803E-4</v>
      </c>
      <c r="L1000" s="25">
        <f>+L654/'[13]Stat by Mat 2'!$D$6</f>
        <v>-3.8980368647617586E-2</v>
      </c>
      <c r="M1000" s="25">
        <f>+M654/'[14]Stat by Mat 2'!$D$6</f>
        <v>-0.28389437174637577</v>
      </c>
      <c r="N1000" s="33">
        <f>+N654/'[15]Stat by Mat 2'!$D$6</f>
        <v>1.6369756039561402E-2</v>
      </c>
      <c r="O1000" s="25">
        <f>+O654/'[16]Stat by Mat 2'!$D$6</f>
        <v>4.6166108501545997E-2</v>
      </c>
      <c r="P1000" s="25">
        <f>+P654/'[17]Stat by Mat 2'!$D$6</f>
        <v>9.8945676945547956E-3</v>
      </c>
      <c r="Q1000" s="33">
        <f>+Q654/'[18]Stat by Mat 2'!$D$6</f>
        <v>-8.1648866372439673E-3</v>
      </c>
      <c r="R1000" s="33">
        <f>+R654/'[19]Stat by Mat 2'!$D$6</f>
        <v>3.1384211044712066E-3</v>
      </c>
      <c r="S1000" s="34">
        <f>+S654/'[20]Stat by Mat 2'!$D$6</f>
        <v>1.6685395570219044E-2</v>
      </c>
    </row>
    <row r="1001" spans="1:19" hidden="1" outlineLevel="2" x14ac:dyDescent="0.25">
      <c r="A1001" s="16" t="s">
        <v>26</v>
      </c>
      <c r="B1001" s="25">
        <f>+B655/[21]Result!$H$25</f>
        <v>-1.6925525577035142E-2</v>
      </c>
      <c r="C1001" s="25">
        <f>+C655/[1]Result!$H$25</f>
        <v>1.4702185487464808E-2</v>
      </c>
      <c r="D1001" s="33">
        <f>+D655/[5]Result!$H$25</f>
        <v>-0.12815672430272579</v>
      </c>
      <c r="E1001" s="25">
        <f>+E655/[6]Result!$H$25</f>
        <v>4.0613750124009189E-2</v>
      </c>
      <c r="F1001" s="25">
        <f>+F655/[7]Result!$H$25</f>
        <v>-2.8507178827945619E-2</v>
      </c>
      <c r="G1001" s="33">
        <f>+G655/[8]Result!$H$25</f>
        <v>-4.3481341261603981E-2</v>
      </c>
      <c r="H1001" s="25">
        <f>+H655/[9]Result!$H$25</f>
        <v>-1.7127334733184986E-2</v>
      </c>
      <c r="I1001" s="25">
        <f>+I655/[10]Result!$H$25</f>
        <v>-1.365104715808692E-2</v>
      </c>
      <c r="J1001" s="33">
        <f>+J655/[11]Result!$H$25</f>
        <v>4.0065746268079863E-2</v>
      </c>
      <c r="K1001" s="25">
        <f>+K655/[12]Result!$H$25</f>
        <v>1.8680080085005865E-3</v>
      </c>
      <c r="L1001" s="25">
        <f>+L655/[13]Result!$H$25</f>
        <v>-3.4828743694400435E-2</v>
      </c>
      <c r="M1001" s="25">
        <f>+M655/[14]Result!$H$25</f>
        <v>-0.19529573996262509</v>
      </c>
      <c r="N1001" s="33">
        <f>+N655/[15]Result!$H$25</f>
        <v>1.3477653923794247E-2</v>
      </c>
      <c r="O1001" s="25">
        <f>+O655/[16]Result!$H$25</f>
        <v>4.2511994466951988E-2</v>
      </c>
      <c r="P1001" s="25">
        <f>+P655/[17]Result!$H$25</f>
        <v>-4.6910609139488588E-3</v>
      </c>
      <c r="Q1001" s="33">
        <f>+Q655/[18]Result!$H$25</f>
        <v>-8.0519528064014519E-3</v>
      </c>
      <c r="R1001" s="33">
        <f>+R655/[19]Result!$H$25</f>
        <v>4.3532609862271454E-3</v>
      </c>
      <c r="S1001" s="34">
        <f>+S655/[20]Result!$H$25</f>
        <v>1.4952125495447558E-2</v>
      </c>
    </row>
    <row r="1002" spans="1:19" hidden="1" outlineLevel="2" x14ac:dyDescent="0.25">
      <c r="A1002" s="16" t="s">
        <v>27</v>
      </c>
      <c r="B1002" s="25">
        <f>+B656/[21]Result!$H$26</f>
        <v>-1.8666954480821844E-2</v>
      </c>
      <c r="C1002" s="25">
        <f>+C656/[1]Result!$H$26</f>
        <v>1.8381138553806787E-2</v>
      </c>
      <c r="D1002" s="33">
        <f>+D656/[5]Result!$H$26</f>
        <v>-0.1309091313909263</v>
      </c>
      <c r="E1002" s="25">
        <f>+E656/[6]Result!$H$26</f>
        <v>3.9600700828798727E-2</v>
      </c>
      <c r="F1002" s="25">
        <f>+F656/[7]Result!$H$26</f>
        <v>-3.0447571188093908E-2</v>
      </c>
      <c r="G1002" s="33">
        <f>+G656/[8]Result!$H$26</f>
        <v>-4.7494281384375378E-2</v>
      </c>
      <c r="H1002" s="25">
        <f>+H656/[9]Result!$H$26</f>
        <v>-1.7597915016429422E-2</v>
      </c>
      <c r="I1002" s="25">
        <f>+I656/[10]Result!$H$26</f>
        <v>-1.5027040734197375E-2</v>
      </c>
      <c r="J1002" s="33">
        <f>+J656/[11]Result!$H$26</f>
        <v>4.841996699773133E-2</v>
      </c>
      <c r="K1002" s="25">
        <f>+K656/[12]Result!$H$26</f>
        <v>1.5190843390510246E-3</v>
      </c>
      <c r="L1002" s="25">
        <f>+L656/[13]Result!$H$26</f>
        <v>-3.6408616383642796E-2</v>
      </c>
      <c r="M1002" s="25">
        <f>+M656/[14]Result!$H$26</f>
        <v>-0.21784768275857716</v>
      </c>
      <c r="N1002" s="33">
        <f>+N656/[15]Result!$H$26</f>
        <v>1.4653971429568646E-2</v>
      </c>
      <c r="O1002" s="25">
        <f>+O656/[16]Result!$H$26</f>
        <v>4.384676287664311E-2</v>
      </c>
      <c r="P1002" s="25">
        <f>+P656/[17]Result!$H$26</f>
        <v>-2.0456955644963105E-3</v>
      </c>
      <c r="Q1002" s="33">
        <f>+Q656/[18]Result!$H$26</f>
        <v>-8.1053072565025683E-3</v>
      </c>
      <c r="R1002" s="33">
        <f>+R656/[19]Result!$H$26</f>
        <v>3.7971291180905202E-3</v>
      </c>
      <c r="S1002" s="34">
        <f>+S656/[20]Result!$H$26</f>
        <v>1.5646083081467681E-2</v>
      </c>
    </row>
    <row r="1003" spans="1:19" hidden="1" outlineLevel="2" x14ac:dyDescent="0.25">
      <c r="A1003" s="16" t="s">
        <v>28</v>
      </c>
      <c r="B1003" s="25">
        <f>+B657/[21]Result!$H$27</f>
        <v>-2.0035999045347197E-2</v>
      </c>
      <c r="C1003" s="25">
        <f>+C657/[1]Result!$H$27</f>
        <v>2.1520649136538061E-2</v>
      </c>
      <c r="D1003" s="33">
        <f>+D657/[5]Result!$H$27</f>
        <v>-0.12922795333604181</v>
      </c>
      <c r="E1003" s="25">
        <f>+E657/[6]Result!$H$27</f>
        <v>3.8675919981033924E-2</v>
      </c>
      <c r="F1003" s="25">
        <f>+F657/[7]Result!$H$27</f>
        <v>-3.2098847729628122E-2</v>
      </c>
      <c r="G1003" s="33">
        <f>+G657/[8]Result!$H$27</f>
        <v>-4.8030490415085426E-2</v>
      </c>
      <c r="H1003" s="25">
        <f>+H657/[9]Result!$H$27</f>
        <v>-1.8033427107826159E-2</v>
      </c>
      <c r="I1003" s="25">
        <f>+I657/[10]Result!$H$27</f>
        <v>-1.6244025689760858E-2</v>
      </c>
      <c r="J1003" s="33">
        <f>+J657/[11]Result!$H$27</f>
        <v>6.2373721757132253E-2</v>
      </c>
      <c r="K1003" s="25">
        <f>+K657/[12]Result!$H$27</f>
        <v>1.2483584651104228E-3</v>
      </c>
      <c r="L1003" s="25">
        <f>+L657/[13]Result!$H$27</f>
        <v>-3.7885299398483833E-2</v>
      </c>
      <c r="M1003" s="25">
        <f>+M657/[14]Result!$H$27</f>
        <v>-0.23965554432366051</v>
      </c>
      <c r="N1003" s="33">
        <f>+N657/[15]Result!$H$27</f>
        <v>1.5650481009745053E-2</v>
      </c>
      <c r="O1003" s="25">
        <f>+O657/[16]Result!$H$27</f>
        <v>4.5244409738289533E-2</v>
      </c>
      <c r="P1003" s="25">
        <f>+P657/[17]Result!$H$27</f>
        <v>5.3614727922506669E-3</v>
      </c>
      <c r="Q1003" s="33">
        <f>+Q657/[18]Result!$H$27</f>
        <v>-8.1239451994437276E-3</v>
      </c>
      <c r="R1003" s="33">
        <f>+R657/[19]Result!$H$27</f>
        <v>3.4008515464753883E-3</v>
      </c>
      <c r="S1003" s="34">
        <f>+S657/[20]Result!$H$27</f>
        <v>1.6234537246153216E-2</v>
      </c>
    </row>
    <row r="1004" spans="1:19" hidden="1" outlineLevel="2" x14ac:dyDescent="0.25">
      <c r="A1004" s="16" t="s">
        <v>29</v>
      </c>
      <c r="B1004" s="25">
        <f>+B658/[21]Result!$H$28</f>
        <v>-2.1229760251013828E-2</v>
      </c>
      <c r="C1004" s="25">
        <f>+C658/[1]Result!$H$28</f>
        <v>2.4142816011248694E-2</v>
      </c>
      <c r="D1004" s="33">
        <f>+D658/[5]Result!$H$28</f>
        <v>-0.12136396882255082</v>
      </c>
      <c r="E1004" s="25">
        <f>+E658/[6]Result!$H$28</f>
        <v>3.7891889218598922E-2</v>
      </c>
      <c r="F1004" s="25">
        <f>+F658/[7]Result!$H$28</f>
        <v>-3.3439376811668774E-2</v>
      </c>
      <c r="G1004" s="33">
        <f>+G658/[8]Result!$H$28</f>
        <v>-3.3924013922584741E-2</v>
      </c>
      <c r="H1004" s="25">
        <f>+H658/[9]Result!$H$28</f>
        <v>-1.8207429137130842E-2</v>
      </c>
      <c r="I1004" s="25">
        <f>+I658/[10]Result!$H$28</f>
        <v>-1.7512645208138323E-2</v>
      </c>
      <c r="J1004" s="33">
        <f>+J658/[11]Result!$H$28</f>
        <v>7.4095016640357309E-2</v>
      </c>
      <c r="K1004" s="25">
        <f>+K658/[12]Result!$H$28</f>
        <v>9.4283827849884604E-4</v>
      </c>
      <c r="L1004" s="25">
        <f>+L658/[13]Result!$H$28</f>
        <v>-3.9111976665690232E-2</v>
      </c>
      <c r="M1004" s="25">
        <f>+M658/[14]Result!$H$28</f>
        <v>-0.25743123146980773</v>
      </c>
      <c r="N1004" s="33">
        <f>+N658/[15]Result!$H$28</f>
        <v>1.6683062355223724E-2</v>
      </c>
      <c r="O1004" s="25">
        <f>+O658/[16]Result!$H$28</f>
        <v>4.6587887764085886E-2</v>
      </c>
      <c r="P1004" s="25">
        <f>+P658/[17]Result!$H$28</f>
        <v>7.9321618092025887E-3</v>
      </c>
      <c r="Q1004" s="33">
        <f>+Q658/[18]Result!$H$28</f>
        <v>-8.1196333352063655E-3</v>
      </c>
      <c r="R1004" s="33">
        <f>+R658/[19]Result!$H$28</f>
        <v>2.9505569483070193E-3</v>
      </c>
      <c r="S1004" s="34">
        <f>+S658/[20]Result!$H$28</f>
        <v>1.693062972565406E-2</v>
      </c>
    </row>
    <row r="1005" spans="1:19" hidden="1" outlineLevel="2" x14ac:dyDescent="0.25">
      <c r="A1005" s="16" t="s">
        <v>30</v>
      </c>
      <c r="B1005" s="25">
        <f>+B659/[21]Result!$H$29</f>
        <v>-2.2319390477779723E-2</v>
      </c>
      <c r="C1005" s="25">
        <f>+C659/[1]Result!$H$29</f>
        <v>2.653205399162099E-2</v>
      </c>
      <c r="D1005" s="33">
        <f>+D659/[5]Result!$H$29</f>
        <v>-0.11994641608665296</v>
      </c>
      <c r="E1005" s="25">
        <f>+E659/[6]Result!$H$29</f>
        <v>3.7287357239351532E-2</v>
      </c>
      <c r="F1005" s="25">
        <f>+F659/[7]Result!$H$29</f>
        <v>-3.4654774126787434E-2</v>
      </c>
      <c r="G1005" s="33">
        <f>+G659/[8]Result!$H$29</f>
        <v>-3.90655189026844E-2</v>
      </c>
      <c r="H1005" s="25">
        <f>+H659/[9]Result!$H$29</f>
        <v>-1.8463413600286679E-2</v>
      </c>
      <c r="I1005" s="25">
        <f>+I659/[10]Result!$H$29</f>
        <v>-1.8573708556597877E-2</v>
      </c>
      <c r="J1005" s="33">
        <f>+J659/[11]Result!$H$29</f>
        <v>6.1975947369648836E-2</v>
      </c>
      <c r="K1005" s="25">
        <f>+K659/[12]Result!$H$29</f>
        <v>6.1411345114486008E-4</v>
      </c>
      <c r="L1005" s="25">
        <f>+L659/[13]Result!$H$29</f>
        <v>-4.0204458200371662E-2</v>
      </c>
      <c r="M1005" s="25">
        <f>+M659/[14]Result!$H$29</f>
        <v>-0.28393924550426125</v>
      </c>
      <c r="N1005" s="33">
        <f>+N659/[15]Result!$H$29</f>
        <v>1.7613006751823059E-2</v>
      </c>
      <c r="O1005" s="25">
        <f>+O659/[16]Result!$H$29</f>
        <v>4.7756586706194704E-2</v>
      </c>
      <c r="P1005" s="25">
        <f>+P659/[17]Result!$H$29</f>
        <v>-3.1276984404796392E-3</v>
      </c>
      <c r="Q1005" s="33">
        <f>+Q659/[18]Result!$H$29</f>
        <v>-8.2057494162913053E-3</v>
      </c>
      <c r="R1005" s="33">
        <f>+R659/[19]Result!$H$29</f>
        <v>2.5837495622374469E-3</v>
      </c>
      <c r="S1005" s="34">
        <f>+S659/[20]Result!$H$29</f>
        <v>1.7499259844093094E-2</v>
      </c>
    </row>
    <row r="1006" spans="1:19" hidden="1" outlineLevel="2" x14ac:dyDescent="0.25">
      <c r="A1006" s="16" t="s">
        <v>31</v>
      </c>
      <c r="B1006" s="25">
        <f>+B660/[21]Result!$H$30</f>
        <v>-2.3180618818024409E-2</v>
      </c>
      <c r="C1006" s="25">
        <f>+C660/[1]Result!$H$30</f>
        <v>2.849960432970558E-2</v>
      </c>
      <c r="D1006" s="33">
        <f>+D660/[5]Result!$H$30</f>
        <v>-0.12266161724122453</v>
      </c>
      <c r="E1006" s="25">
        <f>+E660/[6]Result!$H$30</f>
        <v>3.6777769490955445E-2</v>
      </c>
      <c r="F1006" s="25">
        <f>+F660/[7]Result!$H$30</f>
        <v>-3.5737670056214914E-2</v>
      </c>
      <c r="G1006" s="33">
        <f>+G660/[8]Result!$H$30</f>
        <v>-4.7169020955352373E-2</v>
      </c>
      <c r="H1006" s="25">
        <f>+H660/[9]Result!$H$30</f>
        <v>-1.8798824307845127E-2</v>
      </c>
      <c r="I1006" s="25">
        <f>+I660/[10]Result!$H$30</f>
        <v>-1.9421714436770033E-2</v>
      </c>
      <c r="J1006" s="33">
        <f>+J660/[11]Result!$H$30</f>
        <v>7.6641416729492415E-2</v>
      </c>
      <c r="K1006" s="25">
        <f>+K660/[12]Result!$H$30</f>
        <v>3.8190190719449902E-4</v>
      </c>
      <c r="L1006" s="25">
        <f>+L660/[13]Result!$H$30</f>
        <v>-4.1373583597267373E-2</v>
      </c>
      <c r="M1006" s="25">
        <f>+M660/[14]Result!$H$30</f>
        <v>-0.33527315918787648</v>
      </c>
      <c r="N1006" s="33">
        <f>+N660/[15]Result!$H$30</f>
        <v>1.8441286637317492E-2</v>
      </c>
      <c r="O1006" s="25">
        <f>+O660/[16]Result!$H$30</f>
        <v>4.8866064886220369E-2</v>
      </c>
      <c r="P1006" s="25">
        <f>+P660/[17]Result!$H$30</f>
        <v>-1.9168920459806521E-3</v>
      </c>
      <c r="Q1006" s="33">
        <f>+Q660/[18]Result!$H$30</f>
        <v>-8.2727074908345681E-3</v>
      </c>
      <c r="R1006" s="33">
        <f>+R660/[19]Result!$H$30</f>
        <v>2.2983182928053157E-3</v>
      </c>
      <c r="S1006" s="34">
        <f>+S660/[20]Result!$H$30</f>
        <v>1.793098585275802E-2</v>
      </c>
    </row>
    <row r="1007" spans="1:19" hidden="1" outlineLevel="2" x14ac:dyDescent="0.25">
      <c r="A1007" s="16" t="s">
        <v>32</v>
      </c>
      <c r="B1007" s="25">
        <f>+B661/[21]Result!$H$31</f>
        <v>-2.4040631720494404E-2</v>
      </c>
      <c r="C1007" s="25">
        <f>+C661/[1]Result!$H$31</f>
        <v>3.0136272957902926E-2</v>
      </c>
      <c r="D1007" s="33">
        <f>+D661/[5]Result!$H$31</f>
        <v>-0.11778713597530267</v>
      </c>
      <c r="E1007" s="25">
        <f>+E661/[6]Result!$H$31</f>
        <v>3.6393421528777108E-2</v>
      </c>
      <c r="F1007" s="25">
        <f>+F661/[7]Result!$H$31</f>
        <v>-3.6799927782400502E-2</v>
      </c>
      <c r="G1007" s="33">
        <f>+G661/[8]Result!$H$31</f>
        <v>-4.8098396002012718E-2</v>
      </c>
      <c r="H1007" s="25">
        <f>+H661/[9]Result!$H$31</f>
        <v>-1.8977748656941889E-2</v>
      </c>
      <c r="I1007" s="25">
        <f>+I661/[10]Result!$H$31</f>
        <v>-2.0140324859238883E-2</v>
      </c>
      <c r="J1007" s="33">
        <f>+J661/[11]Result!$H$31</f>
        <v>9.7087803703883604E-2</v>
      </c>
      <c r="K1007" s="25">
        <f>+K661/[12]Result!$H$31</f>
        <v>4.0158242546172021E-4</v>
      </c>
      <c r="L1007" s="25">
        <f>+L661/[13]Result!$H$31</f>
        <v>-4.2389100559901062E-2</v>
      </c>
      <c r="M1007" s="25">
        <f>+M661/[14]Result!$H$31</f>
        <v>-0.41086057200242992</v>
      </c>
      <c r="N1007" s="33">
        <f>+N661/[15]Result!$H$31</f>
        <v>1.9412688414108915E-2</v>
      </c>
      <c r="O1007" s="25">
        <f>+O661/[16]Result!$H$31</f>
        <v>4.9774223380631685E-2</v>
      </c>
      <c r="P1007" s="25">
        <f>+P661/[17]Result!$H$31</f>
        <v>-3.8663982289434779E-3</v>
      </c>
      <c r="Q1007" s="33">
        <f>+Q661/[18]Result!$H$31</f>
        <v>-8.3204995820196272E-3</v>
      </c>
      <c r="R1007" s="33">
        <f>+R661/[19]Result!$H$31</f>
        <v>2.1246347212415585E-3</v>
      </c>
      <c r="S1007" s="34">
        <f>+S661/[20]Result!$H$31</f>
        <v>1.8205565952833444E-2</v>
      </c>
    </row>
    <row r="1008" spans="1:19" hidden="1" outlineLevel="2" x14ac:dyDescent="0.25">
      <c r="A1008" s="16" t="s">
        <v>33</v>
      </c>
      <c r="B1008" s="25">
        <f>+B662/[21]Result!$H$32</f>
        <v>-2.4761808528908587E-2</v>
      </c>
      <c r="C1008" s="25">
        <f>+C662/[1]Result!$H$32</f>
        <v>3.1669307621800064E-2</v>
      </c>
      <c r="D1008" s="33">
        <f>+D662/[5]Result!$H$32</f>
        <v>-0.11218497611909943</v>
      </c>
      <c r="E1008" s="25">
        <f>+E662/[6]Result!$H$32</f>
        <v>3.6018292156307426E-2</v>
      </c>
      <c r="F1008" s="25">
        <f>+F662/[7]Result!$H$32</f>
        <v>-3.770626533509485E-2</v>
      </c>
      <c r="G1008" s="33">
        <f>+G662/[8]Result!$H$32</f>
        <v>-4.6206470915387952E-2</v>
      </c>
      <c r="H1008" s="25">
        <f>+H662/[9]Result!$H$32</f>
        <v>-1.9118596581154137E-2</v>
      </c>
      <c r="I1008" s="25">
        <f>+I662/[10]Result!$H$32</f>
        <v>-2.073096221481056E-2</v>
      </c>
      <c r="J1008" s="33">
        <f>+J662/[11]Result!$H$32</f>
        <v>0.14774243410055049</v>
      </c>
      <c r="K1008" s="25">
        <f>+K662/[12]Result!$H$32</f>
        <v>2.7073418069582827E-4</v>
      </c>
      <c r="L1008" s="25">
        <f>+L662/[13]Result!$H$32</f>
        <v>-4.3232441642133808E-2</v>
      </c>
      <c r="M1008" s="25">
        <f>+M662/[14]Result!$H$32</f>
        <v>-0.48285187237421845</v>
      </c>
      <c r="N1008" s="33">
        <f>+N662/[15]Result!$H$32</f>
        <v>2.0119602528474664E-2</v>
      </c>
      <c r="O1008" s="25">
        <f>+O662/[16]Result!$H$32</f>
        <v>5.0764392305310234E-2</v>
      </c>
      <c r="P1008" s="25">
        <f>+P662/[17]Result!$H$32</f>
        <v>6.8352033472332485E-2</v>
      </c>
      <c r="Q1008" s="33">
        <f>+Q662/[18]Result!$H$32</f>
        <v>-8.3491742774363976E-3</v>
      </c>
      <c r="R1008" s="33">
        <f>+R662/[19]Result!$H$32</f>
        <v>1.9215850001893151E-3</v>
      </c>
      <c r="S1008" s="34">
        <f>+S662/[20]Result!$H$32</f>
        <v>1.8598460949110985E-2</v>
      </c>
    </row>
    <row r="1009" spans="1:19" hidden="1" outlineLevel="2" x14ac:dyDescent="0.25">
      <c r="A1009" s="16" t="s">
        <v>34</v>
      </c>
      <c r="B1009" s="25">
        <f>+B663/[21]Result!$H$33</f>
        <v>-2.5335528476830373E-2</v>
      </c>
      <c r="C1009" s="25">
        <f>+C663/[1]Result!$H$33</f>
        <v>3.293784839935672E-2</v>
      </c>
      <c r="D1009" s="33">
        <f>+D663/[5]Result!$H$33</f>
        <v>-3.5301143073803665E-2</v>
      </c>
      <c r="E1009" s="25">
        <f>+E663/[6]Result!$H$33</f>
        <v>3.5673306315132082E-2</v>
      </c>
      <c r="F1009" s="25">
        <f>+F663/[7]Result!$H$33</f>
        <v>-3.8308429630007773E-2</v>
      </c>
      <c r="G1009" s="33">
        <f>+G663/[8]Result!$H$33</f>
        <v>4.8103095645871612E-2</v>
      </c>
      <c r="H1009" s="25">
        <f>+H663/[9]Result!$H$33</f>
        <v>-1.9363869131542144E-2</v>
      </c>
      <c r="I1009" s="25">
        <f>+I663/[10]Result!$H$33</f>
        <v>-2.1448770259223423E-2</v>
      </c>
      <c r="J1009" s="33">
        <f>+J663/[11]Result!$H$33</f>
        <v>0.16924550698587087</v>
      </c>
      <c r="K1009" s="25">
        <f>+K663/[12]Result!$H$33</f>
        <v>0</v>
      </c>
      <c r="L1009" s="25">
        <f>+L663/[13]Result!$H$33</f>
        <v>-4.4033486780983046E-2</v>
      </c>
      <c r="M1009" s="25">
        <f>+M663/[14]Result!$H$33</f>
        <v>-0.45725726327306399</v>
      </c>
      <c r="N1009" s="33">
        <f>+N663/[15]Result!$H$33</f>
        <v>2.0689165535518313E-2</v>
      </c>
      <c r="O1009" s="25">
        <f>+O663/[16]Result!$H$33</f>
        <v>5.1837233666934712E-2</v>
      </c>
      <c r="P1009" s="25">
        <f>+P663/[17]Result!$H$33</f>
        <v>0.13159281462644493</v>
      </c>
      <c r="Q1009" s="33">
        <f>+Q663/[18]Result!$H$33</f>
        <v>-8.3587238323649324E-3</v>
      </c>
      <c r="R1009" s="33">
        <f>+R663/[19]Result!$H$33</f>
        <v>1.564108824368274E-3</v>
      </c>
      <c r="S1009" s="34">
        <f>+S663/[20]Result!$H$33</f>
        <v>1.9109328387007667E-2</v>
      </c>
    </row>
    <row r="1010" spans="1:19" hidden="1" outlineLevel="2" x14ac:dyDescent="0.25">
      <c r="A1010" s="16" t="s">
        <v>35</v>
      </c>
      <c r="B1010" s="25">
        <f>+B664/[21]Result!$H$34</f>
        <v>-2.5743071112083894E-2</v>
      </c>
      <c r="C1010" s="25">
        <f>+C664/[1]Result!$H$34</f>
        <v>3.3911298189709005E-2</v>
      </c>
      <c r="D1010" s="33">
        <f>+D664/[5]Result!$H$34</f>
        <v>-4.0059926916953661E-2</v>
      </c>
      <c r="E1010" s="25">
        <f>+E664/[6]Result!$H$34</f>
        <v>3.5212470600155608E-2</v>
      </c>
      <c r="F1010" s="25">
        <f>+F664/[7]Result!$H$34</f>
        <v>-3.8723537123489082E-2</v>
      </c>
      <c r="G1010" s="33">
        <f>+G664/[8]Result!$H$34</f>
        <v>4.0705739905799863E-2</v>
      </c>
      <c r="H1010" s="25">
        <f>+H664/[9]Result!$H$34</f>
        <v>-1.9575879578541192E-2</v>
      </c>
      <c r="I1010" s="25">
        <f>+I664/[10]Result!$H$34</f>
        <v>-2.2019609898063296E-2</v>
      </c>
      <c r="J1010" s="33">
        <f>+J664/[11]Result!$H$34</f>
        <v>1.4504151189475515E-2</v>
      </c>
      <c r="K1010" s="25">
        <f>+K664/[12]Result!$H$34</f>
        <v>0</v>
      </c>
      <c r="L1010" s="25">
        <f>+L664/[13]Result!$H$34</f>
        <v>-4.4783434843547264E-2</v>
      </c>
      <c r="M1010" s="25">
        <f>+M664/[14]Result!$H$34</f>
        <v>-0.3766509762175908</v>
      </c>
      <c r="N1010" s="33">
        <f>+N664/[15]Result!$H$34</f>
        <v>2.1244671935459186E-2</v>
      </c>
      <c r="O1010" s="25">
        <f>+O664/[16]Result!$H$34</f>
        <v>5.2865191931596625E-2</v>
      </c>
      <c r="P1010" s="25">
        <f>+P664/[17]Result!$H$34</f>
        <v>7.2693860329335599E-2</v>
      </c>
      <c r="Q1010" s="33">
        <f>+Q664/[18]Result!$H$34</f>
        <v>-8.3491115764589129E-3</v>
      </c>
      <c r="R1010" s="33">
        <f>+R664/[19]Result!$H$34</f>
        <v>1.3226592677714818E-3</v>
      </c>
      <c r="S1010" s="34">
        <f>+S664/[20]Result!$H$34</f>
        <v>1.9463018907566684E-2</v>
      </c>
    </row>
    <row r="1011" spans="1:19" hidden="1" outlineLevel="1" x14ac:dyDescent="0.25">
      <c r="A1011" s="15" t="s">
        <v>36</v>
      </c>
      <c r="B1011" s="25">
        <f>+B665/'[21]Stat by Mat 2'!$D$7</f>
        <v>-2.6702963677464719E-2</v>
      </c>
      <c r="C1011" s="25">
        <f>+C665/'[1]Stat by Mat 2'!$D$7</f>
        <v>3.6115135512564907E-2</v>
      </c>
      <c r="D1011" s="33">
        <f>+D665/'[5]Stat by Mat 2'!$D$7</f>
        <v>-5.6854096414889962E-2</v>
      </c>
      <c r="E1011" s="25">
        <f>+E665/'[6]Stat by Mat 2'!$D$7</f>
        <v>3.4505567444269566E-2</v>
      </c>
      <c r="F1011" s="25">
        <f>+F665/'[7]Stat by Mat 2'!$D$7</f>
        <v>-3.9980230967559691E-2</v>
      </c>
      <c r="G1011" s="33">
        <f>+G665/'[8]Stat by Mat 2'!$D$7</f>
        <v>1.0809642808577073E-2</v>
      </c>
      <c r="H1011" s="25">
        <f>+H665/'[9]Stat by Mat 2'!$D$7</f>
        <v>-1.9789790743888844E-2</v>
      </c>
      <c r="I1011" s="25">
        <f>+I665/'[10]Stat by Mat 2'!$D$7</f>
        <v>-2.3237925597403127E-2</v>
      </c>
      <c r="J1011" s="33">
        <f>+J665/'[11]Stat by Mat 2'!$D$7</f>
        <v>4.4990284480810744E-2</v>
      </c>
      <c r="K1011" s="25">
        <f>+K665/'[12]Stat by Mat 2'!$D$7</f>
        <v>-3.386313921785102E-4</v>
      </c>
      <c r="L1011" s="25">
        <f>+L665/'[13]Stat by Mat 2'!$D$7</f>
        <v>-4.654182973287381E-2</v>
      </c>
      <c r="M1011" s="25">
        <f>+M665/'[14]Stat by Mat 2'!$D$7</f>
        <v>-0.54653223619169933</v>
      </c>
      <c r="N1011" s="33">
        <f>+N665/'[15]Stat by Mat 2'!$D$7</f>
        <v>2.2677528517142529E-2</v>
      </c>
      <c r="O1011" s="25">
        <f>+O665/'[16]Stat by Mat 2'!$D$7</f>
        <v>5.5715686070163632E-2</v>
      </c>
      <c r="P1011" s="25">
        <f>+P665/'[17]Stat by Mat 2'!$D$7</f>
        <v>0.35057758210740297</v>
      </c>
      <c r="Q1011" s="33">
        <f>+Q665/'[18]Stat by Mat 2'!$D$7</f>
        <v>-8.2422223710605456E-3</v>
      </c>
      <c r="R1011" s="33">
        <f>+R665/'[19]Stat by Mat 2'!$D$7</f>
        <v>6.8846386617176566E-4</v>
      </c>
      <c r="S1011" s="34">
        <f>+S665/'[20]Stat by Mat 2'!$D$7</f>
        <v>2.0273495458246374E-2</v>
      </c>
    </row>
    <row r="1012" spans="1:19" hidden="1" outlineLevel="2" x14ac:dyDescent="0.25">
      <c r="A1012" s="16" t="s">
        <v>37</v>
      </c>
      <c r="B1012" s="25">
        <f>+B666/[21]Result!$H$35</f>
        <v>-2.6126614970084838E-2</v>
      </c>
      <c r="C1012" s="25">
        <f>+C666/[1]Result!$H$35</f>
        <v>3.4719372486881957E-2</v>
      </c>
      <c r="D1012" s="33">
        <f>+D666/[5]Result!$H$35</f>
        <v>-4.8557888337846349E-2</v>
      </c>
      <c r="E1012" s="25">
        <f>+E666/[6]Result!$H$35</f>
        <v>3.4967431122369198E-2</v>
      </c>
      <c r="F1012" s="25">
        <f>+F666/[7]Result!$H$35</f>
        <v>-3.9231433215593275E-2</v>
      </c>
      <c r="G1012" s="33">
        <f>+G666/[8]Result!$H$35</f>
        <v>1.9244943547859293E-2</v>
      </c>
      <c r="H1012" s="25">
        <f>+H666/[9]Result!$H$35</f>
        <v>-1.9612298410996546E-2</v>
      </c>
      <c r="I1012" s="25">
        <f>+I666/[10]Result!$H$35</f>
        <v>-2.2434090849107691E-2</v>
      </c>
      <c r="J1012" s="33">
        <f>+J666/[11]Result!$H$35</f>
        <v>2.2228790611068375E-2</v>
      </c>
      <c r="K1012" s="25">
        <f>+K666/[12]Result!$H$35</f>
        <v>-1.5443536174284935E-4</v>
      </c>
      <c r="L1012" s="25">
        <f>+L666/[13]Result!$H$35</f>
        <v>-4.5343690934725643E-2</v>
      </c>
      <c r="M1012" s="25">
        <f>+M666/[14]Result!$H$35</f>
        <v>-0.41946685451601351</v>
      </c>
      <c r="N1012" s="33">
        <f>+N666/[15]Result!$H$35</f>
        <v>2.1637847929939131E-2</v>
      </c>
      <c r="O1012" s="25">
        <f>+O666/[16]Result!$H$35</f>
        <v>5.3838732966263417E-2</v>
      </c>
      <c r="P1012" s="25">
        <f>+P666/[17]Result!$H$35</f>
        <v>0.11161969845461892</v>
      </c>
      <c r="Q1012" s="33">
        <f>+Q666/[18]Result!$H$35</f>
        <v>-8.3203749546215608E-3</v>
      </c>
      <c r="R1012" s="33">
        <f>+R666/[19]Result!$H$35</f>
        <v>1.2162128469834456E-3</v>
      </c>
      <c r="S1012" s="34">
        <f>+S666/[20]Result!$H$35</f>
        <v>1.9640044355743683E-2</v>
      </c>
    </row>
    <row r="1013" spans="1:19" hidden="1" outlineLevel="2" x14ac:dyDescent="0.25">
      <c r="A1013" s="16" t="s">
        <v>38</v>
      </c>
      <c r="B1013" s="25">
        <f>+B667/[21]Result!$H$36</f>
        <v>-2.6477079411401715E-2</v>
      </c>
      <c r="C1013" s="25">
        <f>+C667/[1]Result!$H$36</f>
        <v>3.5507838613657326E-2</v>
      </c>
      <c r="D1013" s="33">
        <f>+D667/[5]Result!$H$36</f>
        <v>-6.2375226837744227E-2</v>
      </c>
      <c r="E1013" s="25">
        <f>+E667/[6]Result!$H$36</f>
        <v>3.4783159617272734E-2</v>
      </c>
      <c r="F1013" s="25">
        <f>+F667/[7]Result!$H$36</f>
        <v>-3.96879864919863E-2</v>
      </c>
      <c r="G1013" s="33">
        <f>+G667/[8]Result!$H$36</f>
        <v>2.6288416117174526E-3</v>
      </c>
      <c r="H1013" s="25">
        <f>+H667/[9]Result!$H$36</f>
        <v>-1.9767027138385566E-2</v>
      </c>
      <c r="I1013" s="25">
        <f>+I667/[10]Result!$H$36</f>
        <v>-2.2829464586840431E-2</v>
      </c>
      <c r="J1013" s="33">
        <f>+J667/[11]Result!$H$36</f>
        <v>5.0208996860241308E-2</v>
      </c>
      <c r="K1013" s="25">
        <f>+K667/[12]Result!$H$36</f>
        <v>-3.1415091707683951E-4</v>
      </c>
      <c r="L1013" s="25">
        <f>+L667/[13]Result!$H$36</f>
        <v>-4.5848292224358107E-2</v>
      </c>
      <c r="M1013" s="25">
        <f>+M667/[14]Result!$H$36</f>
        <v>-0.52209037281819271</v>
      </c>
      <c r="N1013" s="33">
        <f>+N667/[15]Result!$H$36</f>
        <v>2.2173721014933867E-2</v>
      </c>
      <c r="O1013" s="25">
        <f>+O667/[16]Result!$H$36</f>
        <v>5.4599540150580814E-2</v>
      </c>
      <c r="P1013" s="25">
        <f>+P667/[17]Result!$H$36</f>
        <v>0.21175813682092173</v>
      </c>
      <c r="Q1013" s="33">
        <f>+Q667/[18]Result!$H$36</f>
        <v>-8.2725116782263325E-3</v>
      </c>
      <c r="R1013" s="33">
        <f>+R667/[19]Result!$H$36</f>
        <v>1.0958443235025153E-3</v>
      </c>
      <c r="S1013" s="34">
        <f>+S667/[20]Result!$H$36</f>
        <v>1.9791951825909725E-2</v>
      </c>
    </row>
    <row r="1014" spans="1:19" hidden="1" outlineLevel="2" x14ac:dyDescent="0.25">
      <c r="A1014" s="16" t="s">
        <v>39</v>
      </c>
      <c r="B1014" s="25">
        <f>+B668/[21]Result!$H$37</f>
        <v>-2.6642899657419096E-2</v>
      </c>
      <c r="C1014" s="25">
        <f>+C668/[1]Result!$H$37</f>
        <v>3.6105751662247568E-2</v>
      </c>
      <c r="D1014" s="33">
        <f>+D668/[5]Result!$H$37</f>
        <v>-5.8076927836372937E-2</v>
      </c>
      <c r="E1014" s="25">
        <f>+E668/[6]Result!$H$37</f>
        <v>3.4357573634888956E-2</v>
      </c>
      <c r="F1014" s="25">
        <f>+F668/[7]Result!$H$37</f>
        <v>-3.9943893346152559E-2</v>
      </c>
      <c r="G1014" s="33">
        <f>+G668/[8]Result!$H$37</f>
        <v>2.1437311960525629E-3</v>
      </c>
      <c r="H1014" s="25">
        <f>+H668/[9]Result!$H$37</f>
        <v>-1.972840265574994E-2</v>
      </c>
      <c r="I1014" s="25">
        <f>+I668/[10]Result!$H$37</f>
        <v>-2.3205897877662428E-2</v>
      </c>
      <c r="J1014" s="33">
        <f>+J668/[11]Result!$H$37</f>
        <v>8.5417607485469602E-2</v>
      </c>
      <c r="K1014" s="25">
        <f>+K668/[12]Result!$H$37</f>
        <v>-3.2379300535392657E-4</v>
      </c>
      <c r="L1014" s="25">
        <f>+L668/[13]Result!$H$37</f>
        <v>-4.6453619988664582E-2</v>
      </c>
      <c r="M1014" s="25">
        <f>+M668/[14]Result!$H$37</f>
        <v>-0.60304063044759093</v>
      </c>
      <c r="N1014" s="33">
        <f>+N668/[15]Result!$H$37</f>
        <v>2.2695976752177795E-2</v>
      </c>
      <c r="O1014" s="25">
        <f>+O668/[16]Result!$H$37</f>
        <v>5.5299650898034729E-2</v>
      </c>
      <c r="P1014" s="25">
        <f>+P668/[17]Result!$H$37</f>
        <v>0.33726851859321322</v>
      </c>
      <c r="Q1014" s="33">
        <f>+Q668/[18]Result!$H$37</f>
        <v>-8.2055184769005834E-3</v>
      </c>
      <c r="R1014" s="33">
        <f>+R668/[19]Result!$H$37</f>
        <v>8.0625571337518181E-4</v>
      </c>
      <c r="S1014" s="34">
        <f>+S668/[20]Result!$H$37</f>
        <v>2.007699825422949E-2</v>
      </c>
    </row>
    <row r="1015" spans="1:19" hidden="1" outlineLevel="2" x14ac:dyDescent="0.25">
      <c r="A1015" s="16" t="s">
        <v>40</v>
      </c>
      <c r="B1015" s="25">
        <f>+B669/[21]Result!$H$38</f>
        <v>-2.677085461986152E-2</v>
      </c>
      <c r="C1015" s="25">
        <f>+C669/[1]Result!$H$38</f>
        <v>3.6502176364293142E-2</v>
      </c>
      <c r="D1015" s="33">
        <f>+D669/[5]Result!$H$38</f>
        <v>-5.1387135647392959E-2</v>
      </c>
      <c r="E1015" s="25">
        <f>+E669/[6]Result!$H$38</f>
        <v>3.4362728577295561E-2</v>
      </c>
      <c r="F1015" s="25">
        <f>+F669/[7]Result!$H$38</f>
        <v>-4.0306385228744086E-2</v>
      </c>
      <c r="G1015" s="33">
        <f>+G669/[8]Result!$H$38</f>
        <v>5.8757682797916403E-3</v>
      </c>
      <c r="H1015" s="25">
        <f>+H669/[9]Result!$H$38</f>
        <v>-1.9659721420416481E-2</v>
      </c>
      <c r="I1015" s="25">
        <f>+I669/[10]Result!$H$38</f>
        <v>-2.3563215957646863E-2</v>
      </c>
      <c r="J1015" s="33">
        <f>+J669/[11]Result!$H$38</f>
        <v>5.1086488527045844E-2</v>
      </c>
      <c r="K1015" s="25">
        <f>+K669/[12]Result!$H$38</f>
        <v>-3.3343473734653899E-4</v>
      </c>
      <c r="L1015" s="25">
        <f>+L669/[13]Result!$H$38</f>
        <v>-4.7009009351909742E-2</v>
      </c>
      <c r="M1015" s="25">
        <f>+M669/[14]Result!$H$38</f>
        <v>-0.65247945801220653</v>
      </c>
      <c r="N1015" s="33">
        <f>+N669/[15]Result!$H$38</f>
        <v>2.3040593669276497E-2</v>
      </c>
      <c r="O1015" s="25">
        <f>+O669/[16]Result!$H$38</f>
        <v>5.6117066659230844E-2</v>
      </c>
      <c r="P1015" s="25">
        <f>+P669/[17]Result!$H$38</f>
        <v>0.38784408080425653</v>
      </c>
      <c r="Q1015" s="33">
        <f>+Q669/[18]Result!$H$38</f>
        <v>-8.1193910796139839E-3</v>
      </c>
      <c r="R1015" s="33">
        <f>+R669/[19]Result!$H$38</f>
        <v>4.97456567363124E-4</v>
      </c>
      <c r="S1015" s="34">
        <f>+S669/[20]Result!$H$38</f>
        <v>2.0342436710268169E-2</v>
      </c>
    </row>
    <row r="1016" spans="1:19" hidden="1" outlineLevel="2" x14ac:dyDescent="0.25">
      <c r="A1016" s="16" t="s">
        <v>41</v>
      </c>
      <c r="B1016" s="25">
        <f>+B670/[21]Result!$H$39</f>
        <v>-2.7030565251288691E-2</v>
      </c>
      <c r="C1016" s="25">
        <f>+C670/[1]Result!$H$39</f>
        <v>3.7039163203000249E-2</v>
      </c>
      <c r="D1016" s="33">
        <f>+D670/[5]Result!$H$39</f>
        <v>-7.5856882001684625E-2</v>
      </c>
      <c r="E1016" s="25">
        <f>+E670/[6]Result!$H$39</f>
        <v>3.4299560421666521E-2</v>
      </c>
      <c r="F1016" s="25">
        <f>+F670/[7]Result!$H$39</f>
        <v>-4.045159649412329E-2</v>
      </c>
      <c r="G1016" s="33">
        <f>+G670/[8]Result!$H$39</f>
        <v>-6.3138271950662671E-3</v>
      </c>
      <c r="H1016" s="25">
        <f>+H670/[9]Result!$H$39</f>
        <v>-1.9885814253151057E-2</v>
      </c>
      <c r="I1016" s="25">
        <f>+I670/[10]Result!$H$39</f>
        <v>-2.3732244338834359E-2</v>
      </c>
      <c r="J1016" s="33">
        <f>+J670/[11]Result!$H$39</f>
        <v>2.9958861359393497E-2</v>
      </c>
      <c r="K1016" s="25">
        <f>+K670/[12]Result!$H$39</f>
        <v>-3.4307534802628252E-4</v>
      </c>
      <c r="L1016" s="25">
        <f>+L670/[13]Result!$H$39</f>
        <v>-4.7356685559791285E-2</v>
      </c>
      <c r="M1016" s="25">
        <f>+M670/[14]Result!$H$39</f>
        <v>-0.70676274111014059</v>
      </c>
      <c r="N1016" s="33">
        <f>+N670/[15]Result!$H$39</f>
        <v>2.3365680274893229E-2</v>
      </c>
      <c r="O1016" s="25">
        <f>+O670/[16]Result!$H$39</f>
        <v>5.688040331300627E-2</v>
      </c>
      <c r="P1016" s="25">
        <f>+P670/[17]Result!$H$39</f>
        <v>0.47422296719542029</v>
      </c>
      <c r="Q1016" s="33">
        <f>+Q670/[18]Result!$H$39</f>
        <v>-8.1857092493137877E-3</v>
      </c>
      <c r="R1016" s="33">
        <f>+R670/[19]Result!$H$39</f>
        <v>3.4249520432142524E-4</v>
      </c>
      <c r="S1016" s="34">
        <f>+S670/[20]Result!$H$39</f>
        <v>2.0588251651673967E-2</v>
      </c>
    </row>
    <row r="1017" spans="1:19" hidden="1" outlineLevel="2" x14ac:dyDescent="0.25">
      <c r="A1017" s="16" t="s">
        <v>42</v>
      </c>
      <c r="B1017" s="25">
        <f>+B671/[21]Result!$H$40</f>
        <v>-2.725831722757131E-2</v>
      </c>
      <c r="C1017" s="25">
        <f>+C671/[1]Result!$H$40</f>
        <v>3.7542351429442254E-2</v>
      </c>
      <c r="D1017" s="33">
        <f>+D671/[5]Result!$H$40</f>
        <v>-6.853120748623244E-2</v>
      </c>
      <c r="E1017" s="25">
        <f>+E671/[6]Result!$H$40</f>
        <v>3.3999309029714229E-2</v>
      </c>
      <c r="F1017" s="25">
        <f>+F671/[7]Result!$H$40</f>
        <v>-4.0548113284052945E-2</v>
      </c>
      <c r="G1017" s="33">
        <f>+G671/[8]Result!$H$40</f>
        <v>6.2204750132359918E-3</v>
      </c>
      <c r="H1017" s="25">
        <f>+H671/[9]Result!$H$40</f>
        <v>-2.0092991026833099E-2</v>
      </c>
      <c r="I1017" s="25">
        <f>+I671/[10]Result!$H$40</f>
        <v>-2.3876536025698877E-2</v>
      </c>
      <c r="J1017" s="33">
        <f>+J671/[11]Result!$H$40</f>
        <v>6.062944581587635E-2</v>
      </c>
      <c r="K1017" s="25">
        <f>+K671/[12]Result!$H$40</f>
        <v>-5.3072133487256517E-4</v>
      </c>
      <c r="L1017" s="25">
        <f>+L671/[13]Result!$H$40</f>
        <v>-4.7649041149050109E-2</v>
      </c>
      <c r="M1017" s="25">
        <f>+M671/[14]Result!$H$40</f>
        <v>-0.81938938740820166</v>
      </c>
      <c r="N1017" s="33">
        <f>+N671/[15]Result!$H$40</f>
        <v>2.3671135652139047E-2</v>
      </c>
      <c r="O1017" s="25">
        <f>+O671/[16]Result!$H$40</f>
        <v>5.7596947653497516E-2</v>
      </c>
      <c r="P1017" s="25">
        <f>+P671/[17]Result!$H$40</f>
        <v>0.9801248239127901</v>
      </c>
      <c r="Q1017" s="33">
        <f>+Q671/[18]Result!$H$40</f>
        <v>-8.2389518663917582E-3</v>
      </c>
      <c r="R1017" s="33">
        <f>+R671/[19]Result!$H$40</f>
        <v>3.5214162687758249E-4</v>
      </c>
      <c r="S1017" s="34">
        <f>+S671/[20]Result!$H$40</f>
        <v>2.0633029129111372E-2</v>
      </c>
    </row>
    <row r="1018" spans="1:19" hidden="1" outlineLevel="2" x14ac:dyDescent="0.25">
      <c r="A1018" s="16" t="s">
        <v>43</v>
      </c>
      <c r="B1018" s="25">
        <f>+B672/[21]Result!$H$41</f>
        <v>-2.7461189816981216E-2</v>
      </c>
      <c r="C1018" s="25">
        <f>+C672/[1]Result!$H$41</f>
        <v>3.7828501934628569E-2</v>
      </c>
      <c r="D1018" s="33">
        <f>+D672/[5]Result!$H$41</f>
        <v>-5.3333839852010172E-2</v>
      </c>
      <c r="E1018" s="25">
        <f>+E672/[6]Result!$H$41</f>
        <v>3.3815141693620168E-2</v>
      </c>
      <c r="F1018" s="25">
        <f>+F672/[7]Result!$H$41</f>
        <v>-4.0758129128694233E-2</v>
      </c>
      <c r="G1018" s="33">
        <f>+G672/[8]Result!$H$41</f>
        <v>1.6637557457315315E-2</v>
      </c>
      <c r="H1018" s="25">
        <f>+H672/[9]Result!$H$41</f>
        <v>-2.0101923491767017E-2</v>
      </c>
      <c r="I1018" s="25">
        <f>+I672/[10]Result!$H$41</f>
        <v>-2.4167665357701158E-2</v>
      </c>
      <c r="J1018" s="33">
        <f>+J672/[11]Result!$H$41</f>
        <v>9.4678673706806507E-2</v>
      </c>
      <c r="K1018" s="25">
        <f>+K672/[12]Result!$H$41</f>
        <v>-5.4189177232064165E-4</v>
      </c>
      <c r="L1018" s="25">
        <f>+L672/[13]Result!$H$41</f>
        <v>-4.806016518652869E-2</v>
      </c>
      <c r="M1018" s="25">
        <f>+M672/[14]Result!$H$41</f>
        <v>-0.92805717652955566</v>
      </c>
      <c r="N1018" s="33">
        <f>+N672/[15]Result!$H$41</f>
        <v>2.3957084371400119E-2</v>
      </c>
      <c r="O1018" s="25">
        <f>+O672/[16]Result!$H$41</f>
        <v>5.8259728145393361E-2</v>
      </c>
      <c r="P1018" s="25">
        <f>+P672/[17]Result!$H$41</f>
        <v>2.9671337554424042</v>
      </c>
      <c r="Q1018" s="33">
        <f>+Q672/[18]Result!$H$41</f>
        <v>-8.1050024092682825E-3</v>
      </c>
      <c r="R1018" s="33">
        <f>+R672/[19]Result!$H$41</f>
        <v>1.7929239939423828E-4</v>
      </c>
      <c r="S1018" s="34">
        <f>+S672/[20]Result!$H$41</f>
        <v>2.0838047174555115E-2</v>
      </c>
    </row>
    <row r="1019" spans="1:19" hidden="1" outlineLevel="2" x14ac:dyDescent="0.25">
      <c r="A1019" s="16" t="s">
        <v>44</v>
      </c>
      <c r="B1019" s="25">
        <f>+B673/[21]Result!$H$42</f>
        <v>-2.763256661026571E-2</v>
      </c>
      <c r="C1019" s="25">
        <f>+C673/[1]Result!$H$42</f>
        <v>3.8074566813658874E-2</v>
      </c>
      <c r="D1019" s="33">
        <f>+D673/[5]Result!$H$42</f>
        <v>-2.7761550578137891E-2</v>
      </c>
      <c r="E1019" s="25">
        <f>+E673/[6]Result!$H$42</f>
        <v>3.3765521340631779E-2</v>
      </c>
      <c r="F1019" s="25">
        <f>+F673/[7]Result!$H$42</f>
        <v>-4.0924967016494403E-2</v>
      </c>
      <c r="G1019" s="33">
        <f>+G673/[8]Result!$H$42</f>
        <v>3.3065575632171988E-2</v>
      </c>
      <c r="H1019" s="25">
        <f>+H673/[9]Result!$H$42</f>
        <v>-2.0085603708504273E-2</v>
      </c>
      <c r="I1019" s="25">
        <f>+I673/[10]Result!$H$42</f>
        <v>-2.4439828104442302E-2</v>
      </c>
      <c r="J1019" s="33">
        <f>+J673/[11]Result!$H$42</f>
        <v>0.12591867842364132</v>
      </c>
      <c r="K1019" s="25">
        <f>+K673/[12]Result!$H$42</f>
        <v>-5.5943355555681509E-4</v>
      </c>
      <c r="L1019" s="25">
        <f>+L673/[13]Result!$H$42</f>
        <v>-4.8422115173117924E-2</v>
      </c>
      <c r="M1019" s="25">
        <f>+M673/[14]Result!$H$42</f>
        <v>-0.9786077914626935</v>
      </c>
      <c r="N1019" s="33">
        <f>+N673/[15]Result!$H$42</f>
        <v>2.4414898203387138E-2</v>
      </c>
      <c r="O1019" s="25">
        <f>+O673/[16]Result!$H$42</f>
        <v>5.8677010500820775E-2</v>
      </c>
      <c r="P1019" s="25">
        <f>+P673/[17]Result!$H$42</f>
        <v>12.122199055815077</v>
      </c>
      <c r="Q1019" s="33">
        <f>+Q673/[18]Result!$H$42</f>
        <v>-8.1375706301780992E-3</v>
      </c>
      <c r="R1019" s="33">
        <f>+R673/[19]Result!$H$42</f>
        <v>0</v>
      </c>
      <c r="S1019" s="34">
        <f>+S673/[20]Result!$H$42</f>
        <v>2.120802609741165E-2</v>
      </c>
    </row>
    <row r="1020" spans="1:19" hidden="1" outlineLevel="2" x14ac:dyDescent="0.25">
      <c r="A1020" s="16" t="s">
        <v>45</v>
      </c>
      <c r="B1020" s="25">
        <f>+B674/[21]Result!$H$43</f>
        <v>-2.7778733405969661E-2</v>
      </c>
      <c r="C1020" s="25">
        <f>+C674/[1]Result!$H$43</f>
        <v>3.8280492862240466E-2</v>
      </c>
      <c r="D1020" s="33">
        <f>+D674/[5]Result!$H$43</f>
        <v>-2.1551696384134435E-2</v>
      </c>
      <c r="E1020" s="25">
        <f>+E674/[6]Result!$H$43</f>
        <v>3.3862064398578445E-2</v>
      </c>
      <c r="F1020" s="25">
        <f>+F674/[7]Result!$H$43</f>
        <v>-4.1227300341998133E-2</v>
      </c>
      <c r="G1020" s="33">
        <f>+G674/[8]Result!$H$43</f>
        <v>1.5958975806393171E-2</v>
      </c>
      <c r="H1020" s="25">
        <f>+H674/[9]Result!$H$43</f>
        <v>-2.0226469929802718E-2</v>
      </c>
      <c r="I1020" s="25">
        <f>+I674/[10]Result!$H$43</f>
        <v>-2.4693042425775101E-2</v>
      </c>
      <c r="J1020" s="33">
        <f>+J674/[11]Result!$H$43</f>
        <v>4.0157242610602509E-2</v>
      </c>
      <c r="K1020" s="25">
        <f>+K674/[12]Result!$H$43</f>
        <v>-7.6312382651777977E-4</v>
      </c>
      <c r="L1020" s="25">
        <f>+L674/[13]Result!$H$43</f>
        <v>-4.8558170952029821E-2</v>
      </c>
      <c r="M1020" s="25">
        <f>+M674/[14]Result!$H$43</f>
        <v>-1.0047482276334827</v>
      </c>
      <c r="N1020" s="33">
        <f>+N674/[15]Result!$H$43</f>
        <v>2.4663671884888324E-2</v>
      </c>
      <c r="O1020" s="25">
        <f>+O674/[16]Result!$H$43</f>
        <v>5.923623743821483E-2</v>
      </c>
      <c r="P1020" s="25">
        <f>+P674/[17]Result!$H$43</f>
        <v>-47.751015433140751</v>
      </c>
      <c r="Q1020" s="33">
        <f>+Q674/[18]Result!$H$43</f>
        <v>-8.157611316363271E-3</v>
      </c>
      <c r="R1020" s="33">
        <f>+R674/[19]Result!$H$43</f>
        <v>0</v>
      </c>
      <c r="S1020" s="34">
        <f>+S674/[20]Result!$H$43</f>
        <v>2.1179232059567624E-2</v>
      </c>
    </row>
    <row r="1021" spans="1:19" hidden="1" outlineLevel="2" x14ac:dyDescent="0.25">
      <c r="A1021" s="16" t="s">
        <v>46</v>
      </c>
      <c r="B1021" s="25">
        <f>+B675/[21]Result!$H$44</f>
        <v>-2.7893847147687827E-2</v>
      </c>
      <c r="C1021" s="25">
        <f>+C675/[1]Result!$H$44</f>
        <v>3.8446313275097579E-2</v>
      </c>
      <c r="D1021" s="33">
        <f>+D675/[5]Result!$H$44</f>
        <v>-0.10847808505314806</v>
      </c>
      <c r="E1021" s="25">
        <f>+E675/[6]Result!$H$44</f>
        <v>3.3918534853665652E-2</v>
      </c>
      <c r="F1021" s="25">
        <f>+F675/[7]Result!$H$44</f>
        <v>-4.1492341418476422E-2</v>
      </c>
      <c r="G1021" s="33">
        <f>+G675/[8]Result!$H$44</f>
        <v>3.5947214520632979E-2</v>
      </c>
      <c r="H1021" s="25">
        <f>+H675/[9]Result!$H$44</f>
        <v>-2.0155263527735192E-2</v>
      </c>
      <c r="I1021" s="25">
        <f>+I675/[10]Result!$H$44</f>
        <v>-2.4927466593608248E-2</v>
      </c>
      <c r="J1021" s="33">
        <f>+J675/[11]Result!$H$44</f>
        <v>-5.924804972420273E-2</v>
      </c>
      <c r="K1021" s="25">
        <f>+K675/[12]Result!$H$44</f>
        <v>-7.8239412995491332E-4</v>
      </c>
      <c r="L1021" s="25">
        <f>+L675/[13]Result!$H$44</f>
        <v>-4.8826437693502332E-2</v>
      </c>
      <c r="M1021" s="25">
        <f>+M675/[14]Result!$H$44</f>
        <v>-1.0385553099238143</v>
      </c>
      <c r="N1021" s="33">
        <f>+N675/[15]Result!$H$44</f>
        <v>2.4696934890216383E-2</v>
      </c>
      <c r="O1021" s="25">
        <f>+O675/[16]Result!$H$44</f>
        <v>5.9950409283028104E-2</v>
      </c>
      <c r="P1021" s="25">
        <f>+P675/[17]Result!$H$44</f>
        <v>-7.1520114810731705</v>
      </c>
      <c r="Q1021" s="33">
        <f>+Q675/[18]Result!$H$44</f>
        <v>-8.1708649874714118E-3</v>
      </c>
      <c r="R1021" s="33">
        <f>+R675/[19]Result!$H$44</f>
        <v>0</v>
      </c>
      <c r="S1021" s="34">
        <f>+S675/[20]Result!$H$44</f>
        <v>2.1123752308100624E-2</v>
      </c>
    </row>
    <row r="1022" spans="1:19" hidden="1" outlineLevel="2" x14ac:dyDescent="0.25">
      <c r="A1022" s="16" t="s">
        <v>47</v>
      </c>
      <c r="B1022" s="25">
        <f>+B676/[21]Result!$H$45</f>
        <v>-2.7786437486018011E-2</v>
      </c>
      <c r="C1022" s="25">
        <f>+C676/[1]Result!$H$45</f>
        <v>3.8571996007359791E-2</v>
      </c>
      <c r="D1022" s="33">
        <f>+D676/[5]Result!$H$45</f>
        <v>-9.0918158550747696E-2</v>
      </c>
      <c r="E1022" s="25">
        <f>+E676/[6]Result!$H$45</f>
        <v>3.372586378639595E-2</v>
      </c>
      <c r="F1022" s="25">
        <f>+F676/[7]Result!$H$45</f>
        <v>-4.1526381763662239E-2</v>
      </c>
      <c r="G1022" s="33">
        <f>+G676/[8]Result!$H$45</f>
        <v>4.0961618030454026E-2</v>
      </c>
      <c r="H1022" s="25">
        <f>+H676/[9]Result!$H$45</f>
        <v>-2.0058254678152032E-2</v>
      </c>
      <c r="I1022" s="25">
        <f>+I676/[10]Result!$H$45</f>
        <v>-2.4946318905597085E-2</v>
      </c>
      <c r="J1022" s="33">
        <f>+J676/[11]Result!$H$45</f>
        <v>-6.1998283626797053E-2</v>
      </c>
      <c r="K1022" s="25">
        <f>+K676/[12]Result!$H$45</f>
        <v>-8.0166813023776931E-4</v>
      </c>
      <c r="L1022" s="25">
        <f>+L676/[13]Result!$H$45</f>
        <v>-4.9238077213540628E-2</v>
      </c>
      <c r="M1022" s="25">
        <f>+M676/[14]Result!$H$45</f>
        <v>3.8664530469292577</v>
      </c>
      <c r="N1022" s="33">
        <f>+N676/[15]Result!$H$45</f>
        <v>2.4904240699746387E-2</v>
      </c>
      <c r="O1022" s="25">
        <f>+O676/[16]Result!$H$45</f>
        <v>6.0410601328317944E-2</v>
      </c>
      <c r="P1022" s="25">
        <f>+P676/[17]Result!$H$45</f>
        <v>0.39019475948318855</v>
      </c>
      <c r="Q1022" s="33">
        <f>+Q676/[18]Result!$H$45</f>
        <v>-8.1719567868067007E-3</v>
      </c>
      <c r="R1022" s="33">
        <f>+R676/[19]Result!$H$45</f>
        <v>-2.0134087587756931E-4</v>
      </c>
      <c r="S1022" s="34">
        <f>+S676/[20]Result!$H$45</f>
        <v>2.1447449269846243E-2</v>
      </c>
    </row>
    <row r="1023" spans="1:19" hidden="1" outlineLevel="2" x14ac:dyDescent="0.25">
      <c r="A1023" s="16" t="s">
        <v>48</v>
      </c>
      <c r="B1023" s="25">
        <f>+B677/[21]Result!$H$46</f>
        <v>-2.7842909366988702E-2</v>
      </c>
      <c r="C1023" s="25">
        <f>+C677/[1]Result!$H$46</f>
        <v>3.8872811351651833E-2</v>
      </c>
      <c r="D1023" s="33">
        <f>+D677/[5]Result!$H$46</f>
        <v>-7.7747701249068296E-2</v>
      </c>
      <c r="E1023" s="25">
        <f>+E677/[6]Result!$H$46</f>
        <v>3.3699888339071005E-2</v>
      </c>
      <c r="F1023" s="25">
        <f>+F677/[7]Result!$H$46</f>
        <v>-4.1516596044498845E-2</v>
      </c>
      <c r="G1023" s="33">
        <f>+G677/[8]Result!$H$46</f>
        <v>4.1720243143837134E-2</v>
      </c>
      <c r="H1023" s="25">
        <f>+H677/[9]Result!$H$46</f>
        <v>-2.0132911833080483E-2</v>
      </c>
      <c r="I1023" s="25">
        <f>+I677/[10]Result!$H$46</f>
        <v>-2.4939310503750003E-2</v>
      </c>
      <c r="J1023" s="33">
        <f>+J677/[11]Result!$H$46</f>
        <v>-4.9221487057786173E-2</v>
      </c>
      <c r="K1023" s="25">
        <f>+K677/[12]Result!$H$46</f>
        <v>-8.209362376237619E-4</v>
      </c>
      <c r="L1023" s="25">
        <f>+L677/[13]Result!$H$46</f>
        <v>-4.941678151310068E-2</v>
      </c>
      <c r="M1023" s="25">
        <f>+M677/[14]Result!$H$46</f>
        <v>3.3346898459536818</v>
      </c>
      <c r="N1023" s="33">
        <f>+N677/[15]Result!$H$46</f>
        <v>2.5091830648190133E-2</v>
      </c>
      <c r="O1023" s="25">
        <f>+O677/[16]Result!$H$46</f>
        <v>6.0822347665157588E-2</v>
      </c>
      <c r="P1023" s="25">
        <f>+P677/[17]Result!$H$46</f>
        <v>0.72523239951109764</v>
      </c>
      <c r="Q1023" s="33">
        <f>+Q677/[18]Result!$H$46</f>
        <v>-8.1658973196455861E-3</v>
      </c>
      <c r="R1023" s="33">
        <f>+R677/[19]Result!$H$46</f>
        <v>-2.0381982675063323E-4</v>
      </c>
      <c r="S1023" s="34">
        <f>+S677/[20]Result!$H$46</f>
        <v>2.1548327736076393E-2</v>
      </c>
    </row>
    <row r="1024" spans="1:19" hidden="1" outlineLevel="2" x14ac:dyDescent="0.25">
      <c r="A1024" s="16" t="s">
        <v>49</v>
      </c>
      <c r="B1024" s="25">
        <f>+B678/[21]Result!$H$47</f>
        <v>-2.8075135285080044E-2</v>
      </c>
      <c r="C1024" s="25">
        <f>+C678/[1]Result!$H$47</f>
        <v>3.9141189588165648E-2</v>
      </c>
      <c r="D1024" s="33">
        <f>+D678/[5]Result!$H$47</f>
        <v>-6.070546393889175E-2</v>
      </c>
      <c r="E1024" s="25">
        <f>+E678/[6]Result!$H$47</f>
        <v>3.3848078493533128E-2</v>
      </c>
      <c r="F1024" s="25">
        <f>+F678/[7]Result!$H$47</f>
        <v>-4.1661212282329461E-2</v>
      </c>
      <c r="G1024" s="33">
        <f>+G678/[8]Result!$H$47</f>
        <v>3.1619840052585974E-2</v>
      </c>
      <c r="H1024" s="25">
        <f>+H678/[9]Result!$H$47</f>
        <v>-2.0188703916057399E-2</v>
      </c>
      <c r="I1024" s="25">
        <f>+I678/[10]Result!$H$47</f>
        <v>-2.5107809749236994E-2</v>
      </c>
      <c r="J1024" s="33">
        <f>+J678/[11]Result!$H$47</f>
        <v>-3.8404669028017938E-2</v>
      </c>
      <c r="K1024" s="25">
        <f>+K678/[12]Result!$H$47</f>
        <v>-8.402063545345659E-4</v>
      </c>
      <c r="L1024" s="25">
        <f>+L678/[13]Result!$H$47</f>
        <v>-4.9551714088371189E-2</v>
      </c>
      <c r="M1024" s="25">
        <f>+M678/[14]Result!$H$47</f>
        <v>2.3488117745735564</v>
      </c>
      <c r="N1024" s="33">
        <f>+N678/[15]Result!$H$47</f>
        <v>2.5475726116803356E-2</v>
      </c>
      <c r="O1024" s="25">
        <f>+O678/[16]Result!$H$47</f>
        <v>6.1181043535151858E-2</v>
      </c>
      <c r="P1024" s="25">
        <f>+P678/[17]Result!$H$47</f>
        <v>0.65035490756856518</v>
      </c>
      <c r="Q1024" s="33">
        <f>+Q678/[18]Result!$H$47</f>
        <v>-8.3571806448443763E-3</v>
      </c>
      <c r="R1024" s="33">
        <f>+R678/[19]Result!$H$47</f>
        <v>-2.107968755116675E-4</v>
      </c>
      <c r="S1024" s="34">
        <f>+S678/[20]Result!$H$47</f>
        <v>2.1418651047129506E-2</v>
      </c>
    </row>
    <row r="1025" spans="1:20" hidden="1" outlineLevel="2" x14ac:dyDescent="0.25">
      <c r="A1025" s="16" t="s">
        <v>50</v>
      </c>
      <c r="B1025" s="25">
        <f>+B679/[21]Result!$H$48</f>
        <v>-2.8077846372992949E-2</v>
      </c>
      <c r="C1025" s="25">
        <f>+C679/[1]Result!$H$48</f>
        <v>3.915636889923179E-2</v>
      </c>
      <c r="D1025" s="33">
        <f>+D679/[5]Result!$H$48</f>
        <v>-7.1303980225251043E-2</v>
      </c>
      <c r="E1025" s="25">
        <f>+E679/[6]Result!$H$48</f>
        <v>3.3520988589480785E-2</v>
      </c>
      <c r="F1025" s="25">
        <f>+F679/[7]Result!$H$48</f>
        <v>-4.156133298662873E-2</v>
      </c>
      <c r="G1025" s="33">
        <f>+G679/[8]Result!$H$48</f>
        <v>2.2525384008781801E-2</v>
      </c>
      <c r="H1025" s="25">
        <f>+H679/[9]Result!$H$48</f>
        <v>-2.0225548827768242E-2</v>
      </c>
      <c r="I1025" s="25">
        <f>+I679/[10]Result!$H$48</f>
        <v>-2.5257434263969075E-2</v>
      </c>
      <c r="J1025" s="33">
        <f>+J679/[11]Result!$H$48</f>
        <v>-3.8897933141539713E-2</v>
      </c>
      <c r="K1025" s="25">
        <f>+K679/[12]Result!$H$48</f>
        <v>-8.5947664569189196E-4</v>
      </c>
      <c r="L1025" s="25">
        <f>+L679/[13]Result!$H$48</f>
        <v>-4.9843942717950201E-2</v>
      </c>
      <c r="M1025" s="25">
        <f>+M679/[14]Result!$H$48</f>
        <v>1.7914311142295418</v>
      </c>
      <c r="N1025" s="33">
        <f>+N679/[15]Result!$H$48</f>
        <v>2.5627031669745819E-2</v>
      </c>
      <c r="O1025" s="25">
        <f>+O679/[16]Result!$H$48</f>
        <v>6.1719800384771754E-2</v>
      </c>
      <c r="P1025" s="25">
        <f>+P679/[17]Result!$H$48</f>
        <v>0.41577320722800309</v>
      </c>
      <c r="Q1025" s="33">
        <f>+Q679/[18]Result!$H$48</f>
        <v>-8.5483851784719008E-3</v>
      </c>
      <c r="R1025" s="33">
        <f>+R679/[19]Result!$H$48</f>
        <v>-2.1364364593697452E-4</v>
      </c>
      <c r="S1025" s="34">
        <f>+S679/[20]Result!$H$48</f>
        <v>2.1477594202114599E-2</v>
      </c>
    </row>
    <row r="1026" spans="1:20" hidden="1" outlineLevel="2" x14ac:dyDescent="0.25">
      <c r="A1026" s="16" t="s">
        <v>51</v>
      </c>
      <c r="B1026" s="25">
        <f>+B680/[21]Result!$H$49</f>
        <v>-2.8054279446953108E-2</v>
      </c>
      <c r="C1026" s="25">
        <f>+C680/[1]Result!$H$49</f>
        <v>3.9131436243072991E-2</v>
      </c>
      <c r="D1026" s="33">
        <f>+D680/[5]Result!$H$49</f>
        <v>-6.0511186595460245E-2</v>
      </c>
      <c r="E1026" s="25">
        <f>+E680/[6]Result!$H$49</f>
        <v>3.3374701725381963E-2</v>
      </c>
      <c r="F1026" s="25">
        <f>+F680/[7]Result!$H$49</f>
        <v>-4.1417095569018333E-2</v>
      </c>
      <c r="G1026" s="33">
        <f>+G680/[8]Result!$H$49</f>
        <v>2.9860492897387795E-2</v>
      </c>
      <c r="H1026" s="25">
        <f>+H680/[9]Result!$H$49</f>
        <v>-2.024345146286919E-2</v>
      </c>
      <c r="I1026" s="25">
        <f>+I680/[10]Result!$H$49</f>
        <v>-2.5173172610878987E-2</v>
      </c>
      <c r="J1026" s="33">
        <f>+J680/[11]Result!$H$49</f>
        <v>-3.6326540956956289E-2</v>
      </c>
      <c r="K1026" s="25">
        <f>+K680/[12]Result!$H$49</f>
        <v>-8.7874511372611501E-4</v>
      </c>
      <c r="L1026" s="25">
        <f>+L680/[13]Result!$H$49</f>
        <v>-4.9890020562964474E-2</v>
      </c>
      <c r="M1026" s="25">
        <f>+M680/[14]Result!$H$49</f>
        <v>1.5920752558343336</v>
      </c>
      <c r="N1026" s="33">
        <f>+N680/[15]Result!$H$49</f>
        <v>2.5762237039028458E-2</v>
      </c>
      <c r="O1026" s="25">
        <f>+O680/[16]Result!$H$49</f>
        <v>6.2213915624058758E-2</v>
      </c>
      <c r="P1026" s="25">
        <f>+P680/[17]Result!$H$49</f>
        <v>0.30404937834936391</v>
      </c>
      <c r="Q1026" s="33">
        <f>+Q680/[18]Result!$H$49</f>
        <v>-8.5211537333381559E-3</v>
      </c>
      <c r="R1026" s="33">
        <f>+R680/[19]Result!$H$49</f>
        <v>-2.2025249489699152E-4</v>
      </c>
      <c r="S1026" s="34">
        <f>+S680/[20]Result!$H$49</f>
        <v>2.1741972841095029E-2</v>
      </c>
    </row>
    <row r="1027" spans="1:20" hidden="1" outlineLevel="2" x14ac:dyDescent="0.25">
      <c r="A1027" s="16" t="s">
        <v>52</v>
      </c>
      <c r="B1027" s="25">
        <f>+B681/[21]Result!$H$50</f>
        <v>-2.8220794055293812E-2</v>
      </c>
      <c r="C1027" s="25">
        <f>+C681/[1]Result!$H$50</f>
        <v>3.9301592926820415E-2</v>
      </c>
      <c r="D1027" s="33">
        <f>+D681/[5]Result!$H$50</f>
        <v>-6.3547319485121323E-2</v>
      </c>
      <c r="E1027" s="25">
        <f>+E681/[6]Result!$H$50</f>
        <v>3.3418391377279776E-2</v>
      </c>
      <c r="F1027" s="25">
        <f>+F681/[7]Result!$H$50</f>
        <v>-4.1441459194193515E-2</v>
      </c>
      <c r="G1027" s="33">
        <f>+G681/[8]Result!$H$50</f>
        <v>3.1075358238915936E-2</v>
      </c>
      <c r="H1027" s="25">
        <f>+H681/[9]Result!$H$50</f>
        <v>-2.002149835781248E-2</v>
      </c>
      <c r="I1027" s="25">
        <f>+I681/[10]Result!$H$50</f>
        <v>-2.5282114142864805E-2</v>
      </c>
      <c r="J1027" s="33">
        <f>+J681/[11]Result!$H$50</f>
        <v>-4.6248233619049527E-2</v>
      </c>
      <c r="K1027" s="25">
        <f>+K681/[12]Result!$H$50</f>
        <v>-8.9801175088057245E-4</v>
      </c>
      <c r="L1027" s="25">
        <f>+L681/[13]Result!$H$50</f>
        <v>-4.9891857440450084E-2</v>
      </c>
      <c r="M1027" s="25">
        <f>+M681/[14]Result!$H$50</f>
        <v>1.44400243211138</v>
      </c>
      <c r="N1027" s="33">
        <f>+N681/[15]Result!$H$50</f>
        <v>2.5874418087783266E-2</v>
      </c>
      <c r="O1027" s="25">
        <f>+O681/[16]Result!$H$50</f>
        <v>6.2431471505218758E-2</v>
      </c>
      <c r="P1027" s="25">
        <f>+P681/[17]Result!$H$50</f>
        <v>0.30127325964824025</v>
      </c>
      <c r="Q1027" s="33">
        <f>+Q681/[18]Result!$H$50</f>
        <v>-8.2629201325184354E-3</v>
      </c>
      <c r="R1027" s="33">
        <f>+R681/[19]Result!$H$50</f>
        <v>-4.4839889211317172E-4</v>
      </c>
      <c r="S1027" s="34">
        <f>+S681/[20]Result!$H$50</f>
        <v>2.1764788947058373E-2</v>
      </c>
    </row>
    <row r="1028" spans="1:20" hidden="1" outlineLevel="2" x14ac:dyDescent="0.25">
      <c r="A1028" s="16" t="s">
        <v>53</v>
      </c>
      <c r="B1028" s="25">
        <f>+B682/[21]Result!$H$51</f>
        <v>-2.8144093263141819E-2</v>
      </c>
      <c r="C1028" s="25">
        <f>+C682/[1]Result!$H$51</f>
        <v>3.9199978571514159E-2</v>
      </c>
      <c r="D1028" s="33">
        <f>+D682/[5]Result!$H$51</f>
        <v>-6.1306733928280073E-2</v>
      </c>
      <c r="E1028" s="25">
        <f>+E682/[6]Result!$H$51</f>
        <v>3.3433827438435919E-2</v>
      </c>
      <c r="F1028" s="25">
        <f>+F682/[7]Result!$H$51</f>
        <v>-4.1649859016304927E-2</v>
      </c>
      <c r="G1028" s="33">
        <f>+G682/[8]Result!$H$51</f>
        <v>4.2512430934715559E-2</v>
      </c>
      <c r="H1028" s="25">
        <f>+H682/[9]Result!$H$51</f>
        <v>-1.9998300824360365E-2</v>
      </c>
      <c r="I1028" s="25">
        <f>+I682/[10]Result!$H$51</f>
        <v>-2.5369225006872245E-2</v>
      </c>
      <c r="J1028" s="33">
        <f>+J682/[11]Result!$H$51</f>
        <v>-6.0818176531554954E-2</v>
      </c>
      <c r="K1028" s="25">
        <f>+K682/[12]Result!$H$51</f>
        <v>-9.1727655004319845E-4</v>
      </c>
      <c r="L1028" s="25">
        <f>+L682/[12]Result!$H$51</f>
        <v>-5.0018829400118259E-2</v>
      </c>
      <c r="M1028" s="25">
        <f>+M682/[12]Result!$H$51</f>
        <v>0.97987635145949914</v>
      </c>
      <c r="N1028" s="33">
        <f>+N682/[12]Result!$H$51</f>
        <v>5.0094055685864169E-2</v>
      </c>
      <c r="O1028" s="25">
        <f>+O682/[12]Result!$H$51</f>
        <v>0.12436381102464024</v>
      </c>
      <c r="P1028" s="25">
        <f>+P682/[12]Result!$H$51</f>
        <v>0.87537991889543054</v>
      </c>
      <c r="Q1028" s="33">
        <f>+Q682/[12]Result!$H$51</f>
        <v>-2.4465787018836307E-2</v>
      </c>
      <c r="R1028" s="33">
        <f>+R682/[12]Result!$H$51</f>
        <v>-6.7470522426616613E-4</v>
      </c>
      <c r="S1028" s="34">
        <f>+S682/[12]Result!$H$51</f>
        <v>6.3610358720581656E-2</v>
      </c>
    </row>
    <row r="1029" spans="1:20" hidden="1" outlineLevel="2" x14ac:dyDescent="0.25">
      <c r="A1029" s="16" t="s">
        <v>54</v>
      </c>
      <c r="B1029" s="25">
        <f>+B683/[21]Result!$H$52</f>
        <v>-2.8040605443717743E-2</v>
      </c>
      <c r="C1029" s="25">
        <f>+C683/[1]Result!$H$52</f>
        <v>3.9061121086554837E-2</v>
      </c>
      <c r="D1029" s="33">
        <f>+D683/[5]Result!$H$52</f>
        <v>-9.1086380328961325E-2</v>
      </c>
      <c r="E1029" s="25">
        <f>+E683/[6]Result!$H$52</f>
        <v>3.3661195281199277E-2</v>
      </c>
      <c r="F1029" s="25">
        <f>+F683/[7]Result!$H$52</f>
        <v>-4.1829244897300798E-2</v>
      </c>
      <c r="G1029" s="33">
        <f>+G683/[8]Result!$H$52</f>
        <v>7.5177739106274136E-2</v>
      </c>
      <c r="H1029" s="25">
        <f>+H683/[9]Result!$H$52</f>
        <v>-2.0183821697058887E-2</v>
      </c>
      <c r="I1029" s="25">
        <f>+I683/[10]Result!$H$52</f>
        <v>-2.5211267632975223E-2</v>
      </c>
      <c r="J1029" s="33">
        <f>+J683/[11]Result!$H$52</f>
        <v>-7.0421420129967216E-2</v>
      </c>
      <c r="K1029" s="25">
        <f>+K683/[12]Result!$H$52</f>
        <v>-9.3653950473670817E-4</v>
      </c>
      <c r="L1029" s="25">
        <f>+L683/[13]Result!$H$52</f>
        <v>-4.9978121373954999E-2</v>
      </c>
      <c r="M1029" s="25">
        <f>+M683/[14]Result!$H$52</f>
        <v>0.25599618924643297</v>
      </c>
      <c r="N1029" s="33">
        <f>+N683/[15]Result!$H$52</f>
        <v>2.628320721435002E-2</v>
      </c>
      <c r="O1029" s="25">
        <f>+O683/[16]Result!$H$52</f>
        <v>6.3209230189888513E-2</v>
      </c>
      <c r="P1029" s="25">
        <f>+P683/[17]Result!$H$52</f>
        <v>0.89947796051424933</v>
      </c>
      <c r="Q1029" s="33">
        <f>+Q683/[18]Result!$H$52</f>
        <v>-8.3855062470599134E-3</v>
      </c>
      <c r="R1029" s="33">
        <f>+R683/[19]Result!$H$52</f>
        <v>-2.3443680490292863E-4</v>
      </c>
      <c r="S1029" s="34">
        <f>+S683/[20]Result!$H$52</f>
        <v>2.1756033222451454E-2</v>
      </c>
    </row>
    <row r="1030" spans="1:20" hidden="1" outlineLevel="2" x14ac:dyDescent="0.25">
      <c r="A1030" s="16" t="s">
        <v>55</v>
      </c>
      <c r="B1030" s="25">
        <f>+B684/[21]Result!$H$53</f>
        <v>-2.8141421358003838E-2</v>
      </c>
      <c r="C1030" s="25">
        <f>+C684/[1]Result!$H$53</f>
        <v>3.9129470113383712E-2</v>
      </c>
      <c r="D1030" s="33">
        <f>+D684/[5]Result!$H$53</f>
        <v>-0.11468685693648992</v>
      </c>
      <c r="E1030" s="25">
        <f>+E684/[6]Result!$H$53</f>
        <v>3.3620423656362419E-2</v>
      </c>
      <c r="F1030" s="25">
        <f>+F684/[7]Result!$H$53</f>
        <v>-4.1751932906330863E-2</v>
      </c>
      <c r="G1030" s="33">
        <f>+G684/[8]Result!$H$53</f>
        <v>2.5440336182432167E-2</v>
      </c>
      <c r="H1030" s="25">
        <f>+H684/[9]Result!$H$53</f>
        <v>-2.0126171919665495E-2</v>
      </c>
      <c r="I1030" s="25">
        <f>+I684/[10]Result!$H$53</f>
        <v>-2.5490942673905507E-2</v>
      </c>
      <c r="J1030" s="33">
        <f>+J684/[11]Result!$H$53</f>
        <v>-8.9773458382038929E-2</v>
      </c>
      <c r="K1030" s="25">
        <f>+K684/[12]Result!$H$53</f>
        <v>-9.5580756068296244E-4</v>
      </c>
      <c r="L1030" s="25">
        <f>+L684/[13]Result!$H$53</f>
        <v>-5.007428842231261E-2</v>
      </c>
      <c r="M1030" s="25">
        <f>+M684/[14]Result!$H$53</f>
        <v>-0.88859377035984322</v>
      </c>
      <c r="N1030" s="33">
        <f>+N684/[15]Result!$H$53</f>
        <v>2.6097400283646471E-2</v>
      </c>
      <c r="O1030" s="25">
        <f>+O684/[16]Result!$H$53</f>
        <v>6.3536540851586068E-2</v>
      </c>
      <c r="P1030" s="25">
        <f>+P684/[17]Result!$H$53</f>
        <v>11.979310534315017</v>
      </c>
      <c r="Q1030" s="33">
        <f>+Q684/[18]Result!$H$53</f>
        <v>-8.3204010837259219E-3</v>
      </c>
      <c r="R1030" s="33">
        <f>+R684/[19]Result!$H$53</f>
        <v>-4.7731238010719829E-4</v>
      </c>
      <c r="S1030" s="34">
        <f>+S684/[20]Result!$H$53</f>
        <v>2.172028833611599E-2</v>
      </c>
    </row>
    <row r="1031" spans="1:20" hidden="1" outlineLevel="2" x14ac:dyDescent="0.25">
      <c r="A1031" s="16" t="s">
        <v>56</v>
      </c>
      <c r="B1031" s="25">
        <f>+B685/[21]Result!$H$54</f>
        <v>-2.8223375795545128E-2</v>
      </c>
      <c r="C1031" s="25">
        <f>+C685/[1]Result!$H$54</f>
        <v>3.9168596188622729E-2</v>
      </c>
      <c r="D1031" s="33">
        <f>+D685/[5]Result!$H$54</f>
        <v>-0.17365976437052111</v>
      </c>
      <c r="E1031" s="25">
        <f>+E685/[6]Result!$H$54</f>
        <v>3.3297730148786821E-2</v>
      </c>
      <c r="F1031" s="25">
        <f>+F685/[7]Result!$H$54</f>
        <v>-4.1637526401796819E-2</v>
      </c>
      <c r="G1031" s="33">
        <f>+G685/[8]Result!$H$54</f>
        <v>8.1093304394331669E-2</v>
      </c>
      <c r="H1031" s="25">
        <f>+H685/[9]Result!$H$54</f>
        <v>-2.0049586374169193E-2</v>
      </c>
      <c r="I1031" s="25">
        <f>+I685/[10]Result!$H$54</f>
        <v>-2.5522199847091087E-2</v>
      </c>
      <c r="J1031" s="33">
        <f>+J685/[11]Result!$H$54</f>
        <v>-9.8081095964943354E-2</v>
      </c>
      <c r="K1031" s="25">
        <f>+K685/[12]Result!$H$54</f>
        <v>-9.7507641049439234E-4</v>
      </c>
      <c r="L1031" s="25">
        <f>+L685/[13]Result!$H$54</f>
        <v>-5.0363945837441013E-2</v>
      </c>
      <c r="M1031" s="25">
        <f>+M685/[14]Result!$H$54</f>
        <v>-1.0008886515122439</v>
      </c>
      <c r="N1031" s="33">
        <f>+N685/[15]Result!$H$54</f>
        <v>2.5882850101607478E-2</v>
      </c>
      <c r="O1031" s="25">
        <f>+O685/[16]Result!$H$54</f>
        <v>6.3822967461248437E-2</v>
      </c>
      <c r="P1031" s="25">
        <f>+P685/[17]Result!$H$54</f>
        <v>-2.7583287788504978E-2</v>
      </c>
      <c r="Q1031" s="33">
        <f>+Q685/[18]Result!$H$54</f>
        <v>-8.2466621039212745E-3</v>
      </c>
      <c r="R1031" s="33">
        <f>+R685/[19]Result!$H$54</f>
        <v>-4.8694794371975447E-4</v>
      </c>
      <c r="S1031" s="34">
        <f>+S685/[20]Result!$H$54</f>
        <v>2.1666785667904212E-2</v>
      </c>
    </row>
    <row r="1032" spans="1:20" collapsed="1" x14ac:dyDescent="0.25">
      <c r="A1032" s="12" t="s">
        <v>94</v>
      </c>
      <c r="B1032" s="25" cm="1">
        <f t="array" ref="B1032">+B686/[21]!DELTA1PERC</f>
        <v>-5.6823163505666735E-3</v>
      </c>
      <c r="C1032" s="25" cm="1">
        <f t="array" ref="C1032">+C686/[1]!DELTA1PERC</f>
        <v>8.4645542344903117E-3</v>
      </c>
      <c r="D1032" s="33" cm="1">
        <f t="array" ref="D1032">+D686/[5]!DELTA1PERC</f>
        <v>-2.8141030019530423E-2</v>
      </c>
      <c r="E1032" s="25" cm="1">
        <f t="array" ref="E1032">+E686/[6]!DELTA1PERC</f>
        <v>1.8897472051807855E-2</v>
      </c>
      <c r="F1032" s="25" cm="1">
        <f t="array" ref="F1032">+F686/[7]!DELTA1PERC</f>
        <v>-7.8029448835409965E-3</v>
      </c>
      <c r="G1032" s="33" cm="1">
        <f t="array" ref="G1032">+G686/[8]!DELTA1PERC</f>
        <v>-1.0538150523193254E-2</v>
      </c>
      <c r="H1032" s="29" cm="1">
        <f t="array" ref="H1032">+H686/[9]!DELTA1PERC</f>
        <v>-6.6652545817091026E-3</v>
      </c>
      <c r="I1032" s="29" cm="1">
        <f t="array" ref="I1032">+I686/[10]!DELTA1PERC</f>
        <v>-7.3942248406309559E-4</v>
      </c>
      <c r="J1032" s="33" cm="1">
        <f t="array" ref="J1032">+J686/[11]!DELTA1PERC</f>
        <v>2.0156268252493923E-2</v>
      </c>
      <c r="K1032" s="29" cm="1">
        <f t="array" ref="K1032">+K686/[12]!DELTA1PERC</f>
        <v>2.2805574855080985E-3</v>
      </c>
      <c r="L1032" s="29" cm="1">
        <f t="array" ref="L1032">+L686/[13]!DELTA1PERC</f>
        <v>-9.7120307249914557E-3</v>
      </c>
      <c r="M1032" s="65" cm="1">
        <f t="array" ref="M1032">+M686/[14]!DELTA1PERC</f>
        <v>-0.17412798642405644</v>
      </c>
      <c r="N1032" s="29" cm="1">
        <f t="array" ref="N1032">+N686/[15]!DELTA1PERC</f>
        <v>4.4541074837348834E-3</v>
      </c>
      <c r="O1032" s="29" cm="1">
        <f t="array" ref="O1032">+O686/[16]!DELTA1PERC</f>
        <v>1.3600462190593231E-2</v>
      </c>
      <c r="P1032" s="65" cm="1">
        <f t="array" ref="P1032">+P686/[17]!DELTA1PERC</f>
        <v>5.1879438692246045E-2</v>
      </c>
      <c r="Q1032" s="29" cm="1">
        <f t="array" ref="Q1032">+Q686/[18]!DELTA1PERC</f>
        <v>-1.5121920164363342E-3</v>
      </c>
      <c r="R1032" s="29" cm="1">
        <f t="array" ref="R1032">+R686/[19]!DELTA1PERC</f>
        <v>5.5103401227100139E-3</v>
      </c>
      <c r="S1032" s="63" cm="1">
        <f t="array" ref="S1032">+S686/[20]!DELTA1PERC</f>
        <v>4.1591120228320873E-3</v>
      </c>
      <c r="T1032" s="13"/>
    </row>
    <row r="1033" spans="1:20" hidden="1" outlineLevel="1" x14ac:dyDescent="0.25">
      <c r="A1033" s="15" t="s">
        <v>2</v>
      </c>
      <c r="B1033" s="25">
        <f>+B687/'[21]Stat by Mat 2'!$J$3</f>
        <v>-2.0617284308636478E-3</v>
      </c>
      <c r="C1033" s="25">
        <f>+C687/'[1]Stat by Mat 2'!$J$3</f>
        <v>4.1498604754884394E-3</v>
      </c>
      <c r="D1033" s="33">
        <f>+D687/'[5]Stat by Mat 2'!$J$3</f>
        <v>5.2007479857408855E-2</v>
      </c>
      <c r="E1033" s="25">
        <f>+E687/'[6]Stat by Mat 2'!$J$3</f>
        <v>9.0897123135664417E-3</v>
      </c>
      <c r="F1033" s="25">
        <f>+F687/'[7]Stat by Mat 2'!$J$3</f>
        <v>-1.7446838857636624E-3</v>
      </c>
      <c r="G1033" s="33">
        <f>+G687/'[8]Stat by Mat 2'!$J$3</f>
        <v>-9.8791908784024059E-3</v>
      </c>
      <c r="H1033" s="25">
        <f>+H687/'[9]Stat by Mat 2'!$J$3</f>
        <v>-2.9547786075175488E-3</v>
      </c>
      <c r="I1033" s="25">
        <f>+I687/'[10]Stat by Mat 2'!$J$3</f>
        <v>1.3808122861610731E-3</v>
      </c>
      <c r="J1033" s="33">
        <f>+J687/'[11]Stat by Mat 2'!$J$3</f>
        <v>2.933166639026338E-2</v>
      </c>
      <c r="K1033" s="25">
        <f>+K687/'[12]Stat by Mat 2'!$J$3</f>
        <v>1.0942058292904356E-3</v>
      </c>
      <c r="L1033" s="25">
        <f>+L687/'[13]Stat by Mat 2'!$J$3</f>
        <v>-1.6008360566852542E-3</v>
      </c>
      <c r="M1033" s="25">
        <f>+M687/'[14]Stat by Mat 2'!$J$3</f>
        <v>-9.663094686914378E-2</v>
      </c>
      <c r="N1033" s="33">
        <f>+N687/'[15]Stat by Mat 2'!$J$3</f>
        <v>1.3635416022695968E-3</v>
      </c>
      <c r="O1033" s="25">
        <f>+O687/'[16]Stat by Mat 2'!$J$3</f>
        <v>3.341707318164841E-3</v>
      </c>
      <c r="P1033" s="25">
        <f>+P687/'[17]Stat by Mat 2'!$J$3</f>
        <v>8.2518319590375769E-2</v>
      </c>
      <c r="Q1033" s="33">
        <f>+Q687/'[18]Stat by Mat 2'!$J$3</f>
        <v>-6.7690006957616289E-4</v>
      </c>
      <c r="R1033" s="33">
        <f>+R687/'[19]Stat by Mat 2'!$J$3</f>
        <v>3.4492585998844218E-3</v>
      </c>
      <c r="S1033" s="34">
        <f>+S687/'[20]Stat by Mat 2'!$J$3</f>
        <v>5.8691701181584751E-4</v>
      </c>
    </row>
    <row r="1034" spans="1:20" hidden="1" outlineLevel="1" x14ac:dyDescent="0.25">
      <c r="A1034" s="15" t="s">
        <v>8</v>
      </c>
      <c r="B1034" s="25">
        <f>+B688/'[21]Stat by Mat 2'!$J$4</f>
        <v>-4.2511221562146232E-3</v>
      </c>
      <c r="C1034" s="25">
        <f>+C688/'[1]Stat by Mat 2'!$J$4</f>
        <v>9.0123012049876262E-3</v>
      </c>
      <c r="D1034" s="33">
        <f>+D688/'[5]Stat by Mat 2'!$J$4</f>
        <v>-4.8420499496261829E-2</v>
      </c>
      <c r="E1034" s="25">
        <f>+E688/'[6]Stat by Mat 2'!$J$4</f>
        <v>2.1209496089204742E-2</v>
      </c>
      <c r="F1034" s="25">
        <f>+F688/'[7]Stat by Mat 2'!$J$4</f>
        <v>-5.874117159802455E-3</v>
      </c>
      <c r="G1034" s="33">
        <f>+G688/'[8]Stat by Mat 2'!$J$4</f>
        <v>-9.5005568772448101E-5</v>
      </c>
      <c r="H1034" s="25">
        <f>+H688/'[9]Stat by Mat 2'!$J$4</f>
        <v>-6.682178740614139E-3</v>
      </c>
      <c r="I1034" s="25">
        <f>+I688/'[10]Stat by Mat 2'!$J$4</f>
        <v>2.3935355253992441E-3</v>
      </c>
      <c r="J1034" s="33">
        <f>+J688/'[11]Stat by Mat 2'!$J$4</f>
        <v>6.7277814229523545E-4</v>
      </c>
      <c r="K1034" s="25">
        <f>+K688/'[12]Stat by Mat 2'!$J$4</f>
        <v>3.6321350489930994E-3</v>
      </c>
      <c r="L1034" s="25">
        <f>+L688/'[13]Stat by Mat 2'!$J$4</f>
        <v>-8.0581124084479171E-3</v>
      </c>
      <c r="M1034" s="25">
        <f>+M688/'[14]Stat by Mat 2'!$J$4</f>
        <v>-0.22205829064524116</v>
      </c>
      <c r="N1034" s="33">
        <f>+N688/'[15]Stat by Mat 2'!$J$4</f>
        <v>4.9376039401330275E-3</v>
      </c>
      <c r="O1034" s="25">
        <f>+O688/'[16]Stat by Mat 2'!$J$4</f>
        <v>1.5023709624458606E-2</v>
      </c>
      <c r="P1034" s="25">
        <f>+P688/'[17]Stat by Mat 2'!$J$4</f>
        <v>3.2454071264639874E-2</v>
      </c>
      <c r="Q1034" s="33">
        <f>+Q688/'[18]Stat by Mat 2'!$J$4</f>
        <v>-3.2429180341612946E-4</v>
      </c>
      <c r="R1034" s="33">
        <f>+R688/'[19]Stat by Mat 2'!$J$4</f>
        <v>8.3168803664258814E-3</v>
      </c>
      <c r="S1034" s="34">
        <f>+S688/'[20]Stat by Mat 2'!$J$4</f>
        <v>4.1329816034577976E-3</v>
      </c>
    </row>
    <row r="1035" spans="1:20" hidden="1" outlineLevel="1" x14ac:dyDescent="0.25">
      <c r="A1035" s="15" t="s">
        <v>14</v>
      </c>
      <c r="B1035" s="25">
        <f>+B689/'[21]Stat by Mat 2'!$J$5</f>
        <v>-9.1197158637625533E-3</v>
      </c>
      <c r="C1035" s="25">
        <f>+C689/'[1]Stat by Mat 2'!$J$5</f>
        <v>1.1038844658110643E-2</v>
      </c>
      <c r="D1035" s="33">
        <f>+D689/'[5]Stat by Mat 2'!$J$5</f>
        <v>-0.12698029332213737</v>
      </c>
      <c r="E1035" s="25">
        <f>+E689/'[6]Stat by Mat 2'!$J$5</f>
        <v>3.1880821026528623E-2</v>
      </c>
      <c r="F1035" s="25">
        <f>+F689/'[7]Stat by Mat 2'!$J$5</f>
        <v>-1.5121130960446625E-2</v>
      </c>
      <c r="G1035" s="33">
        <f>+G689/'[8]Stat by Mat 2'!$J$5</f>
        <v>-1.7823300771761145E-2</v>
      </c>
      <c r="H1035" s="25">
        <f>+H689/'[9]Stat by Mat 2'!$J$5</f>
        <v>-1.1318566603879698E-2</v>
      </c>
      <c r="I1035" s="25">
        <f>+I689/'[10]Stat by Mat 2'!$J$5</f>
        <v>-4.2430309997411372E-3</v>
      </c>
      <c r="J1035" s="33">
        <f>+J689/'[11]Stat by Mat 2'!$J$5</f>
        <v>1.0244494900113296E-2</v>
      </c>
      <c r="K1035" s="25">
        <f>+K689/'[12]Stat by Mat 2'!$J$5</f>
        <v>3.7602863335891765E-3</v>
      </c>
      <c r="L1035" s="25">
        <f>+L689/'[13]Stat by Mat 2'!$J$5</f>
        <v>-2.0915328468336252E-2</v>
      </c>
      <c r="M1035" s="25">
        <f>+M689/'[14]Stat by Mat 2'!$J$5</f>
        <v>-0.25416527130619404</v>
      </c>
      <c r="N1035" s="33">
        <f>+N689/'[15]Stat by Mat 2'!$J$5</f>
        <v>9.0234384514532914E-3</v>
      </c>
      <c r="O1035" s="25">
        <f>+O689/'[16]Stat by Mat 2'!$J$5</f>
        <v>3.0924819226228441E-2</v>
      </c>
      <c r="P1035" s="25">
        <f>+P689/'[17]Stat by Mat 2'!$J$5</f>
        <v>2.76529891007545E-4</v>
      </c>
      <c r="Q1035" s="33">
        <f>+Q689/'[18]Stat by Mat 2'!$J$5</f>
        <v>-3.5479046964203339E-3</v>
      </c>
      <c r="R1035" s="33">
        <f>+R689/'[19]Stat by Mat 2'!$J$5</f>
        <v>8.6354895320679033E-3</v>
      </c>
      <c r="S1035" s="34">
        <f>+S689/'[20]Stat by Mat 2'!$J$5</f>
        <v>1.0901495447162414E-2</v>
      </c>
    </row>
    <row r="1036" spans="1:20" hidden="1" outlineLevel="1" x14ac:dyDescent="0.25">
      <c r="A1036" s="15" t="s">
        <v>25</v>
      </c>
      <c r="B1036" s="25">
        <f>+B690/'[21]Stat by Mat 2'!$J$6</f>
        <v>-2.0921099724672102E-2</v>
      </c>
      <c r="C1036" s="25">
        <f>+C690/'[1]Stat by Mat 2'!$J$6</f>
        <v>2.3314322951719806E-2</v>
      </c>
      <c r="D1036" s="33">
        <f>+D690/'[5]Stat by Mat 2'!$J$6</f>
        <v>-0.11825772177690796</v>
      </c>
      <c r="E1036" s="25">
        <f>+E690/'[6]Stat by Mat 2'!$J$6</f>
        <v>3.8345955773453226E-2</v>
      </c>
      <c r="F1036" s="25">
        <f>+F690/'[7]Stat by Mat 2'!$J$6</f>
        <v>-3.3207923148633522E-2</v>
      </c>
      <c r="G1036" s="33">
        <f>+G690/'[8]Stat by Mat 2'!$J$6</f>
        <v>-3.6611472901244793E-2</v>
      </c>
      <c r="H1036" s="25">
        <f>+H690/'[9]Stat by Mat 2'!$J$6</f>
        <v>-1.8249526649522032E-2</v>
      </c>
      <c r="I1036" s="25">
        <f>+I690/'[10]Stat by Mat 2'!$J$6</f>
        <v>-1.7307406540502519E-2</v>
      </c>
      <c r="J1036" s="33">
        <f>+J690/'[11]Stat by Mat 2'!$J$6</f>
        <v>6.7905699602434533E-2</v>
      </c>
      <c r="K1036" s="25">
        <f>+K690/'[12]Stat by Mat 2'!$J$6</f>
        <v>9.9844784951711569E-4</v>
      </c>
      <c r="L1036" s="25">
        <f>+L690/'[13]Stat by Mat 2'!$J$6</f>
        <v>-3.9149714217797248E-2</v>
      </c>
      <c r="M1036" s="25">
        <f>+M690/'[14]Stat by Mat 2'!$J$6</f>
        <v>-0.28499261597558478</v>
      </c>
      <c r="N1036" s="33">
        <f>+N690/'[15]Stat by Mat 2'!$J$6</f>
        <v>1.6449401765369475E-2</v>
      </c>
      <c r="O1036" s="25">
        <f>+O690/'[16]Stat by Mat 2'!$J$6</f>
        <v>4.636630907397972E-2</v>
      </c>
      <c r="P1036" s="25">
        <f>+P690/'[17]Stat by Mat 2'!$J$6</f>
        <v>9.9845049612669601E-3</v>
      </c>
      <c r="Q1036" s="33">
        <f>+Q690/'[18]Stat by Mat 2'!$J$6</f>
        <v>-8.1961720508440562E-3</v>
      </c>
      <c r="R1036" s="33">
        <f>+R690/'[19]Stat by Mat 2'!$J$6</f>
        <v>3.1432807850081956E-3</v>
      </c>
      <c r="S1036" s="34">
        <f>+S690/'[20]Stat by Mat 2'!$J$6</f>
        <v>1.6758785808508266E-2</v>
      </c>
    </row>
    <row r="1037" spans="1:20" hidden="1" outlineLevel="1" x14ac:dyDescent="0.25">
      <c r="A1037" s="15" t="s">
        <v>36</v>
      </c>
      <c r="B1037" s="25">
        <f>+B691/'[21]Stat by Mat 2'!$J$7</f>
        <v>-2.681693028373601E-2</v>
      </c>
      <c r="C1037" s="25">
        <f>+C691/'[1]Stat by Mat 2'!$J$7</f>
        <v>3.6278824293674364E-2</v>
      </c>
      <c r="D1037" s="33">
        <f>+D691/'[5]Stat by Mat 2'!$J$7</f>
        <v>-5.7253166016285148E-2</v>
      </c>
      <c r="E1037" s="25">
        <f>+E691/'[6]Stat by Mat 2'!$J$7</f>
        <v>3.4646420620835922E-2</v>
      </c>
      <c r="F1037" s="25">
        <f>+F691/'[7]Stat by Mat 2'!$J$7</f>
        <v>-4.0148009892763716E-2</v>
      </c>
      <c r="G1037" s="33">
        <f>+G691/'[8]Stat by Mat 2'!$J$7</f>
        <v>1.0641238240104604E-2</v>
      </c>
      <c r="H1037" s="25">
        <f>+H691/'[9]Stat by Mat 2'!$J$7</f>
        <v>-1.9872391386250039E-2</v>
      </c>
      <c r="I1037" s="25">
        <f>+I691/'[10]Stat by Mat 2'!$J$7</f>
        <v>-2.3339826699706825E-2</v>
      </c>
      <c r="J1037" s="33">
        <f>+J691/'[11]Stat by Mat 2'!$J$7</f>
        <v>4.5030703774389925E-2</v>
      </c>
      <c r="K1037" s="25">
        <f>+K691/'[12]Stat by Mat 2'!$J$7</f>
        <v>-3.4132846890767702E-4</v>
      </c>
      <c r="L1037" s="25">
        <f>+L691/'[12]Stat by Mat 2'!$J$7</f>
        <v>-4.6723894821610303E-2</v>
      </c>
      <c r="M1037" s="25">
        <f>+M691/'[12]Stat by Mat 2'!$J$7</f>
        <v>-0.52050017834470019</v>
      </c>
      <c r="N1037" s="33">
        <f>+N691/'[12]Stat by Mat 2'!$J$7</f>
        <v>9.8550939933864466E-3</v>
      </c>
      <c r="O1037" s="25">
        <f>+O691/'[12]Stat by Mat 2'!$J$7</f>
        <v>2.4763138231364855E-2</v>
      </c>
      <c r="P1037" s="25">
        <f>+P691/'[12]Stat by Mat 2'!$J$7</f>
        <v>0.16544079387861754</v>
      </c>
      <c r="Q1037" s="33">
        <f>+Q691/'[12]Stat by Mat 2'!$J$7</f>
        <v>-5.2343208415807823E-3</v>
      </c>
      <c r="R1037" s="33">
        <f>+R691/'[12]Stat by Mat 2'!$J$7</f>
        <v>4.2812261436135955E-4</v>
      </c>
      <c r="S1037" s="34">
        <f>+S691/'[12]Stat by Mat 2'!$J$7</f>
        <v>1.2785542189396183E-2</v>
      </c>
    </row>
    <row r="1038" spans="1:20" ht="14.25" collapsed="1" thickBot="1" x14ac:dyDescent="0.3">
      <c r="A1038" s="17" t="s">
        <v>95</v>
      </c>
      <c r="B1038" s="28" cm="1">
        <f t="array" ref="B1038">+B692/[21]!DURATION</f>
        <v>-3.4599135062298287E-3</v>
      </c>
      <c r="C1038" s="28" cm="1">
        <f t="array" ref="C1038">+C692/[1]!DURATION</f>
        <v>4.4096571069572243E-3</v>
      </c>
      <c r="D1038" s="30" cm="1">
        <f t="array" ref="D1038">+D692/[5]!DURATION</f>
        <v>-5.5436179465884659E-2</v>
      </c>
      <c r="E1038" s="28" cm="1">
        <f t="array" ref="E1038">+E692/[6]!DURATION</f>
        <v>9.8807495744044783E-3</v>
      </c>
      <c r="F1038" s="28" cm="1">
        <f t="array" ref="F1038">+F692/[7]!DURATION</f>
        <v>-5.3343961093659468E-3</v>
      </c>
      <c r="G1038" s="30" cm="1">
        <f t="array" ref="G1038">+G692/[8]!DURATION</f>
        <v>2.3435777101754651E-2</v>
      </c>
      <c r="H1038" s="28" cm="1">
        <f t="array" ref="H1038">+H692/[9]!DURATION</f>
        <v>-3.707314993536037E-3</v>
      </c>
      <c r="I1038" s="28" cm="1">
        <f t="array" ref="I1038">+I692/[10]!DURATION</f>
        <v>-1.3133669109953272E-3</v>
      </c>
      <c r="J1038" s="30" cm="1">
        <f t="array" ref="J1038">+J692/[11]!DURATION</f>
        <v>1.8668704357491052E-2</v>
      </c>
      <c r="K1038" s="28" cm="1">
        <f t="array" ref="K1038">+K692/[12]!DURATION</f>
        <v>1.1830526670153414E-3</v>
      </c>
      <c r="L1038" s="28" cm="1">
        <f t="array" ref="L1038">+L692/[13]!DURATION</f>
        <v>-6.7246788906438438E-3</v>
      </c>
      <c r="M1038" s="30" cm="1">
        <f t="array" ref="M1038">+M692/[14]!DURATION</f>
        <v>-7.9148217126800369E-2</v>
      </c>
      <c r="N1038" s="28" cm="1">
        <f t="array" ref="N1038">+N692/[15]!DURATION</f>
        <v>2.8348295158876955E-3</v>
      </c>
      <c r="O1038" s="28" cm="1">
        <f t="array" ref="O1038">+O692/[16]!DURATION</f>
        <v>8.8908730484487698E-3</v>
      </c>
      <c r="P1038" s="30" cm="1">
        <f t="array" ref="P1038">+P692/[17]!DURATION</f>
        <v>-4.8244462834588692E-2</v>
      </c>
      <c r="Q1038" s="28" cm="1">
        <f t="array" ref="Q1038">+Q692/[18]!DURATION</f>
        <v>-7.3972865993825751E-4</v>
      </c>
      <c r="R1038" s="28" cm="1">
        <f t="array" ref="R1038">+R692/[19]!DURATION</f>
        <v>2.4650733211327744E-3</v>
      </c>
      <c r="S1038" s="64" cm="1">
        <f t="array" ref="S1038">+S692/[20]!DURATION</f>
        <v>2.945630162537358E-3</v>
      </c>
    </row>
    <row r="1039" spans="1:20" x14ac:dyDescent="0.25">
      <c r="A1039" s="23"/>
      <c r="B1039" s="25"/>
      <c r="C1039" s="13"/>
      <c r="E1039" s="22"/>
      <c r="F1039" s="22"/>
      <c r="H1039" s="22"/>
      <c r="I1039" s="22"/>
      <c r="L1039" s="22"/>
      <c r="M1039" s="22"/>
      <c r="N1039" s="67"/>
      <c r="O1039" s="22"/>
      <c r="P1039" s="22"/>
      <c r="Q1039" s="67"/>
      <c r="R1039" s="67"/>
      <c r="S1039" s="32"/>
    </row>
  </sheetData>
  <sheetProtection selectLockedCells="1" selectUnlockedCells="1"/>
  <mergeCells count="3">
    <mergeCell ref="A348:R348"/>
    <mergeCell ref="A2:S2"/>
    <mergeCell ref="A694:S694"/>
  </mergeCells>
  <phoneticPr fontId="16" type="noConversion"/>
  <conditionalFormatting sqref="B5 B11 B17 B28 B39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1:B65 B67 B73 B95 B84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7 B123 B129 B140 B15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73 B179 B185:B196 B20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29 B235 B241 B252 B26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5 B291 B297 B308 B319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41:B34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51 B357 B363 B374 B38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07 B413 B419 B430 B44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63 B469 B475 B486 B497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19 B525 B531 B542 B55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75 B587 B581 B598 B60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31 B637 B643 B654 B66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87:B69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97 B703 B709 B720 B73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53:B757 B759 B765 B787 B7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09 B815 B821 B832 B84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65 B871 B877:B888 B89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21 B927 B933 B944 B95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77 B983 B989 B1000 B10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33:B10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B696:B781 B783:B865 B867:B1038 C696:C1038 D696:E1038 G696:G976 F977:G1038 F696:F976 T4:Y686 H696:H1038 Z4:Z686 I921:I1038 I723:I920 I705:I707 I696:I704 I708:I722 AA4:AA686 J696:J1038 K696:K1038 AB4:AB686 AC4:AC686 L696:L1038 AD4:AE686 M696:M1038 T687:AE692 N696:N1038 N350:N692 N55:N346 N4:N54 K574:K692 M350:M692 M4:M346 L350:L692 L4:L346 K228:K346 B686:C686 K350:K573 K4:K227 J350:J692 J4:J346 I350:I692 I4:I346 H350:H692 H346 H340 H341:H345 B341:B345 B346:C346 H4:H339 B4:B339 B340:C340 C4:C339 C341:C345 D4:D346 E4:E346 F4:G346 F350:G692 D350:E692 C477:C685 B477:B496 C687:C692 B687:B692 C350:C475 B438:B475 B436 B498:B685 B350:B434 A347:P347 A435:B435 A350:A434 O350:P434 A686 A498:A685 A437:B437 A436 O436:P436 A476:C476 A438:A475 O438:P475 O435:P435 O437:P437 A687:A692 A497:B497 A477:A496 O477:P496 O497:P497 O476:P476 A340 O340:P340 A346 A341:A345 A4:A339 O228:P339 O346:P346 O341:P345 O55:P227 O498:P573 O574:P685 O687:P692 O686:P686 O5:P54 O696:P1038 O4:P4 Q4:Q346 AF4:AH340 AF350:AH692 Q350:Q692 Q696:Q1038 R4:R346 AI4:AJ340 AI693:AK693 R696:R1038 A349:P349 A348 R350:R692 S4:S346 S350:S692 S696:S1038 AI350:AJ692 AK4:AK340 AK350:AK692" unlocked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B4B3D-2379-4619-B638-6A258C23A71D}">
  <sheetPr>
    <tabColor rgb="FF00B0F0"/>
  </sheetPr>
  <dimension ref="A1:T96"/>
  <sheetViews>
    <sheetView showGridLines="0" zoomScale="85" zoomScaleNormal="85" workbookViewId="0">
      <selection activeCell="B19" sqref="B19"/>
    </sheetView>
  </sheetViews>
  <sheetFormatPr defaultRowHeight="16.5" x14ac:dyDescent="0.3"/>
  <cols>
    <col min="1" max="1" width="15.42578125" style="2" bestFit="1" customWidth="1"/>
    <col min="2" max="2" width="16" style="2" bestFit="1" customWidth="1"/>
    <col min="3" max="3" width="18.7109375" style="2" customWidth="1"/>
    <col min="4" max="4" width="16.42578125" style="2" bestFit="1" customWidth="1"/>
    <col min="5" max="5" width="20.85546875" style="2" bestFit="1" customWidth="1"/>
    <col min="6" max="6" width="9.140625" style="2"/>
    <col min="7" max="7" width="33" style="2" customWidth="1"/>
    <col min="8" max="8" width="19.42578125" style="2" bestFit="1" customWidth="1"/>
    <col min="9" max="9" width="1" style="2" customWidth="1"/>
    <col min="10" max="10" width="9.85546875" style="2" bestFit="1" customWidth="1"/>
    <col min="11" max="11" width="8.7109375" style="2" bestFit="1" customWidth="1"/>
    <col min="12" max="12" width="9.85546875" style="2" bestFit="1" customWidth="1"/>
    <col min="13" max="13" width="8.7109375" style="2" bestFit="1" customWidth="1"/>
    <col min="14" max="14" width="20.85546875" style="2" bestFit="1" customWidth="1"/>
    <col min="15" max="15" width="16.7109375" style="2" bestFit="1" customWidth="1"/>
    <col min="16" max="18" width="9.140625" style="2"/>
    <col min="19" max="19" width="12.140625" style="2" bestFit="1" customWidth="1"/>
    <col min="20" max="16384" width="9.140625" style="2"/>
  </cols>
  <sheetData>
    <row r="1" spans="1:15" ht="21" thickBot="1" x14ac:dyDescent="0.35">
      <c r="A1" s="2" t="s">
        <v>85</v>
      </c>
      <c r="B1" s="2" t="s">
        <v>66</v>
      </c>
      <c r="C1" s="2" t="s">
        <v>86</v>
      </c>
      <c r="D1" s="2" t="s">
        <v>87</v>
      </c>
      <c r="E1" s="2" t="s">
        <v>71</v>
      </c>
      <c r="G1" s="1" t="s">
        <v>142</v>
      </c>
      <c r="I1" s="3"/>
    </row>
    <row r="2" spans="1:15" x14ac:dyDescent="0.3">
      <c r="A2" s="48" t="s">
        <v>98</v>
      </c>
      <c r="B2" s="53">
        <f>+H86</f>
        <v>2.69</v>
      </c>
      <c r="C2" s="54">
        <f>+L88</f>
        <v>2.7631233276737537</v>
      </c>
      <c r="D2" s="55">
        <f>+O88</f>
        <v>0.53002221908642611</v>
      </c>
      <c r="E2" s="56">
        <f>+N88</f>
        <v>1.3913934300693593</v>
      </c>
      <c r="G2" s="4" t="s">
        <v>66</v>
      </c>
      <c r="H2" s="5">
        <v>2.6</v>
      </c>
      <c r="J2" s="81" t="s">
        <v>67</v>
      </c>
      <c r="K2" s="82"/>
      <c r="L2" s="81" t="s">
        <v>68</v>
      </c>
      <c r="M2" s="82"/>
      <c r="N2" s="81" t="s">
        <v>69</v>
      </c>
      <c r="O2" s="82"/>
    </row>
    <row r="3" spans="1:15" x14ac:dyDescent="0.3">
      <c r="A3" s="48" t="s">
        <v>99</v>
      </c>
      <c r="B3" s="57">
        <f>+H81</f>
        <v>1.72</v>
      </c>
      <c r="C3" s="5">
        <f>+L83</f>
        <v>2.7753077540930295</v>
      </c>
      <c r="D3" s="47">
        <f>+O83</f>
        <v>0.5304186599702283</v>
      </c>
      <c r="E3" s="58">
        <f>+N83</f>
        <v>0.41676726583797885</v>
      </c>
      <c r="G3" s="4" t="s">
        <v>67</v>
      </c>
      <c r="H3" s="5">
        <v>2014277722</v>
      </c>
      <c r="J3" s="6" t="s">
        <v>63</v>
      </c>
      <c r="K3" s="6" t="s">
        <v>70</v>
      </c>
      <c r="L3" s="6" t="s">
        <v>63</v>
      </c>
      <c r="M3" s="6" t="s">
        <v>70</v>
      </c>
      <c r="N3" s="6" t="s">
        <v>71</v>
      </c>
      <c r="O3" s="6" t="s">
        <v>72</v>
      </c>
    </row>
    <row r="4" spans="1:15" x14ac:dyDescent="0.3">
      <c r="A4" s="48" t="s">
        <v>100</v>
      </c>
      <c r="B4" s="57">
        <f>+H76</f>
        <v>1.99</v>
      </c>
      <c r="C4" s="5">
        <f>+L78</f>
        <v>2.6214552953640671</v>
      </c>
      <c r="D4" s="47">
        <f>+O78</f>
        <v>0.46420581663803628</v>
      </c>
      <c r="E4" s="58">
        <f>+N78</f>
        <v>0.58543950080051421</v>
      </c>
      <c r="G4" s="7" t="s">
        <v>73</v>
      </c>
      <c r="H4" s="8">
        <f>H3+SUM([18]Result!$C$5:$C$54)</f>
        <v>1032006237.172477</v>
      </c>
      <c r="J4" s="36">
        <f>+H2</f>
        <v>2.6</v>
      </c>
      <c r="K4" s="9">
        <f>+H3/H3</f>
        <v>1</v>
      </c>
      <c r="L4" s="36" cm="1">
        <f t="array" ref="L4">+[22]!DURATION</f>
        <v>2.4198950521970328</v>
      </c>
      <c r="M4" s="46">
        <f>-SUM([22]Result!$C$5:$C$54)/H3</f>
        <v>0.48889906821043211</v>
      </c>
      <c r="N4" s="10">
        <f>+J4-L4*M4/K4</f>
        <v>1.4169155638138358</v>
      </c>
      <c r="O4" s="9">
        <f>+K4-M4</f>
        <v>0.51110093178956784</v>
      </c>
    </row>
    <row r="5" spans="1:15" ht="20.25" x14ac:dyDescent="0.3">
      <c r="A5" s="48" t="s">
        <v>101</v>
      </c>
      <c r="B5" s="57">
        <f>+J73</f>
        <v>2.48</v>
      </c>
      <c r="C5" s="5">
        <f>+L73</f>
        <v>2.6473572386580559</v>
      </c>
      <c r="D5" s="47">
        <f>+O73</f>
        <v>0.46594942375572912</v>
      </c>
      <c r="E5" s="58">
        <f>+N73</f>
        <v>1.0661773411702236</v>
      </c>
      <c r="G5" s="1" t="s">
        <v>139</v>
      </c>
      <c r="I5" s="3"/>
    </row>
    <row r="6" spans="1:15" x14ac:dyDescent="0.3">
      <c r="A6" s="48" t="s">
        <v>102</v>
      </c>
      <c r="B6" s="57">
        <f>+J68</f>
        <v>2.63</v>
      </c>
      <c r="C6" s="5">
        <f>+L68</f>
        <v>2.6332351865040566</v>
      </c>
      <c r="D6" s="47">
        <f>+O68</f>
        <v>0.46840047161852927</v>
      </c>
      <c r="E6" s="58">
        <f>+N68</f>
        <v>1.2301734167369494</v>
      </c>
      <c r="G6" s="4" t="s">
        <v>66</v>
      </c>
      <c r="H6" s="5">
        <v>2.58</v>
      </c>
      <c r="J6" s="81" t="s">
        <v>67</v>
      </c>
      <c r="K6" s="82"/>
      <c r="L6" s="81" t="s">
        <v>68</v>
      </c>
      <c r="M6" s="82"/>
      <c r="N6" s="81" t="s">
        <v>69</v>
      </c>
      <c r="O6" s="82"/>
    </row>
    <row r="7" spans="1:15" x14ac:dyDescent="0.3">
      <c r="A7" s="48" t="s">
        <v>103</v>
      </c>
      <c r="B7" s="57">
        <f>+J63</f>
        <v>2.48</v>
      </c>
      <c r="C7" s="5">
        <f>+L63</f>
        <v>2.694947099391463</v>
      </c>
      <c r="D7" s="47">
        <f>+O63</f>
        <v>0.5122292542799195</v>
      </c>
      <c r="E7" s="58">
        <f>+N63</f>
        <v>1.1654836436536582</v>
      </c>
      <c r="G7" s="4" t="s">
        <v>67</v>
      </c>
      <c r="H7" s="5">
        <v>2008528437</v>
      </c>
      <c r="J7" s="6" t="s">
        <v>63</v>
      </c>
      <c r="K7" s="6" t="s">
        <v>70</v>
      </c>
      <c r="L7" s="6" t="s">
        <v>63</v>
      </c>
      <c r="M7" s="6" t="s">
        <v>70</v>
      </c>
      <c r="N7" s="6" t="s">
        <v>71</v>
      </c>
      <c r="O7" s="6" t="s">
        <v>72</v>
      </c>
    </row>
    <row r="8" spans="1:15" x14ac:dyDescent="0.3">
      <c r="A8" s="48" t="s">
        <v>104</v>
      </c>
      <c r="B8" s="57">
        <f>+J58</f>
        <v>2.41</v>
      </c>
      <c r="C8" s="5">
        <f>+L58</f>
        <v>2.6849560816031026</v>
      </c>
      <c r="D8" s="47">
        <f>+O58</f>
        <v>0.51488699248424619</v>
      </c>
      <c r="E8" s="58">
        <f>+N58</f>
        <v>1.1074928802058053</v>
      </c>
      <c r="G8" s="7" t="s">
        <v>73</v>
      </c>
      <c r="H8" s="8">
        <f>H7+SUM([18]Result!$C$5:$C$54)</f>
        <v>1026256952.172477</v>
      </c>
      <c r="J8" s="36">
        <f>+H6</f>
        <v>2.58</v>
      </c>
      <c r="K8" s="9">
        <f>+H7/H7</f>
        <v>1</v>
      </c>
      <c r="L8" s="36" cm="1">
        <f t="array" ref="L8">+[20]!DURATION</f>
        <v>2.4127878714670352</v>
      </c>
      <c r="M8" s="46">
        <f>-SUM([20]Result!$C$5:$C$54)/H7</f>
        <v>0.48986314201413744</v>
      </c>
      <c r="N8" s="10">
        <f>+J8-L8*M8/K8</f>
        <v>1.3980641522695554</v>
      </c>
      <c r="O8" s="9">
        <f>+K8-M8</f>
        <v>0.5101368579858625</v>
      </c>
    </row>
    <row r="9" spans="1:15" x14ac:dyDescent="0.3">
      <c r="A9" s="48" t="s">
        <v>120</v>
      </c>
      <c r="B9" s="57">
        <f>+J53</f>
        <v>2.15</v>
      </c>
      <c r="C9" s="5">
        <f>+L53</f>
        <v>2.6814297491280494</v>
      </c>
      <c r="D9" s="47">
        <f>+O53</f>
        <v>0.55906442035289827</v>
      </c>
      <c r="E9" s="58">
        <f>+N53</f>
        <v>0.96766221928524065</v>
      </c>
    </row>
    <row r="10" spans="1:15" ht="20.25" x14ac:dyDescent="0.3">
      <c r="A10" s="48" t="s">
        <v>105</v>
      </c>
      <c r="B10" s="57">
        <f>+J48</f>
        <v>2.2200000000000002</v>
      </c>
      <c r="C10" s="5">
        <f>+L48</f>
        <v>2.7314885683699024</v>
      </c>
      <c r="D10" s="47">
        <f>+O48</f>
        <v>0.53848271327513453</v>
      </c>
      <c r="E10" s="58">
        <f>+N48</f>
        <v>0.95937080720593571</v>
      </c>
      <c r="G10" s="1" t="s">
        <v>136</v>
      </c>
      <c r="H10" s="39"/>
      <c r="I10" s="3"/>
    </row>
    <row r="11" spans="1:15" x14ac:dyDescent="0.3">
      <c r="A11" s="48" t="s">
        <v>106</v>
      </c>
      <c r="B11" s="57">
        <f>+J43</f>
        <v>2.16</v>
      </c>
      <c r="C11" s="5">
        <f>+L43</f>
        <v>2.7347200632056343</v>
      </c>
      <c r="D11" s="47">
        <f>+O43</f>
        <v>0.5401055597791502</v>
      </c>
      <c r="E11" s="58">
        <f>+N43</f>
        <v>0.90231744737131803</v>
      </c>
      <c r="G11" s="4" t="s">
        <v>66</v>
      </c>
      <c r="H11" s="5">
        <v>2.62</v>
      </c>
      <c r="J11" s="81" t="s">
        <v>67</v>
      </c>
      <c r="K11" s="82"/>
      <c r="L11" s="81" t="s">
        <v>68</v>
      </c>
      <c r="M11" s="82"/>
      <c r="N11" s="81" t="s">
        <v>69</v>
      </c>
      <c r="O11" s="82"/>
    </row>
    <row r="12" spans="1:15" x14ac:dyDescent="0.3">
      <c r="A12" s="48" t="s">
        <v>107</v>
      </c>
      <c r="B12" s="57">
        <f>+J38</f>
        <v>2.23</v>
      </c>
      <c r="C12" s="5">
        <f>+L38</f>
        <v>2.7163299489247752</v>
      </c>
      <c r="D12" s="47">
        <f>+O38</f>
        <v>0.51902693131980215</v>
      </c>
      <c r="E12" s="58">
        <f>+N38</f>
        <v>0.92351844891772594</v>
      </c>
      <c r="G12" s="4" t="s">
        <v>67</v>
      </c>
      <c r="H12" s="5">
        <v>1996569364</v>
      </c>
      <c r="J12" s="6" t="s">
        <v>63</v>
      </c>
      <c r="K12" s="6" t="s">
        <v>70</v>
      </c>
      <c r="L12" s="6" t="s">
        <v>63</v>
      </c>
      <c r="M12" s="6" t="s">
        <v>70</v>
      </c>
      <c r="N12" s="6" t="s">
        <v>71</v>
      </c>
      <c r="O12" s="6" t="s">
        <v>72</v>
      </c>
    </row>
    <row r="13" spans="1:15" x14ac:dyDescent="0.3">
      <c r="A13" s="48" t="s">
        <v>108</v>
      </c>
      <c r="B13" s="57">
        <f>+J33</f>
        <v>2.41</v>
      </c>
      <c r="C13" s="5">
        <f>+L33</f>
        <v>2.5013372763392465</v>
      </c>
      <c r="D13" s="47">
        <f>+O33</f>
        <v>0.52163900523303786</v>
      </c>
      <c r="E13" s="58">
        <f>+N33</f>
        <v>1.2134578122426745</v>
      </c>
      <c r="G13" s="7" t="s">
        <v>73</v>
      </c>
      <c r="H13" s="8">
        <f>H12+SUM([18]Result!$C$5:$C$54)</f>
        <v>1014297879.172477</v>
      </c>
      <c r="J13" s="36">
        <f>+H11</f>
        <v>2.62</v>
      </c>
      <c r="K13" s="9">
        <f>+H12/H12</f>
        <v>1</v>
      </c>
      <c r="L13" s="36" cm="1">
        <f t="array" ref="L13">+[19]!DURATION</f>
        <v>2.40685479791685</v>
      </c>
      <c r="M13" s="46">
        <f>-SUM([19]Result!$C$5:$C$54)/H12</f>
        <v>0.49168824133555566</v>
      </c>
      <c r="N13" s="10">
        <f>+J13-L13*M13/K13</f>
        <v>1.43657779726222</v>
      </c>
      <c r="O13" s="9">
        <f>+K13-M13</f>
        <v>0.50831175866444434</v>
      </c>
    </row>
    <row r="14" spans="1:15" x14ac:dyDescent="0.3">
      <c r="A14" s="48" t="s">
        <v>125</v>
      </c>
      <c r="B14" s="57">
        <f>+J28</f>
        <v>2.36</v>
      </c>
      <c r="C14" s="5">
        <f>+L28</f>
        <v>2.5084281410794032</v>
      </c>
      <c r="D14" s="47">
        <f>+O28</f>
        <v>0.52350343074286965</v>
      </c>
      <c r="E14" s="58">
        <f>+N28</f>
        <v>1.1647425965476232</v>
      </c>
    </row>
    <row r="15" spans="1:15" ht="20.25" x14ac:dyDescent="0.3">
      <c r="A15" s="48" t="s">
        <v>128</v>
      </c>
      <c r="B15" s="57">
        <f>+J23</f>
        <v>2.57</v>
      </c>
      <c r="C15" s="5">
        <f>+L23</f>
        <v>2.5307302572328965</v>
      </c>
      <c r="D15" s="47">
        <f>+O23</f>
        <v>0.51970308162536449</v>
      </c>
      <c r="E15" s="58">
        <f>+N23</f>
        <v>1.3544980562135911</v>
      </c>
      <c r="G15" s="1" t="s">
        <v>132</v>
      </c>
      <c r="I15" s="3"/>
    </row>
    <row r="16" spans="1:15" x14ac:dyDescent="0.3">
      <c r="A16" s="48" t="s">
        <v>133</v>
      </c>
      <c r="B16" s="57">
        <f>+J18</f>
        <v>2.68</v>
      </c>
      <c r="C16" s="5">
        <f>+L18</f>
        <v>2.4086365353934549</v>
      </c>
      <c r="D16" s="47">
        <f>+O18</f>
        <v>0.50428620211072461</v>
      </c>
      <c r="E16" s="58">
        <f>+N18</f>
        <v>1.4860056353052444</v>
      </c>
      <c r="G16" s="4" t="s">
        <v>66</v>
      </c>
      <c r="H16" s="5">
        <v>2.68</v>
      </c>
      <c r="J16" s="81" t="s">
        <v>67</v>
      </c>
      <c r="K16" s="82"/>
      <c r="L16" s="81" t="s">
        <v>68</v>
      </c>
      <c r="M16" s="82"/>
      <c r="N16" s="81" t="s">
        <v>69</v>
      </c>
      <c r="O16" s="82"/>
    </row>
    <row r="17" spans="1:20" x14ac:dyDescent="0.3">
      <c r="A17" s="48" t="s">
        <v>134</v>
      </c>
      <c r="B17" s="74">
        <f>+H11</f>
        <v>2.62</v>
      </c>
      <c r="C17" s="75">
        <f>+L13</f>
        <v>2.40685479791685</v>
      </c>
      <c r="D17" s="76">
        <f>+O13</f>
        <v>0.50831175866444434</v>
      </c>
      <c r="E17" s="58">
        <f>+N13</f>
        <v>1.43657779726222</v>
      </c>
      <c r="G17" s="4" t="s">
        <v>67</v>
      </c>
      <c r="H17" s="5">
        <v>1981529441</v>
      </c>
      <c r="J17" s="6" t="s">
        <v>63</v>
      </c>
      <c r="K17" s="6" t="s">
        <v>70</v>
      </c>
      <c r="L17" s="6" t="s">
        <v>63</v>
      </c>
      <c r="M17" s="6" t="s">
        <v>70</v>
      </c>
      <c r="N17" s="6" t="s">
        <v>71</v>
      </c>
      <c r="O17" s="6" t="s">
        <v>72</v>
      </c>
    </row>
    <row r="18" spans="1:20" x14ac:dyDescent="0.3">
      <c r="A18" s="48" t="s">
        <v>137</v>
      </c>
      <c r="B18" s="74">
        <f>+J8</f>
        <v>2.58</v>
      </c>
      <c r="C18" s="75">
        <f>+L8</f>
        <v>2.4127878714670352</v>
      </c>
      <c r="D18" s="76">
        <f>+O8</f>
        <v>0.5101368579858625</v>
      </c>
      <c r="E18" s="58">
        <f>+N8</f>
        <v>1.3980641522695554</v>
      </c>
      <c r="G18" s="7" t="s">
        <v>73</v>
      </c>
      <c r="H18" s="8">
        <f>H17+SUM([18]Result!$C$5:$C$54)</f>
        <v>999257956.17247701</v>
      </c>
      <c r="J18" s="36">
        <f>+H16</f>
        <v>2.68</v>
      </c>
      <c r="K18" s="9">
        <f>+H17/H17</f>
        <v>1</v>
      </c>
      <c r="L18" s="36" cm="1">
        <f t="array" ref="L18">+[18]!DURATION</f>
        <v>2.4086365353934549</v>
      </c>
      <c r="M18" s="46">
        <f>-SUM([18]Result!$C$5:$C$54)/H17</f>
        <v>0.49571379788927544</v>
      </c>
      <c r="N18" s="10">
        <f>+J18-L18*M18/K18</f>
        <v>1.4860056353052444</v>
      </c>
      <c r="O18" s="9">
        <f>+K18-M18</f>
        <v>0.50428620211072461</v>
      </c>
    </row>
    <row r="19" spans="1:20" ht="17.25" thickBot="1" x14ac:dyDescent="0.35">
      <c r="A19" s="48" t="s">
        <v>143</v>
      </c>
      <c r="B19" s="59">
        <f>+J4</f>
        <v>2.6</v>
      </c>
      <c r="C19" s="60">
        <f>+L4</f>
        <v>2.4198950521970328</v>
      </c>
      <c r="D19" s="61">
        <f>+O4</f>
        <v>0.51110093178956784</v>
      </c>
      <c r="E19" s="62">
        <f>+N4</f>
        <v>1.4169155638138358</v>
      </c>
      <c r="G19" s="37"/>
      <c r="H19" s="38"/>
      <c r="J19" s="39"/>
      <c r="K19" s="40"/>
      <c r="L19" s="39"/>
      <c r="M19" s="52"/>
      <c r="N19" s="41"/>
      <c r="O19" s="40"/>
    </row>
    <row r="20" spans="1:20" ht="20.25" x14ac:dyDescent="0.3">
      <c r="A20" s="45"/>
      <c r="G20" s="1" t="s">
        <v>131</v>
      </c>
      <c r="I20" s="3"/>
    </row>
    <row r="21" spans="1:20" x14ac:dyDescent="0.3">
      <c r="A21" s="45"/>
      <c r="G21" s="4" t="s">
        <v>66</v>
      </c>
      <c r="H21" s="5">
        <v>2.57</v>
      </c>
      <c r="J21" s="81" t="s">
        <v>67</v>
      </c>
      <c r="K21" s="82"/>
      <c r="L21" s="81" t="s">
        <v>68</v>
      </c>
      <c r="M21" s="82"/>
      <c r="N21" s="81" t="s">
        <v>69</v>
      </c>
      <c r="O21" s="82"/>
    </row>
    <row r="22" spans="1:20" x14ac:dyDescent="0.3">
      <c r="G22" s="4" t="s">
        <v>67</v>
      </c>
      <c r="H22" s="5">
        <v>1843476604</v>
      </c>
      <c r="J22" s="6" t="s">
        <v>63</v>
      </c>
      <c r="K22" s="6" t="s">
        <v>70</v>
      </c>
      <c r="L22" s="6" t="s">
        <v>63</v>
      </c>
      <c r="M22" s="6" t="s">
        <v>70</v>
      </c>
      <c r="N22" s="6" t="s">
        <v>71</v>
      </c>
      <c r="O22" s="6" t="s">
        <v>72</v>
      </c>
    </row>
    <row r="23" spans="1:20" x14ac:dyDescent="0.3">
      <c r="G23" s="7" t="s">
        <v>73</v>
      </c>
      <c r="H23" s="8">
        <f>H22+SUM([17]Result!$C$5:$C$54)</f>
        <v>958060472.00306177</v>
      </c>
      <c r="J23" s="36">
        <f>+H21</f>
        <v>2.57</v>
      </c>
      <c r="K23" s="9">
        <f>+H22/H22</f>
        <v>1</v>
      </c>
      <c r="L23" s="36" cm="1">
        <f t="array" ref="L23">+[17]!DURATION</f>
        <v>2.5307302572328965</v>
      </c>
      <c r="M23" s="46">
        <f>-SUM([17]Result!$C$5:$C$54)/H22</f>
        <v>0.48029691837463551</v>
      </c>
      <c r="N23" s="10">
        <f>+J23-L23*M23/K23</f>
        <v>1.3544980562135911</v>
      </c>
      <c r="O23" s="9">
        <f>+K23-M23</f>
        <v>0.51970308162536449</v>
      </c>
    </row>
    <row r="24" spans="1:20" x14ac:dyDescent="0.3">
      <c r="G24" s="37"/>
      <c r="H24" s="38"/>
      <c r="J24" s="39"/>
      <c r="K24" s="40"/>
      <c r="L24" s="39"/>
      <c r="M24" s="52"/>
      <c r="N24" s="41"/>
      <c r="O24" s="40"/>
    </row>
    <row r="25" spans="1:20" ht="20.25" x14ac:dyDescent="0.3">
      <c r="G25" s="1" t="s">
        <v>123</v>
      </c>
      <c r="I25" s="3"/>
    </row>
    <row r="26" spans="1:20" x14ac:dyDescent="0.3">
      <c r="G26" s="4" t="s">
        <v>66</v>
      </c>
      <c r="H26" s="5">
        <v>2.36</v>
      </c>
      <c r="J26" s="81" t="s">
        <v>67</v>
      </c>
      <c r="K26" s="82"/>
      <c r="L26" s="81" t="s">
        <v>68</v>
      </c>
      <c r="M26" s="82"/>
      <c r="N26" s="81" t="s">
        <v>69</v>
      </c>
      <c r="O26" s="82"/>
    </row>
    <row r="27" spans="1:20" x14ac:dyDescent="0.3">
      <c r="G27" s="4" t="s">
        <v>67</v>
      </c>
      <c r="H27" s="5">
        <v>1851741969</v>
      </c>
      <c r="J27" s="6" t="s">
        <v>63</v>
      </c>
      <c r="K27" s="6" t="s">
        <v>70</v>
      </c>
      <c r="L27" s="6" t="s">
        <v>63</v>
      </c>
      <c r="M27" s="6" t="s">
        <v>70</v>
      </c>
      <c r="N27" s="6" t="s">
        <v>71</v>
      </c>
      <c r="O27" s="6" t="s">
        <v>72</v>
      </c>
    </row>
    <row r="28" spans="1:20" x14ac:dyDescent="0.3">
      <c r="G28" s="7" t="s">
        <v>73</v>
      </c>
      <c r="H28" s="8">
        <f>H27+SUM([16]Result!$C$5:$C$54)</f>
        <v>969393273.62205648</v>
      </c>
      <c r="J28" s="36">
        <f>+H26</f>
        <v>2.36</v>
      </c>
      <c r="K28" s="9">
        <f>+H27/H27</f>
        <v>1</v>
      </c>
      <c r="L28" s="36" cm="1">
        <f t="array" ref="L28">+[16]!DURATION</f>
        <v>2.5084281410794032</v>
      </c>
      <c r="M28" s="46">
        <f>-SUM([16]Result!$C$5:$C$54)/H27</f>
        <v>0.47649656925713041</v>
      </c>
      <c r="N28" s="10">
        <f>+J28-L28*M28/K28</f>
        <v>1.1647425965476232</v>
      </c>
      <c r="O28" s="9">
        <f>+K28-M28</f>
        <v>0.52350343074286965</v>
      </c>
    </row>
    <row r="29" spans="1:20" x14ac:dyDescent="0.3">
      <c r="G29" s="37"/>
      <c r="H29" s="38"/>
      <c r="J29" s="39"/>
      <c r="K29" s="40"/>
      <c r="L29" s="39"/>
      <c r="M29" s="52"/>
      <c r="N29" s="41"/>
      <c r="O29" s="40"/>
    </row>
    <row r="30" spans="1:20" ht="20.25" x14ac:dyDescent="0.3">
      <c r="G30" s="1" t="s">
        <v>121</v>
      </c>
      <c r="I30" s="3"/>
      <c r="T30" s="42"/>
    </row>
    <row r="31" spans="1:20" x14ac:dyDescent="0.3">
      <c r="G31" s="4" t="s">
        <v>66</v>
      </c>
      <c r="H31" s="5">
        <v>2.41</v>
      </c>
      <c r="J31" s="81" t="s">
        <v>67</v>
      </c>
      <c r="K31" s="82"/>
      <c r="L31" s="81" t="s">
        <v>68</v>
      </c>
      <c r="M31" s="82"/>
      <c r="N31" s="81" t="s">
        <v>69</v>
      </c>
      <c r="O31" s="82"/>
      <c r="T31" s="42"/>
    </row>
    <row r="32" spans="1:20" x14ac:dyDescent="0.3">
      <c r="G32" s="4" t="s">
        <v>67</v>
      </c>
      <c r="H32" s="5">
        <v>1842310994</v>
      </c>
      <c r="J32" s="6" t="s">
        <v>63</v>
      </c>
      <c r="K32" s="6" t="s">
        <v>70</v>
      </c>
      <c r="L32" s="6" t="s">
        <v>63</v>
      </c>
      <c r="M32" s="6" t="s">
        <v>70</v>
      </c>
      <c r="N32" s="6" t="s">
        <v>71</v>
      </c>
      <c r="O32" s="6" t="s">
        <v>72</v>
      </c>
      <c r="T32" s="42"/>
    </row>
    <row r="33" spans="7:20" x14ac:dyDescent="0.3">
      <c r="G33" s="7" t="s">
        <v>73</v>
      </c>
      <c r="H33" s="8">
        <f>H32+SUM([15]Result!$C$5:$C$54)</f>
        <v>961021274.24004912</v>
      </c>
      <c r="J33" s="36">
        <f>+H31</f>
        <v>2.41</v>
      </c>
      <c r="K33" s="9">
        <f>+H32/H32</f>
        <v>1</v>
      </c>
      <c r="L33" s="36" cm="1">
        <f t="array" ref="L33">+[15]!DURATION</f>
        <v>2.5013372763392465</v>
      </c>
      <c r="M33" s="46">
        <f>-SUM([15]Result!$C$5:$C$54)/H32</f>
        <v>0.47836099476696214</v>
      </c>
      <c r="N33" s="10">
        <f>+J33-L33*M33/K33</f>
        <v>1.2134578122426745</v>
      </c>
      <c r="O33" s="9">
        <f>+K33-M33</f>
        <v>0.52163900523303786</v>
      </c>
      <c r="T33" s="42"/>
    </row>
    <row r="34" spans="7:20" x14ac:dyDescent="0.3">
      <c r="T34" s="42"/>
    </row>
    <row r="35" spans="7:20" ht="20.25" x14ac:dyDescent="0.3">
      <c r="G35" s="1" t="s">
        <v>74</v>
      </c>
      <c r="I35" s="3"/>
      <c r="T35" s="42"/>
    </row>
    <row r="36" spans="7:20" x14ac:dyDescent="0.3">
      <c r="G36" s="4" t="s">
        <v>66</v>
      </c>
      <c r="H36" s="5">
        <v>2.23</v>
      </c>
      <c r="J36" s="81" t="s">
        <v>67</v>
      </c>
      <c r="K36" s="82"/>
      <c r="L36" s="81" t="s">
        <v>68</v>
      </c>
      <c r="M36" s="82"/>
      <c r="N36" s="81" t="s">
        <v>69</v>
      </c>
      <c r="O36" s="82"/>
      <c r="T36" s="42"/>
    </row>
    <row r="37" spans="7:20" x14ac:dyDescent="0.3">
      <c r="G37" s="4" t="s">
        <v>67</v>
      </c>
      <c r="H37" s="5">
        <v>2041608624</v>
      </c>
      <c r="J37" s="6" t="s">
        <v>63</v>
      </c>
      <c r="K37" s="6" t="s">
        <v>70</v>
      </c>
      <c r="L37" s="6" t="s">
        <v>63</v>
      </c>
      <c r="M37" s="6" t="s">
        <v>70</v>
      </c>
      <c r="N37" s="6" t="s">
        <v>71</v>
      </c>
      <c r="O37" s="6" t="s">
        <v>72</v>
      </c>
      <c r="T37" s="42"/>
    </row>
    <row r="38" spans="7:20" x14ac:dyDescent="0.3">
      <c r="G38" s="7" t="s">
        <v>73</v>
      </c>
      <c r="H38" s="8">
        <f>H37+SUM([14]Result!$C$5:$C$54)</f>
        <v>1059649859.0707639</v>
      </c>
      <c r="J38" s="36">
        <f>+H36</f>
        <v>2.23</v>
      </c>
      <c r="K38" s="9">
        <f>+H37/H37</f>
        <v>1</v>
      </c>
      <c r="L38" s="36" cm="1">
        <f t="array" ref="L38">+[14]!DURATION</f>
        <v>2.7163299489247752</v>
      </c>
      <c r="M38" s="46">
        <f>-SUM([14]Result!$C$5:$C$54)/H37</f>
        <v>0.48097306868019779</v>
      </c>
      <c r="N38" s="10">
        <f>+J38-L38*M38/K38</f>
        <v>0.92351844891772594</v>
      </c>
      <c r="O38" s="9">
        <f>+K38-M38</f>
        <v>0.51902693131980215</v>
      </c>
      <c r="T38" s="42"/>
    </row>
    <row r="39" spans="7:20" x14ac:dyDescent="0.3">
      <c r="T39" s="42"/>
    </row>
    <row r="40" spans="7:20" ht="20.25" x14ac:dyDescent="0.3">
      <c r="G40" s="1" t="s">
        <v>75</v>
      </c>
      <c r="I40" s="3"/>
    </row>
    <row r="41" spans="7:20" x14ac:dyDescent="0.3">
      <c r="G41" s="4" t="s">
        <v>66</v>
      </c>
      <c r="H41" s="5">
        <v>2.16</v>
      </c>
      <c r="J41" s="81" t="s">
        <v>67</v>
      </c>
      <c r="K41" s="82"/>
      <c r="L41" s="81" t="s">
        <v>68</v>
      </c>
      <c r="M41" s="82"/>
      <c r="N41" s="81" t="s">
        <v>69</v>
      </c>
      <c r="O41" s="82"/>
    </row>
    <row r="42" spans="7:20" x14ac:dyDescent="0.3">
      <c r="G42" s="4" t="s">
        <v>67</v>
      </c>
      <c r="H42" s="5">
        <v>2140070640</v>
      </c>
      <c r="J42" s="6" t="s">
        <v>63</v>
      </c>
      <c r="K42" s="6" t="s">
        <v>70</v>
      </c>
      <c r="L42" s="6" t="s">
        <v>63</v>
      </c>
      <c r="M42" s="6" t="s">
        <v>70</v>
      </c>
      <c r="N42" s="6" t="s">
        <v>71</v>
      </c>
      <c r="O42" s="6" t="s">
        <v>72</v>
      </c>
    </row>
    <row r="43" spans="7:20" x14ac:dyDescent="0.3">
      <c r="G43" s="7" t="s">
        <v>73</v>
      </c>
      <c r="H43" s="8">
        <f>H42+SUM([13]Result!$C$5:$C$54)</f>
        <v>1155864050.9841242</v>
      </c>
      <c r="J43" s="36">
        <f>+H41</f>
        <v>2.16</v>
      </c>
      <c r="K43" s="9">
        <f>+H42/H42</f>
        <v>1</v>
      </c>
      <c r="L43" s="36" cm="1">
        <f t="array" ref="L43">+[13]!DURATION</f>
        <v>2.7347200632056343</v>
      </c>
      <c r="M43" s="9">
        <f>-SUM([13]Result!$C$5:$C$54)/H42</f>
        <v>0.45989444022084974</v>
      </c>
      <c r="N43" s="10">
        <f>+J43-L43*M43/K43</f>
        <v>0.90231744737131803</v>
      </c>
      <c r="O43" s="9">
        <f>+K43-M43</f>
        <v>0.5401055597791502</v>
      </c>
    </row>
    <row r="44" spans="7:20" x14ac:dyDescent="0.3">
      <c r="G44" s="37"/>
      <c r="H44" s="38"/>
      <c r="J44" s="39"/>
      <c r="K44" s="40"/>
      <c r="L44" s="39"/>
      <c r="M44" s="40"/>
      <c r="N44" s="41"/>
      <c r="O44" s="40"/>
    </row>
    <row r="45" spans="7:20" ht="20.25" x14ac:dyDescent="0.3">
      <c r="G45" s="1" t="s">
        <v>76</v>
      </c>
      <c r="I45" s="3"/>
    </row>
    <row r="46" spans="7:20" x14ac:dyDescent="0.3">
      <c r="G46" s="4" t="s">
        <v>66</v>
      </c>
      <c r="H46" s="5">
        <v>2.2200000000000002</v>
      </c>
      <c r="J46" s="81" t="s">
        <v>67</v>
      </c>
      <c r="K46" s="82"/>
      <c r="L46" s="81" t="s">
        <v>68</v>
      </c>
      <c r="M46" s="82"/>
      <c r="N46" s="81" t="s">
        <v>69</v>
      </c>
      <c r="O46" s="82"/>
    </row>
    <row r="47" spans="7:20" x14ac:dyDescent="0.3">
      <c r="G47" s="4" t="s">
        <v>67</v>
      </c>
      <c r="H47" s="5">
        <v>2130781975</v>
      </c>
      <c r="J47" s="6" t="s">
        <v>63</v>
      </c>
      <c r="K47" s="6" t="s">
        <v>70</v>
      </c>
      <c r="L47" s="6" t="s">
        <v>63</v>
      </c>
      <c r="M47" s="6" t="s">
        <v>70</v>
      </c>
      <c r="N47" s="6" t="s">
        <v>71</v>
      </c>
      <c r="O47" s="6" t="s">
        <v>72</v>
      </c>
    </row>
    <row r="48" spans="7:20" x14ac:dyDescent="0.3">
      <c r="G48" s="7" t="s">
        <v>73</v>
      </c>
      <c r="H48" s="8">
        <f>H47+SUM([12]Result!$C$5:$C$54)</f>
        <v>1147389259.2957499</v>
      </c>
      <c r="J48" s="36">
        <f>+H46</f>
        <v>2.2200000000000002</v>
      </c>
      <c r="K48" s="9">
        <f>+H47/H47</f>
        <v>1</v>
      </c>
      <c r="L48" s="36" cm="1">
        <f t="array" ref="L48">+[12]!DURATION</f>
        <v>2.7314885683699024</v>
      </c>
      <c r="M48" s="9">
        <f>-SUM([12]Result!$C$5:$C$54)/H47</f>
        <v>0.46151728672486547</v>
      </c>
      <c r="N48" s="10">
        <f>+J48-L48*M48/K48</f>
        <v>0.95937080720593571</v>
      </c>
      <c r="O48" s="9">
        <f>+K48-M48</f>
        <v>0.53848271327513453</v>
      </c>
    </row>
    <row r="49" spans="7:15" x14ac:dyDescent="0.3">
      <c r="G49" s="37"/>
      <c r="H49" s="38"/>
      <c r="J49" s="39"/>
      <c r="K49" s="40"/>
      <c r="L49" s="39"/>
      <c r="M49" s="40"/>
      <c r="N49" s="41"/>
      <c r="O49" s="40"/>
    </row>
    <row r="50" spans="7:15" ht="20.25" x14ac:dyDescent="0.3">
      <c r="G50" s="1" t="s">
        <v>77</v>
      </c>
      <c r="I50" s="3"/>
    </row>
    <row r="51" spans="7:15" x14ac:dyDescent="0.3">
      <c r="G51" s="4" t="s">
        <v>66</v>
      </c>
      <c r="H51" s="5">
        <v>2.15</v>
      </c>
      <c r="J51" s="81" t="s">
        <v>67</v>
      </c>
      <c r="K51" s="82"/>
      <c r="L51" s="81" t="s">
        <v>68</v>
      </c>
      <c r="M51" s="82"/>
      <c r="N51" s="81" t="s">
        <v>69</v>
      </c>
      <c r="O51" s="82"/>
    </row>
    <row r="52" spans="7:15" x14ac:dyDescent="0.3">
      <c r="G52" s="4" t="s">
        <v>67</v>
      </c>
      <c r="H52" s="5">
        <v>2226129556</v>
      </c>
      <c r="J52" s="6" t="s">
        <v>63</v>
      </c>
      <c r="K52" s="6" t="s">
        <v>70</v>
      </c>
      <c r="L52" s="6" t="s">
        <v>63</v>
      </c>
      <c r="M52" s="6" t="s">
        <v>70</v>
      </c>
      <c r="N52" s="6" t="s">
        <v>71</v>
      </c>
      <c r="O52" s="6" t="s">
        <v>72</v>
      </c>
    </row>
    <row r="53" spans="7:15" x14ac:dyDescent="0.3">
      <c r="G53" s="7" t="s">
        <v>73</v>
      </c>
      <c r="H53" s="8">
        <f>H52+SUM([11]Result!$C$5:$C$54)</f>
        <v>1244549829.8555946</v>
      </c>
      <c r="J53" s="36">
        <f>+H51</f>
        <v>2.15</v>
      </c>
      <c r="K53" s="9">
        <f>+H52/H52</f>
        <v>1</v>
      </c>
      <c r="L53" s="36" cm="1">
        <f t="array" ref="L53">+[11]!DURATION</f>
        <v>2.6814297491280494</v>
      </c>
      <c r="M53" s="9">
        <f>-SUM([11]Result!$C$5:$C$54)/H52</f>
        <v>0.44093557964710178</v>
      </c>
      <c r="N53" s="10">
        <f>+J53-L53*M53/K53</f>
        <v>0.96766221928524065</v>
      </c>
      <c r="O53" s="9">
        <f>+K53-M53</f>
        <v>0.55906442035289827</v>
      </c>
    </row>
    <row r="55" spans="7:15" ht="20.25" x14ac:dyDescent="0.3">
      <c r="G55" s="1" t="s">
        <v>78</v>
      </c>
      <c r="I55" s="3"/>
    </row>
    <row r="56" spans="7:15" x14ac:dyDescent="0.3">
      <c r="G56" s="4" t="s">
        <v>66</v>
      </c>
      <c r="H56" s="5">
        <v>2.41</v>
      </c>
      <c r="J56" s="81" t="s">
        <v>67</v>
      </c>
      <c r="K56" s="82"/>
      <c r="L56" s="81" t="s">
        <v>68</v>
      </c>
      <c r="M56" s="82"/>
      <c r="N56" s="81" t="s">
        <v>69</v>
      </c>
      <c r="O56" s="82"/>
    </row>
    <row r="57" spans="7:15" x14ac:dyDescent="0.3">
      <c r="G57" s="4" t="s">
        <v>67</v>
      </c>
      <c r="H57" s="5">
        <v>2022529855</v>
      </c>
      <c r="J57" s="6" t="s">
        <v>63</v>
      </c>
      <c r="K57" s="6" t="s">
        <v>70</v>
      </c>
      <c r="L57" s="6" t="s">
        <v>63</v>
      </c>
      <c r="M57" s="6" t="s">
        <v>70</v>
      </c>
      <c r="N57" s="6" t="s">
        <v>71</v>
      </c>
      <c r="O57" s="6" t="s">
        <v>72</v>
      </c>
    </row>
    <row r="58" spans="7:15" x14ac:dyDescent="0.3">
      <c r="G58" s="7" t="s">
        <v>73</v>
      </c>
      <c r="H58" s="8">
        <f>H57+SUM([10]Result!$C$5:$C$54)</f>
        <v>1041374314.2505485</v>
      </c>
      <c r="J58" s="36">
        <f>+H56</f>
        <v>2.41</v>
      </c>
      <c r="K58" s="9">
        <f>+H57/H57</f>
        <v>1</v>
      </c>
      <c r="L58" s="36" cm="1">
        <f t="array" ref="L58">+[10]!DURATION</f>
        <v>2.6849560816031026</v>
      </c>
      <c r="M58" s="9">
        <f>-SUM([10]Result!$C$5:$C$54)/H57</f>
        <v>0.48511300751575381</v>
      </c>
      <c r="N58" s="10">
        <f>+J58-L58*M58/K58</f>
        <v>1.1074928802058053</v>
      </c>
      <c r="O58" s="9">
        <f>+K58-M58</f>
        <v>0.51488699248424619</v>
      </c>
    </row>
    <row r="59" spans="7:15" x14ac:dyDescent="0.3">
      <c r="G59" s="37"/>
      <c r="H59" s="38"/>
      <c r="J59" s="39"/>
      <c r="K59" s="40"/>
      <c r="L59" s="39"/>
      <c r="M59" s="40"/>
      <c r="N59" s="41"/>
      <c r="O59" s="40"/>
    </row>
    <row r="60" spans="7:15" ht="20.25" x14ac:dyDescent="0.3">
      <c r="G60" s="1" t="s">
        <v>79</v>
      </c>
      <c r="I60" s="3"/>
    </row>
    <row r="61" spans="7:15" x14ac:dyDescent="0.3">
      <c r="G61" s="4" t="s">
        <v>66</v>
      </c>
      <c r="H61" s="5">
        <v>2.48</v>
      </c>
      <c r="J61" s="81" t="s">
        <v>67</v>
      </c>
      <c r="K61" s="82"/>
      <c r="L61" s="81" t="s">
        <v>68</v>
      </c>
      <c r="M61" s="82"/>
      <c r="N61" s="81" t="s">
        <v>69</v>
      </c>
      <c r="O61" s="82"/>
    </row>
    <row r="62" spans="7:15" x14ac:dyDescent="0.3">
      <c r="G62" s="4" t="s">
        <v>67</v>
      </c>
      <c r="H62" s="5">
        <v>2016067088</v>
      </c>
      <c r="J62" s="6" t="s">
        <v>63</v>
      </c>
      <c r="K62" s="6" t="s">
        <v>70</v>
      </c>
      <c r="L62" s="6" t="s">
        <v>63</v>
      </c>
      <c r="M62" s="6" t="s">
        <v>70</v>
      </c>
      <c r="N62" s="6" t="s">
        <v>71</v>
      </c>
      <c r="O62" s="6" t="s">
        <v>72</v>
      </c>
    </row>
    <row r="63" spans="7:15" x14ac:dyDescent="0.3">
      <c r="G63" s="7" t="s">
        <v>73</v>
      </c>
      <c r="H63" s="8">
        <f>H62+SUM([9]Result!$C$5:$C$54)</f>
        <v>1032688541.0645288</v>
      </c>
      <c r="J63" s="36">
        <f>+H61</f>
        <v>2.48</v>
      </c>
      <c r="K63" s="9">
        <f>+H62/H62</f>
        <v>1</v>
      </c>
      <c r="L63" s="36" cm="1">
        <f t="array" ref="L63">+[9]!DURATION</f>
        <v>2.694947099391463</v>
      </c>
      <c r="M63" s="9">
        <f>-SUM([9]Result!$C$5:$C$54)/H62</f>
        <v>0.4877707457200805</v>
      </c>
      <c r="N63" s="10">
        <f>+J63-L63*M63/K63</f>
        <v>1.1654836436536582</v>
      </c>
      <c r="O63" s="9">
        <f>+K63-M63</f>
        <v>0.5122292542799195</v>
      </c>
    </row>
    <row r="65" spans="7:15" ht="20.25" x14ac:dyDescent="0.3">
      <c r="G65" s="1" t="s">
        <v>80</v>
      </c>
      <c r="I65" s="3"/>
    </row>
    <row r="66" spans="7:15" x14ac:dyDescent="0.3">
      <c r="G66" s="4" t="s">
        <v>66</v>
      </c>
      <c r="H66" s="5">
        <v>2.63</v>
      </c>
      <c r="J66" s="81" t="s">
        <v>67</v>
      </c>
      <c r="K66" s="82"/>
      <c r="L66" s="81" t="s">
        <v>68</v>
      </c>
      <c r="M66" s="82"/>
      <c r="N66" s="81" t="s">
        <v>69</v>
      </c>
      <c r="O66" s="82"/>
    </row>
    <row r="67" spans="7:15" x14ac:dyDescent="0.3">
      <c r="G67" s="4" t="s">
        <v>67</v>
      </c>
      <c r="H67" s="5">
        <v>1911880968</v>
      </c>
      <c r="J67" s="6" t="s">
        <v>63</v>
      </c>
      <c r="K67" s="6" t="s">
        <v>70</v>
      </c>
      <c r="L67" s="6" t="s">
        <v>63</v>
      </c>
      <c r="M67" s="6" t="s">
        <v>70</v>
      </c>
      <c r="N67" s="6" t="s">
        <v>71</v>
      </c>
      <c r="O67" s="6" t="s">
        <v>72</v>
      </c>
    </row>
    <row r="68" spans="7:15" x14ac:dyDescent="0.3">
      <c r="G68" s="7" t="s">
        <v>73</v>
      </c>
      <c r="H68" s="8">
        <f>H67+SUM([8]Result!$C$5:$C$54)</f>
        <v>895525947.08969021</v>
      </c>
      <c r="J68" s="36">
        <f>+H66</f>
        <v>2.63</v>
      </c>
      <c r="K68" s="9">
        <f>+H67/H67</f>
        <v>1</v>
      </c>
      <c r="L68" s="36" cm="1">
        <f t="array" ref="L68">+[8]!DURATION</f>
        <v>2.6332351865040566</v>
      </c>
      <c r="M68" s="9">
        <f>-SUM([8]Result!$C$5:$C$54)/H67</f>
        <v>0.53159952838147073</v>
      </c>
      <c r="N68" s="10">
        <f>+J68-L68*M68/K68</f>
        <v>1.2301734167369494</v>
      </c>
      <c r="O68" s="9">
        <f>+K68-M68</f>
        <v>0.46840047161852927</v>
      </c>
    </row>
    <row r="70" spans="7:15" ht="20.25" x14ac:dyDescent="0.3">
      <c r="G70" s="1" t="s">
        <v>81</v>
      </c>
      <c r="I70" s="3"/>
    </row>
    <row r="71" spans="7:15" x14ac:dyDescent="0.3">
      <c r="G71" s="4" t="s">
        <v>66</v>
      </c>
      <c r="H71" s="5">
        <v>2.48</v>
      </c>
      <c r="J71" s="81" t="s">
        <v>67</v>
      </c>
      <c r="K71" s="82"/>
      <c r="L71" s="81" t="s">
        <v>68</v>
      </c>
      <c r="M71" s="82"/>
      <c r="N71" s="81" t="s">
        <v>69</v>
      </c>
      <c r="O71" s="82"/>
    </row>
    <row r="72" spans="7:15" x14ac:dyDescent="0.3">
      <c r="G72" s="4" t="s">
        <v>67</v>
      </c>
      <c r="H72" s="5">
        <v>1906670470</v>
      </c>
      <c r="J72" s="6" t="s">
        <v>63</v>
      </c>
      <c r="K72" s="6" t="s">
        <v>70</v>
      </c>
      <c r="L72" s="6" t="s">
        <v>63</v>
      </c>
      <c r="M72" s="6" t="s">
        <v>70</v>
      </c>
      <c r="N72" s="6" t="s">
        <v>71</v>
      </c>
      <c r="O72" s="6" t="s">
        <v>72</v>
      </c>
    </row>
    <row r="73" spans="7:15" x14ac:dyDescent="0.3">
      <c r="G73" s="7" t="s">
        <v>73</v>
      </c>
      <c r="H73" s="8">
        <f>H72+SUM([7]Result!$C$5:$C$54)</f>
        <v>888412006.78856528</v>
      </c>
      <c r="J73" s="36">
        <f>+H71</f>
        <v>2.48</v>
      </c>
      <c r="K73" s="9">
        <f>+H72/H72</f>
        <v>1</v>
      </c>
      <c r="L73" s="36" cm="1">
        <f t="array" ref="L73">+[7]!DURATION</f>
        <v>2.6473572386580559</v>
      </c>
      <c r="M73" s="9">
        <f>-SUM([7]Result!$C$5:$C$54)/H72</f>
        <v>0.53405057624427088</v>
      </c>
      <c r="N73" s="10">
        <f>+J73-L73*M73/K73</f>
        <v>1.0661773411702236</v>
      </c>
      <c r="O73" s="9">
        <f>+K73-M73</f>
        <v>0.46594942375572912</v>
      </c>
    </row>
    <row r="75" spans="7:15" ht="20.25" x14ac:dyDescent="0.3">
      <c r="G75" s="1" t="s">
        <v>82</v>
      </c>
      <c r="I75" s="3"/>
    </row>
    <row r="76" spans="7:15" x14ac:dyDescent="0.3">
      <c r="G76" s="4" t="s">
        <v>66</v>
      </c>
      <c r="H76" s="5">
        <v>1.99</v>
      </c>
      <c r="J76" s="81" t="s">
        <v>67</v>
      </c>
      <c r="K76" s="82"/>
      <c r="L76" s="81" t="s">
        <v>68</v>
      </c>
      <c r="M76" s="82"/>
      <c r="N76" s="81" t="s">
        <v>69</v>
      </c>
      <c r="O76" s="82"/>
    </row>
    <row r="77" spans="7:15" x14ac:dyDescent="0.3">
      <c r="G77" s="4" t="s">
        <v>67</v>
      </c>
      <c r="H77" s="5">
        <v>1887691046</v>
      </c>
      <c r="J77" s="6" t="s">
        <v>63</v>
      </c>
      <c r="K77" s="6" t="s">
        <v>70</v>
      </c>
      <c r="L77" s="6" t="s">
        <v>63</v>
      </c>
      <c r="M77" s="6" t="s">
        <v>70</v>
      </c>
      <c r="N77" s="6" t="s">
        <v>71</v>
      </c>
      <c r="O77" s="6" t="s">
        <v>72</v>
      </c>
    </row>
    <row r="78" spans="7:15" x14ac:dyDescent="0.3">
      <c r="G78" s="7" t="s">
        <v>73</v>
      </c>
      <c r="H78" s="8">
        <f>H77+SUM([6]Result!$C$5:$C$54)</f>
        <v>876277163.56873894</v>
      </c>
      <c r="J78" s="36">
        <f>+H76</f>
        <v>1.99</v>
      </c>
      <c r="K78" s="9">
        <f>+H77/H77</f>
        <v>1</v>
      </c>
      <c r="L78" s="36" cm="1">
        <f t="array" ref="L78">+[6]!DURATION</f>
        <v>2.6214552953640671</v>
      </c>
      <c r="M78" s="9">
        <f>-SUM([6]Result!$C$5:$C$54)/H77</f>
        <v>0.53579418336196372</v>
      </c>
      <c r="N78" s="10">
        <f>+J78-L78*M78/K78</f>
        <v>0.58543950080051421</v>
      </c>
      <c r="O78" s="9">
        <f>+K78-M78</f>
        <v>0.46420581663803628</v>
      </c>
    </row>
    <row r="80" spans="7:15" ht="20.25" x14ac:dyDescent="0.3">
      <c r="G80" s="1" t="s">
        <v>83</v>
      </c>
      <c r="I80" s="3"/>
    </row>
    <row r="81" spans="7:15" x14ac:dyDescent="0.3">
      <c r="G81" s="4" t="s">
        <v>66</v>
      </c>
      <c r="H81" s="5">
        <v>1.72</v>
      </c>
      <c r="J81" s="81" t="s">
        <v>67</v>
      </c>
      <c r="K81" s="82"/>
      <c r="L81" s="81" t="s">
        <v>68</v>
      </c>
      <c r="M81" s="82"/>
      <c r="N81" s="81" t="s">
        <v>69</v>
      </c>
      <c r="O81" s="82"/>
    </row>
    <row r="82" spans="7:15" x14ac:dyDescent="0.3">
      <c r="G82" s="4" t="s">
        <v>67</v>
      </c>
      <c r="H82" s="5">
        <v>2089521763</v>
      </c>
      <c r="J82" s="6" t="s">
        <v>63</v>
      </c>
      <c r="K82" s="6" t="s">
        <v>70</v>
      </c>
      <c r="L82" s="6" t="s">
        <v>63</v>
      </c>
      <c r="M82" s="6" t="s">
        <v>70</v>
      </c>
      <c r="N82" s="6" t="s">
        <v>71</v>
      </c>
      <c r="O82" s="6" t="s">
        <v>72</v>
      </c>
    </row>
    <row r="83" spans="7:15" x14ac:dyDescent="0.3">
      <c r="G83" s="7" t="s">
        <v>73</v>
      </c>
      <c r="H83" s="8">
        <f>H82+SUM([5]Result!$C$5:$C$54)</f>
        <v>1108321333.509089</v>
      </c>
      <c r="J83" s="36">
        <f>+H81</f>
        <v>1.72</v>
      </c>
      <c r="K83" s="9">
        <f>+H82/H82</f>
        <v>1</v>
      </c>
      <c r="L83" s="36" cm="1">
        <f t="array" ref="L83">+[5]!DURATION</f>
        <v>2.7753077540930295</v>
      </c>
      <c r="M83" s="9">
        <f>-SUM([5]Result!$C$5:$C$54)/H82</f>
        <v>0.46958134002977175</v>
      </c>
      <c r="N83" s="10">
        <f>+J83-L83*M83/K83</f>
        <v>0.41676726583797885</v>
      </c>
      <c r="O83" s="9">
        <f>+K83-M83</f>
        <v>0.5304186599702283</v>
      </c>
    </row>
    <row r="85" spans="7:15" ht="20.25" x14ac:dyDescent="0.3">
      <c r="G85" s="1" t="s">
        <v>84</v>
      </c>
      <c r="I85" s="3"/>
    </row>
    <row r="86" spans="7:15" x14ac:dyDescent="0.3">
      <c r="G86" s="4" t="s">
        <v>66</v>
      </c>
      <c r="H86" s="5">
        <v>2.69</v>
      </c>
      <c r="J86" s="81" t="s">
        <v>67</v>
      </c>
      <c r="K86" s="82"/>
      <c r="L86" s="81" t="s">
        <v>68</v>
      </c>
      <c r="M86" s="82"/>
      <c r="N86" s="81" t="s">
        <v>69</v>
      </c>
      <c r="O86" s="82"/>
    </row>
    <row r="87" spans="7:15" x14ac:dyDescent="0.3">
      <c r="G87" s="4" t="s">
        <v>67</v>
      </c>
      <c r="H87" s="5">
        <v>2081315387</v>
      </c>
      <c r="J87" s="6" t="s">
        <v>63</v>
      </c>
      <c r="K87" s="6" t="s">
        <v>70</v>
      </c>
      <c r="L87" s="6" t="s">
        <v>63</v>
      </c>
      <c r="M87" s="6" t="s">
        <v>70</v>
      </c>
      <c r="N87" s="6" t="s">
        <v>71</v>
      </c>
      <c r="O87" s="6" t="s">
        <v>72</v>
      </c>
    </row>
    <row r="88" spans="7:15" x14ac:dyDescent="0.3">
      <c r="G88" s="7" t="s">
        <v>73</v>
      </c>
      <c r="H88" s="8">
        <f>H87+SUM([1]Result!$C$5:$C$54)</f>
        <v>1103143400.0364637</v>
      </c>
      <c r="J88" s="36">
        <f>+H86</f>
        <v>2.69</v>
      </c>
      <c r="K88" s="9">
        <f>+H87/H87</f>
        <v>1</v>
      </c>
      <c r="L88" s="36" cm="1">
        <f t="array" ref="L88">+[1]!DURATION</f>
        <v>2.7631233276737537</v>
      </c>
      <c r="M88" s="9">
        <f>-SUM([1]Result!$C$5:$C$54)/H87</f>
        <v>0.46997778091357384</v>
      </c>
      <c r="N88" s="10">
        <f>+J88-L88*M88/K88</f>
        <v>1.3913934300693593</v>
      </c>
      <c r="O88" s="9">
        <f>+K88-M88</f>
        <v>0.53002221908642611</v>
      </c>
    </row>
    <row r="92" spans="7:15" x14ac:dyDescent="0.3">
      <c r="H92" s="43"/>
    </row>
    <row r="95" spans="7:15" x14ac:dyDescent="0.3">
      <c r="H95" s="44"/>
    </row>
    <row r="96" spans="7:15" x14ac:dyDescent="0.3">
      <c r="H96" s="44"/>
    </row>
  </sheetData>
  <mergeCells count="54">
    <mergeCell ref="J2:K2"/>
    <mergeCell ref="L2:M2"/>
    <mergeCell ref="N2:O2"/>
    <mergeCell ref="J11:K11"/>
    <mergeCell ref="L11:M11"/>
    <mergeCell ref="N11:O11"/>
    <mergeCell ref="J26:K26"/>
    <mergeCell ref="L26:M26"/>
    <mergeCell ref="N26:O26"/>
    <mergeCell ref="J16:K16"/>
    <mergeCell ref="L16:M16"/>
    <mergeCell ref="N16:O16"/>
    <mergeCell ref="J21:K21"/>
    <mergeCell ref="L21:M21"/>
    <mergeCell ref="N21:O21"/>
    <mergeCell ref="J46:K46"/>
    <mergeCell ref="L46:M46"/>
    <mergeCell ref="N46:O46"/>
    <mergeCell ref="J31:K31"/>
    <mergeCell ref="L31:M31"/>
    <mergeCell ref="N31:O31"/>
    <mergeCell ref="J41:K41"/>
    <mergeCell ref="L41:M41"/>
    <mergeCell ref="N41:O41"/>
    <mergeCell ref="J36:K36"/>
    <mergeCell ref="L36:M36"/>
    <mergeCell ref="N36:O36"/>
    <mergeCell ref="J56:K56"/>
    <mergeCell ref="L56:M56"/>
    <mergeCell ref="N56:O56"/>
    <mergeCell ref="J51:K51"/>
    <mergeCell ref="L51:M51"/>
    <mergeCell ref="N51:O51"/>
    <mergeCell ref="N71:O71"/>
    <mergeCell ref="J66:K66"/>
    <mergeCell ref="L66:M66"/>
    <mergeCell ref="N66:O66"/>
    <mergeCell ref="J61:K61"/>
    <mergeCell ref="J6:K6"/>
    <mergeCell ref="L6:M6"/>
    <mergeCell ref="N6:O6"/>
    <mergeCell ref="J86:K86"/>
    <mergeCell ref="L86:M86"/>
    <mergeCell ref="N86:O86"/>
    <mergeCell ref="L61:M61"/>
    <mergeCell ref="N61:O61"/>
    <mergeCell ref="J81:K81"/>
    <mergeCell ref="L81:M81"/>
    <mergeCell ref="N81:O81"/>
    <mergeCell ref="J76:K76"/>
    <mergeCell ref="L76:M76"/>
    <mergeCell ref="N76:O76"/>
    <mergeCell ref="J71:K71"/>
    <mergeCell ref="L71:M71"/>
  </mergeCells>
  <phoneticPr fontId="16" type="noConversion"/>
  <pageMargins left="0.7" right="0.7" top="0.75" bottom="0.75" header="0.3" footer="0.3"/>
  <ignoredErrors>
    <ignoredError sqref="D2:D18" formula="1"/>
  </ignoredErrors>
  <drawing r:id="rId1"/>
</worksheet>
</file>

<file path=docMetadata/LabelInfo.xml><?xml version="1.0" encoding="utf-8"?>
<clbl:labelList xmlns:clbl="http://schemas.microsoft.com/office/2020/mipLabelMetadata">
  <clbl:label id="{5f5fe31f-9de1-4167-a753-111c0df8115f}" enabled="1" method="Standard" siteId="{cc4baf00-15c9-48dd-9f59-88c98bde2b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Analisi BEL Aggregate</vt:lpstr>
      <vt:lpstr>Analisi ALM</vt:lpstr>
    </vt:vector>
  </TitlesOfParts>
  <Company>Eurizon Capital Asset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CARLO SIMONE</dc:creator>
  <cp:lastModifiedBy>MARCELLINO GIULIA FRANCESCA</cp:lastModifiedBy>
  <dcterms:created xsi:type="dcterms:W3CDTF">2025-11-27T13:06:59Z</dcterms:created>
  <dcterms:modified xsi:type="dcterms:W3CDTF">2026-07-15T12:24:00Z</dcterms:modified>
</cp:coreProperties>
</file>