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D065CDAB-87F9-4F4F-86A8-2CC243C73923}" xr6:coauthVersionLast="47" xr6:coauthVersionMax="47" xr10:uidLastSave="{00000000-0000-0000-0000-000000000000}"/>
  <bookViews>
    <workbookView xWindow="-28920" yWindow="-120" windowWidth="29040" windowHeight="16440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6" i="1" l="1"/>
  <c r="C697" i="1"/>
  <c r="C698" i="1"/>
  <c r="C699" i="1"/>
  <c r="C700" i="1"/>
  <c r="C701" i="1"/>
  <c r="C702" i="1"/>
  <c r="C703" i="1"/>
  <c r="C704" i="1"/>
  <c r="C705" i="1"/>
  <c r="C706" i="1"/>
  <c r="J4" i="2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359" i="1"/>
  <c r="C358" i="1"/>
  <c r="C357" i="1"/>
  <c r="C356" i="1"/>
  <c r="C355" i="1"/>
  <c r="C351" i="1"/>
  <c r="C354" i="1"/>
  <c r="C353" i="1"/>
  <c r="C352" i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<sst xmlns="http://schemas.openxmlformats.org/spreadsheetml/2006/main" count="1228" uniqueCount="122">
  <si>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</si>
  <si>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</si>
  <si>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</si>
  <si>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</si>
  <si>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</si>
  <si>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</si>
  <si>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</si>
  <si>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</si>
  <si>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</si>
  <si>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</si>
  <si>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</si>
  <si>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</si>
  <si>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</si>
  <si>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</si>
  <si>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</si>
  <si>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</si>
  <si>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</si>
  <si>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</si>
  <si>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</si>
  <si>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</si>
  <si>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</si>
  <si>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</si>
  <si>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</si>
  <si>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</si>
  <si>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</si>
  <si>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</si>
  <si>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</si>
  <si>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</si>
  <si>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</si>
  <si>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</si>
  <si>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</si>
  <si>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</si>
  <si>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</si>
  <si>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</si>
  <si>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</si>
  <si>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</si>
  <si>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</si>
  <si>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</si>
  <si>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</si>
  <si>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</si>
  <si>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</si>
  <si>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</si>
  <si>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</si>
  <si>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</si>
  <si>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</si>
  <si>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</si>
  <si>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</si>
  <si>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</si>
  <si>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</si>
  <si>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</si>
  <si>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</si>
  <si>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</si>
  <si>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</si>
  <si>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</si>
  <si>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</si>
  <si>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</si>
  <si>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</si>
  <si>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</si>
  <si>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</si>
  <si>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</si>
  <si>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</si>
  <si>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</si>
  <si>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</si>
  <si>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</si>
  <si>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</si>
  <si>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</si>
  <si>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</si>
  <si>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</si>
  <si>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</si>
  <si>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</si>
  <si>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</si>
  <si>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</si>
  <si>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</si>
  <si>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</si>
  <si>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</si>
  <si>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</si>
  <si>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</si>
  <si>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</si>
  <si>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</si>
  <si>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</si>
  <si>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</si>
  <si>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</si>
  <si>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</si>
  <si>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</si>
  <si>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</si>
  <si>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</si>
  <si>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</si>
  <si>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</si>
  <si>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</si>
  <si>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</si>
  <si>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</si>
  <si>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</si>
  <si>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</si>
  <si>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</si>
  <si>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</si>
  <si>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</si>
  <si>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</si>
  <si>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</si>
  <si>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</si>
  <si>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</si>
  <si>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</si>
  <si>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</si>
  <si>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</si>
  <si>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</si>
  <si>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</si>
  <si>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Ago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</si>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</sst>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14" fontId="10" fillId="0" borderId="8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tabSelected="1" zoomScale="80" zoomScaleNormal="80" workbookViewId="0">
      <selection activeCell="J346" sqref="J346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3" width="18.140625" style="11" bestFit="1" customWidth="1"/>
    <col min="4" max="6" width="17.85546875" style="11" bestFit="1" customWidth="1"/>
    <col min="7" max="7" width="18.42578125" style="11" bestFit="1" customWidth="1"/>
    <col min="8" max="8" width="18" style="11" bestFit="1" customWidth="1"/>
    <col min="9" max="9" width="16.5703125" style="11" bestFit="1" customWidth="1"/>
    <col min="10" max="10" width="17" style="11" bestFit="1" customWidth="1"/>
    <col min="11" max="11" width="18" style="11" bestFit="1" customWidth="1"/>
    <col min="12" max="12" width="18.140625" style="11" bestFit="1" customWidth="1"/>
    <col min="13" max="13" width="18.7109375" style="11" bestFit="1" customWidth="1"/>
    <col min="14" max="14" width="18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4" t="s">
        <v>0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6"/>
    </row>
    <row r="3" spans="2:26" ht="16.5" x14ac:dyDescent="0.3">
      <c r="B3" s="12"/>
      <c r="C3" s="60" t="s">
        <v>98</v>
      </c>
      <c r="D3" s="60" t="s">
        <v>99</v>
      </c>
      <c r="E3" s="60" t="s">
        <v>100</v>
      </c>
      <c r="F3" s="60" t="s">
        <v>101</v>
      </c>
      <c r="G3" s="60" t="s">
        <v>102</v>
      </c>
      <c r="H3" s="60" t="s">
        <v>103</v>
      </c>
      <c r="I3" s="60" t="s">
        <v>104</v>
      </c>
      <c r="J3" s="60" t="s">
        <v>105</v>
      </c>
      <c r="K3" s="60" t="s">
        <v>106</v>
      </c>
      <c r="L3" s="60" t="s">
        <v>107</v>
      </c>
      <c r="M3" s="60" t="s">
        <v>108</v>
      </c>
      <c r="N3" s="61" t="s">
        <v>109</v>
      </c>
    </row>
    <row r="4" spans="2:26" x14ac:dyDescent="0.25">
      <c r="B4" s="13" t="s">
        <v>1</v>
      </c>
      <c r="C4" s="62">
        <f>+SUM([1]Pricing_BEL!$L$5:$L$54)</f>
        <v>-1045150117.6410711</v>
      </c>
      <c r="D4" s="62">
        <f>+SUM([5]Pricing_BEL!$L$5:$L$54)</f>
        <v>-1045150117.6410711</v>
      </c>
      <c r="E4" s="63">
        <f>+SUM([6]Pricing_BEL!$L$5:$L$54)</f>
        <v>-1080797870.459789</v>
      </c>
      <c r="F4" s="62">
        <f>+SUM([7]Pricing_BEL!$L$5:$L$54)</f>
        <v>-1080797870.459789</v>
      </c>
      <c r="G4" s="62">
        <f>+SUM([8]Pricing_BEL!$L$5:$L$54)</f>
        <v>-1080797870.459789</v>
      </c>
      <c r="H4" s="63">
        <f>+SUM([9]Pricing_BEL!$L$5:$L$54)</f>
        <v>-1050004000.4196199</v>
      </c>
      <c r="I4" s="62">
        <f>+SUM([10]Pricing_BEL!$L$5:$L$54)</f>
        <v>-1050004000.4196199</v>
      </c>
      <c r="J4" s="62">
        <f>+SUM([11]Pricing_BEL!$L$5:$L$54)</f>
        <v>-1050004000.4196199</v>
      </c>
      <c r="K4" s="63">
        <f>+SUM([12]Pricing_BEL!$L$5:$L$54)</f>
        <v>-1054505156.8080205</v>
      </c>
      <c r="L4" s="62">
        <f>+SUM([13]Pricing_BEL!$L$5:$L$54)</f>
        <v>-1054505156.8080205</v>
      </c>
      <c r="M4" s="62">
        <f>+SUM([14]Pricing_BEL!$L$5:$L$54)</f>
        <v>-1054505156.8080205</v>
      </c>
      <c r="N4" s="39"/>
      <c r="O4" s="14">
        <f>+C4-(C5+C11+C17+C28+C39)</f>
        <v>0</v>
      </c>
      <c r="P4" s="14">
        <f t="shared" ref="P4:R4" si="0">+D4-(D5+D11+D17+D28+D39)</f>
        <v>0</v>
      </c>
      <c r="Q4" s="14">
        <f t="shared" si="0"/>
        <v>0</v>
      </c>
      <c r="R4" s="14">
        <f t="shared" si="0"/>
        <v>0</v>
      </c>
      <c r="S4" s="14">
        <f t="shared" ref="S4" si="1">+G4-(G5+G11+G17+G28+G39)</f>
        <v>0</v>
      </c>
      <c r="T4" s="14">
        <f t="shared" ref="T4:Z4" si="2">+H4-(H5+H11+H17+H28+H39)</f>
        <v>0</v>
      </c>
      <c r="U4" s="14">
        <f t="shared" si="2"/>
        <v>0</v>
      </c>
      <c r="V4" s="14">
        <f t="shared" si="2"/>
        <v>0</v>
      </c>
      <c r="W4" s="14">
        <f t="shared" si="2"/>
        <v>0</v>
      </c>
      <c r="X4" s="14">
        <f t="shared" si="2"/>
        <v>0</v>
      </c>
      <c r="Y4" s="14">
        <f t="shared" si="2"/>
        <v>0</v>
      </c>
      <c r="Z4" s="14">
        <f t="shared" si="2"/>
        <v>0</v>
      </c>
    </row>
    <row r="5" spans="2:26" hidden="1" outlineLevel="1" x14ac:dyDescent="0.25">
      <c r="B5" s="16" t="s">
        <v>2</v>
      </c>
      <c r="C5" s="62" cm="1">
        <f t="array" ref="C5">+[1]!BEL_1_5</f>
        <v>-848703625.03893054</v>
      </c>
      <c r="D5" s="62" cm="1">
        <f t="array" ref="D5">+[5]!BEL_1_5</f>
        <v>-848703625.03893054</v>
      </c>
      <c r="E5" s="63" cm="1">
        <f t="array" ref="E5">+[6]!BEL_1_5</f>
        <v>-892398080.34821475</v>
      </c>
      <c r="F5" s="62" cm="1">
        <f t="array" ref="F5">+[7]!BEL_1_5</f>
        <v>-892398080.34821475</v>
      </c>
      <c r="G5" s="62" cm="1">
        <f t="array" ref="G5">+[8]!BEL_1_5</f>
        <v>-892398080.34821475</v>
      </c>
      <c r="H5" s="63" cm="1">
        <f t="array" ref="H5">+[9]!BEL_1_5</f>
        <v>-860806815.31570256</v>
      </c>
      <c r="I5" s="62" cm="1">
        <f t="array" ref="I5">+[10]!BEL_1_5</f>
        <v>-860806815.31570256</v>
      </c>
      <c r="J5" s="62" cm="1">
        <f t="array" ref="J5">+[11]!BEL_1_5</f>
        <v>-860806815.31570256</v>
      </c>
      <c r="K5" s="63" cm="1">
        <f t="array" ref="K5">+[12]!BEL_1_5</f>
        <v>-863498888.44183338</v>
      </c>
      <c r="L5" s="62" cm="1">
        <f t="array" ref="L5">+[13]!BEL_1_5</f>
        <v>-863498888.44183338</v>
      </c>
      <c r="M5" s="62" cm="1">
        <f t="array" ref="M5">+[14]!BEL_1_5</f>
        <v>-863498888.44183338</v>
      </c>
      <c r="N5" s="39"/>
      <c r="O5" s="14">
        <f>+C5-SUM(C6:C10)</f>
        <v>0</v>
      </c>
      <c r="P5" s="14">
        <f t="shared" ref="P5:R5" si="3">+D5-SUM(D6:D10)</f>
        <v>0</v>
      </c>
      <c r="Q5" s="14">
        <f t="shared" si="3"/>
        <v>0</v>
      </c>
      <c r="R5" s="14">
        <f t="shared" si="3"/>
        <v>0</v>
      </c>
      <c r="S5" s="14">
        <f t="shared" ref="S5" si="4">+G5-SUM(G6:G10)</f>
        <v>0</v>
      </c>
      <c r="T5" s="14">
        <f t="shared" ref="T5:Z5" si="5">+H5-SUM(H6:H10)</f>
        <v>0</v>
      </c>
      <c r="U5" s="14">
        <f t="shared" si="5"/>
        <v>0</v>
      </c>
      <c r="V5" s="14">
        <f t="shared" si="5"/>
        <v>0</v>
      </c>
      <c r="W5" s="14">
        <f t="shared" si="5"/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</row>
    <row r="6" spans="2:26" hidden="1" outlineLevel="2" x14ac:dyDescent="0.25">
      <c r="B6" s="17" t="s">
        <v>3</v>
      </c>
      <c r="C6" s="62">
        <f>+[1]Pricing_BEL!$L$5</f>
        <v>-410761441.88604856</v>
      </c>
      <c r="D6" s="62">
        <f>+[5]Pricing_BEL!$L$5</f>
        <v>-410761441.88604856</v>
      </c>
      <c r="E6" s="63">
        <f>+[6]Pricing_BEL!$L$5</f>
        <v>-411777909.20632553</v>
      </c>
      <c r="F6" s="62">
        <f>+[7]Pricing_BEL!$L$5</f>
        <v>-411777909.20632553</v>
      </c>
      <c r="G6" s="62">
        <f>+[8]Pricing_BEL!$L$5</f>
        <v>-411777909.20632553</v>
      </c>
      <c r="H6" s="63">
        <f>+[9]Pricing_BEL!$L$5</f>
        <v>-374212928.40653694</v>
      </c>
      <c r="I6" s="62">
        <f>+[10]Pricing_BEL!$L$5</f>
        <v>-374212928.40653694</v>
      </c>
      <c r="J6" s="62">
        <f>+[11]Pricing_BEL!$L$5</f>
        <v>-374212928.40653694</v>
      </c>
      <c r="K6" s="63">
        <f>+[12]Pricing_BEL!$L$5</f>
        <v>-354251532.78569019</v>
      </c>
      <c r="L6" s="62">
        <f>+[13]Pricing_BEL!$L$5</f>
        <v>-354251532.78569019</v>
      </c>
      <c r="M6" s="62">
        <f>+[14]Pricing_BEL!$L$5</f>
        <v>-354251532.78569019</v>
      </c>
      <c r="N6" s="39"/>
    </row>
    <row r="7" spans="2:26" hidden="1" outlineLevel="2" x14ac:dyDescent="0.25">
      <c r="B7" s="17" t="s">
        <v>4</v>
      </c>
      <c r="C7" s="62">
        <f>+[1]Pricing_BEL!$L$6</f>
        <v>-221463796.43262094</v>
      </c>
      <c r="D7" s="62">
        <f>+[5]Pricing_BEL!$L$6</f>
        <v>-221463796.43262094</v>
      </c>
      <c r="E7" s="63">
        <f>+[6]Pricing_BEL!$L$6</f>
        <v>-261908193.95837164</v>
      </c>
      <c r="F7" s="62">
        <f>+[7]Pricing_BEL!$L$6</f>
        <v>-261908193.95837164</v>
      </c>
      <c r="G7" s="62">
        <f>+[8]Pricing_BEL!$L$6</f>
        <v>-261908193.95837164</v>
      </c>
      <c r="H7" s="63">
        <f>+[9]Pricing_BEL!$L$6</f>
        <v>-268052026.57223928</v>
      </c>
      <c r="I7" s="62">
        <f>+[10]Pricing_BEL!$L$6</f>
        <v>-268052026.57223928</v>
      </c>
      <c r="J7" s="62">
        <f>+[11]Pricing_BEL!$L$6</f>
        <v>-268052026.57223928</v>
      </c>
      <c r="K7" s="63">
        <f>+[12]Pricing_BEL!$L$6</f>
        <v>-277814438.81684458</v>
      </c>
      <c r="L7" s="62">
        <f>+[13]Pricing_BEL!$L$6</f>
        <v>-277814438.81684458</v>
      </c>
      <c r="M7" s="62">
        <f>+[14]Pricing_BEL!$L$6</f>
        <v>-277814438.81684458</v>
      </c>
      <c r="N7" s="39"/>
    </row>
    <row r="8" spans="2:26" hidden="1" outlineLevel="2" x14ac:dyDescent="0.25">
      <c r="B8" s="17" t="s">
        <v>5</v>
      </c>
      <c r="C8" s="62">
        <f>+[1]Pricing_BEL!$L$7</f>
        <v>-110286279.41700368</v>
      </c>
      <c r="D8" s="62">
        <f>+[5]Pricing_BEL!$L$7</f>
        <v>-110286279.41700368</v>
      </c>
      <c r="E8" s="63">
        <f>+[6]Pricing_BEL!$L$7</f>
        <v>-111275047.21821414</v>
      </c>
      <c r="F8" s="62">
        <f>+[7]Pricing_BEL!$L$7</f>
        <v>-111275047.21821414</v>
      </c>
      <c r="G8" s="62">
        <f>+[8]Pricing_BEL!$L$7</f>
        <v>-111275047.21821414</v>
      </c>
      <c r="H8" s="63">
        <f>+[9]Pricing_BEL!$L$7</f>
        <v>-110763984.31681129</v>
      </c>
      <c r="I8" s="62">
        <f>+[10]Pricing_BEL!$L$7</f>
        <v>-110763984.31681129</v>
      </c>
      <c r="J8" s="62">
        <f>+[11]Pricing_BEL!$L$7</f>
        <v>-110763984.31681129</v>
      </c>
      <c r="K8" s="63">
        <f>+[12]Pricing_BEL!$L$7</f>
        <v>-119668486.94164173</v>
      </c>
      <c r="L8" s="62">
        <f>+[13]Pricing_BEL!$L$7</f>
        <v>-119668486.94164173</v>
      </c>
      <c r="M8" s="62">
        <f>+[14]Pricing_BEL!$L$7</f>
        <v>-119668486.94164173</v>
      </c>
      <c r="N8" s="39"/>
    </row>
    <row r="9" spans="2:26" hidden="1" outlineLevel="2" x14ac:dyDescent="0.25">
      <c r="B9" s="17" t="s">
        <v>6</v>
      </c>
      <c r="C9" s="62">
        <f>+[1]Pricing_BEL!$L$8</f>
        <v>-61569787.045042247</v>
      </c>
      <c r="D9" s="62">
        <f>+[5]Pricing_BEL!$L$8</f>
        <v>-61569787.045042247</v>
      </c>
      <c r="E9" s="63">
        <f>+[6]Pricing_BEL!$L$8</f>
        <v>-63006264.026363127</v>
      </c>
      <c r="F9" s="62">
        <f>+[7]Pricing_BEL!$L$8</f>
        <v>-63006264.026363127</v>
      </c>
      <c r="G9" s="62">
        <f>+[8]Pricing_BEL!$L$8</f>
        <v>-63006264.026363127</v>
      </c>
      <c r="H9" s="63">
        <f>+[9]Pricing_BEL!$L$8</f>
        <v>-63139606.880741552</v>
      </c>
      <c r="I9" s="62">
        <f>+[10]Pricing_BEL!$L$8</f>
        <v>-63139606.880741552</v>
      </c>
      <c r="J9" s="62">
        <f>+[11]Pricing_BEL!$L$8</f>
        <v>-63139606.880741552</v>
      </c>
      <c r="K9" s="63">
        <f>+[12]Pricing_BEL!$L$8</f>
        <v>-66011371.120870858</v>
      </c>
      <c r="L9" s="62">
        <f>+[13]Pricing_BEL!$L$8</f>
        <v>-66011371.120870858</v>
      </c>
      <c r="M9" s="62">
        <f>+[14]Pricing_BEL!$L$8</f>
        <v>-66011371.120870858</v>
      </c>
      <c r="N9" s="39"/>
    </row>
    <row r="10" spans="2:26" hidden="1" outlineLevel="2" x14ac:dyDescent="0.25">
      <c r="B10" s="17" t="s">
        <v>7</v>
      </c>
      <c r="C10" s="62">
        <f>+[1]Pricing_BEL!$L$9</f>
        <v>-44622320.258215055</v>
      </c>
      <c r="D10" s="62">
        <f>+[5]Pricing_BEL!$L$9</f>
        <v>-44622320.258215055</v>
      </c>
      <c r="E10" s="63">
        <f>+[6]Pricing_BEL!$L$9</f>
        <v>-44430665.938940234</v>
      </c>
      <c r="F10" s="62">
        <f>+[7]Pricing_BEL!$L$9</f>
        <v>-44430665.938940234</v>
      </c>
      <c r="G10" s="62">
        <f>+[8]Pricing_BEL!$L$9</f>
        <v>-44430665.938940234</v>
      </c>
      <c r="H10" s="63">
        <f>+[9]Pricing_BEL!$L$9</f>
        <v>-44638269.139373422</v>
      </c>
      <c r="I10" s="62">
        <f>+[10]Pricing_BEL!$L$9</f>
        <v>-44638269.139373422</v>
      </c>
      <c r="J10" s="62">
        <f>+[11]Pricing_BEL!$L$9</f>
        <v>-44638269.139373422</v>
      </c>
      <c r="K10" s="63">
        <f>+[12]Pricing_BEL!$L$9</f>
        <v>-45753058.776786052</v>
      </c>
      <c r="L10" s="62">
        <f>+[13]Pricing_BEL!$L$9</f>
        <v>-45753058.776786052</v>
      </c>
      <c r="M10" s="62">
        <f>+[14]Pricing_BEL!$L$9</f>
        <v>-45753058.776786052</v>
      </c>
      <c r="N10" s="39"/>
    </row>
    <row r="11" spans="2:26" hidden="1" outlineLevel="1" collapsed="1" x14ac:dyDescent="0.25">
      <c r="B11" s="16" t="s">
        <v>8</v>
      </c>
      <c r="C11" s="62" cm="1">
        <f t="array" ref="C11">+[1]!BEL_6_10</f>
        <v>-118361602.41586424</v>
      </c>
      <c r="D11" s="62" cm="1">
        <f t="array" ref="D11">+[5]!BEL_6_10</f>
        <v>-118361602.41586424</v>
      </c>
      <c r="E11" s="63" cm="1">
        <f t="array" ref="E11">+[6]!BEL_6_10</f>
        <v>-115690575.8067085</v>
      </c>
      <c r="F11" s="62" cm="1">
        <f t="array" ref="F11">+[7]!BEL_6_10</f>
        <v>-115690575.8067085</v>
      </c>
      <c r="G11" s="62" cm="1">
        <f t="array" ref="G11">+[8]!BEL_6_10</f>
        <v>-115690575.8067085</v>
      </c>
      <c r="H11" s="63" cm="1">
        <f t="array" ref="H11">+[9]!BEL_6_10</f>
        <v>-116458520.33029363</v>
      </c>
      <c r="I11" s="62" cm="1">
        <f t="array" ref="I11">+[10]!BEL_6_10</f>
        <v>-116458520.33029363</v>
      </c>
      <c r="J11" s="62" cm="1">
        <f t="array" ref="J11">+[11]!BEL_6_10</f>
        <v>-116458520.33029363</v>
      </c>
      <c r="K11" s="63" cm="1">
        <f t="array" ref="K11">+[12]!BEL_6_10</f>
        <v>-117005079.33356735</v>
      </c>
      <c r="L11" s="62" cm="1">
        <f t="array" ref="L11">+[13]!BEL_6_10</f>
        <v>-117005079.33356735</v>
      </c>
      <c r="M11" s="62" cm="1">
        <f t="array" ref="M11">+[14]!BEL_6_10</f>
        <v>-117005079.33356735</v>
      </c>
      <c r="N11" s="39"/>
      <c r="O11" s="14">
        <f>+C11-SUM(C12:C16)</f>
        <v>0</v>
      </c>
      <c r="P11" s="14">
        <f t="shared" ref="P11:R11" si="6">+D11-SUM(D12:D16)</f>
        <v>0</v>
      </c>
      <c r="Q11" s="14">
        <f t="shared" si="6"/>
        <v>0</v>
      </c>
      <c r="R11" s="14">
        <f t="shared" si="6"/>
        <v>0</v>
      </c>
      <c r="S11" s="14">
        <f t="shared" ref="S11" si="7">+G11-SUM(G12:G16)</f>
        <v>0</v>
      </c>
      <c r="T11" s="14">
        <f t="shared" ref="T11:Z11" si="8">+H11-SUM(H12:H16)</f>
        <v>0</v>
      </c>
      <c r="U11" s="14">
        <f t="shared" si="8"/>
        <v>0</v>
      </c>
      <c r="V11" s="14">
        <f t="shared" si="8"/>
        <v>0</v>
      </c>
      <c r="W11" s="14">
        <f t="shared" si="8"/>
        <v>0</v>
      </c>
      <c r="X11" s="14">
        <f t="shared" si="8"/>
        <v>0</v>
      </c>
      <c r="Y11" s="14">
        <f t="shared" si="8"/>
        <v>0</v>
      </c>
      <c r="Z11" s="14">
        <f t="shared" si="8"/>
        <v>0</v>
      </c>
    </row>
    <row r="12" spans="2:26" hidden="1" outlineLevel="2" x14ac:dyDescent="0.25">
      <c r="B12" s="17" t="s">
        <v>9</v>
      </c>
      <c r="C12" s="62">
        <f>+[1]Pricing_BEL!$L$10</f>
        <v>-35347016.025933817</v>
      </c>
      <c r="D12" s="62">
        <f>+[5]Pricing_BEL!$L$10</f>
        <v>-35347016.025933817</v>
      </c>
      <c r="E12" s="63">
        <f>+[6]Pricing_BEL!$L$10</f>
        <v>-34891813.537727728</v>
      </c>
      <c r="F12" s="62">
        <f>+[7]Pricing_BEL!$L$10</f>
        <v>-34891813.537727728</v>
      </c>
      <c r="G12" s="62">
        <f>+[8]Pricing_BEL!$L$10</f>
        <v>-34891813.537727728</v>
      </c>
      <c r="H12" s="63">
        <f>+[9]Pricing_BEL!$L$10</f>
        <v>-34926978.922364578</v>
      </c>
      <c r="I12" s="62">
        <f>+[10]Pricing_BEL!$L$10</f>
        <v>-34926978.922364578</v>
      </c>
      <c r="J12" s="62">
        <f>+[11]Pricing_BEL!$L$10</f>
        <v>-34926978.922364578</v>
      </c>
      <c r="K12" s="63">
        <f>+[12]Pricing_BEL!$L$10</f>
        <v>-35286266.500125252</v>
      </c>
      <c r="L12" s="62">
        <f>+[13]Pricing_BEL!$L$10</f>
        <v>-35286266.500125252</v>
      </c>
      <c r="M12" s="62">
        <f>+[14]Pricing_BEL!$L$10</f>
        <v>-35286266.500125252</v>
      </c>
      <c r="N12" s="39"/>
    </row>
    <row r="13" spans="2:26" hidden="1" outlineLevel="2" x14ac:dyDescent="0.25">
      <c r="B13" s="17" t="s">
        <v>10</v>
      </c>
      <c r="C13" s="62">
        <f>+[1]Pricing_BEL!$L$11</f>
        <v>-27851121.843706787</v>
      </c>
      <c r="D13" s="62">
        <f>+[5]Pricing_BEL!$L$11</f>
        <v>-27851121.843706787</v>
      </c>
      <c r="E13" s="63">
        <f>+[6]Pricing_BEL!$L$11</f>
        <v>-27477124.858067438</v>
      </c>
      <c r="F13" s="62">
        <f>+[7]Pricing_BEL!$L$11</f>
        <v>-27477124.858067438</v>
      </c>
      <c r="G13" s="62">
        <f>+[8]Pricing_BEL!$L$11</f>
        <v>-27477124.858067438</v>
      </c>
      <c r="H13" s="63">
        <f>+[9]Pricing_BEL!$L$11</f>
        <v>-27654800.359843358</v>
      </c>
      <c r="I13" s="62">
        <f>+[10]Pricing_BEL!$L$11</f>
        <v>-27654800.359843358</v>
      </c>
      <c r="J13" s="62">
        <f>+[11]Pricing_BEL!$L$11</f>
        <v>-27654800.359843358</v>
      </c>
      <c r="K13" s="63">
        <f>+[12]Pricing_BEL!$L$11</f>
        <v>-27854828.125118382</v>
      </c>
      <c r="L13" s="62">
        <f>+[13]Pricing_BEL!$L$11</f>
        <v>-27854828.125118382</v>
      </c>
      <c r="M13" s="62">
        <f>+[14]Pricing_BEL!$L$11</f>
        <v>-27854828.125118382</v>
      </c>
      <c r="N13" s="39"/>
    </row>
    <row r="14" spans="2:26" hidden="1" outlineLevel="2" x14ac:dyDescent="0.25">
      <c r="B14" s="17" t="s">
        <v>11</v>
      </c>
      <c r="C14" s="62">
        <f>+[1]Pricing_BEL!$L$12</f>
        <v>-22169217.191406183</v>
      </c>
      <c r="D14" s="62">
        <f>+[5]Pricing_BEL!$L$12</f>
        <v>-22169217.191406183</v>
      </c>
      <c r="E14" s="63">
        <f>+[6]Pricing_BEL!$L$12</f>
        <v>-21819803.244795237</v>
      </c>
      <c r="F14" s="62">
        <f>+[7]Pricing_BEL!$L$12</f>
        <v>-21819803.244795237</v>
      </c>
      <c r="G14" s="62">
        <f>+[8]Pricing_BEL!$L$12</f>
        <v>-21819803.244795237</v>
      </c>
      <c r="H14" s="63">
        <f>+[9]Pricing_BEL!$L$12</f>
        <v>-22060019.97249347</v>
      </c>
      <c r="I14" s="62">
        <f>+[10]Pricing_BEL!$L$12</f>
        <v>-22060019.97249347</v>
      </c>
      <c r="J14" s="62">
        <f>+[11]Pricing_BEL!$L$12</f>
        <v>-22060019.97249347</v>
      </c>
      <c r="K14" s="63">
        <f>+[12]Pricing_BEL!$L$12</f>
        <v>-22174065.228131816</v>
      </c>
      <c r="L14" s="62">
        <f>+[13]Pricing_BEL!$L$12</f>
        <v>-22174065.228131816</v>
      </c>
      <c r="M14" s="62">
        <f>+[14]Pricing_BEL!$L$12</f>
        <v>-22174065.228131816</v>
      </c>
      <c r="N14" s="39"/>
    </row>
    <row r="15" spans="2:26" hidden="1" outlineLevel="2" x14ac:dyDescent="0.25">
      <c r="B15" s="17" t="s">
        <v>12</v>
      </c>
      <c r="C15" s="62">
        <f>+[1]Pricing_BEL!$L$13</f>
        <v>-17687370.371356182</v>
      </c>
      <c r="D15" s="62">
        <f>+[5]Pricing_BEL!$L$13</f>
        <v>-17687370.371356182</v>
      </c>
      <c r="E15" s="63">
        <f>+[6]Pricing_BEL!$L$13</f>
        <v>-16770198.96276848</v>
      </c>
      <c r="F15" s="62">
        <f>+[7]Pricing_BEL!$L$13</f>
        <v>-16770198.96276848</v>
      </c>
      <c r="G15" s="62">
        <f>+[8]Pricing_BEL!$L$13</f>
        <v>-16770198.96276848</v>
      </c>
      <c r="H15" s="63">
        <f>+[9]Pricing_BEL!$L$13</f>
        <v>-16837065.004563823</v>
      </c>
      <c r="I15" s="62">
        <f>+[10]Pricing_BEL!$L$13</f>
        <v>-16837065.004563823</v>
      </c>
      <c r="J15" s="62">
        <f>+[11]Pricing_BEL!$L$13</f>
        <v>-16837065.004563823</v>
      </c>
      <c r="K15" s="63">
        <f>+[12]Pricing_BEL!$L$13</f>
        <v>-16825353.975437362</v>
      </c>
      <c r="L15" s="62">
        <f>+[13]Pricing_BEL!$L$13</f>
        <v>-16825353.975437362</v>
      </c>
      <c r="M15" s="62">
        <f>+[14]Pricing_BEL!$L$13</f>
        <v>-16825353.975437362</v>
      </c>
      <c r="N15" s="39"/>
    </row>
    <row r="16" spans="2:26" hidden="1" outlineLevel="2" x14ac:dyDescent="0.25">
      <c r="B16" s="17" t="s">
        <v>13</v>
      </c>
      <c r="C16" s="62">
        <f>+[1]Pricing_BEL!$L$14</f>
        <v>-15306876.983461281</v>
      </c>
      <c r="D16" s="62">
        <f>+[5]Pricing_BEL!$L$14</f>
        <v>-15306876.983461281</v>
      </c>
      <c r="E16" s="63">
        <f>+[6]Pricing_BEL!$L$14</f>
        <v>-14731635.203349624</v>
      </c>
      <c r="F16" s="62">
        <f>+[7]Pricing_BEL!$L$14</f>
        <v>-14731635.203349624</v>
      </c>
      <c r="G16" s="62">
        <f>+[8]Pricing_BEL!$L$14</f>
        <v>-14731635.203349624</v>
      </c>
      <c r="H16" s="63">
        <f>+[9]Pricing_BEL!$L$14</f>
        <v>-14979656.071028402</v>
      </c>
      <c r="I16" s="62">
        <f>+[10]Pricing_BEL!$L$14</f>
        <v>-14979656.071028402</v>
      </c>
      <c r="J16" s="62">
        <f>+[11]Pricing_BEL!$L$14</f>
        <v>-14979656.071028402</v>
      </c>
      <c r="K16" s="63">
        <f>+[12]Pricing_BEL!$L$14</f>
        <v>-14864565.504754547</v>
      </c>
      <c r="L16" s="62">
        <f>+[13]Pricing_BEL!$L$14</f>
        <v>-14864565.504754547</v>
      </c>
      <c r="M16" s="62">
        <f>+[14]Pricing_BEL!$L$14</f>
        <v>-14864565.504754547</v>
      </c>
      <c r="N16" s="39"/>
    </row>
    <row r="17" spans="2:26" hidden="1" outlineLevel="1" collapsed="1" x14ac:dyDescent="0.25">
      <c r="B17" s="16" t="s">
        <v>14</v>
      </c>
      <c r="C17" s="62" cm="1">
        <f t="array" ref="C17">+[1]!BEL_11_20</f>
        <v>-63775052.286756374</v>
      </c>
      <c r="D17" s="62" cm="1">
        <f t="array" ref="D17">+[5]!BEL_11_20</f>
        <v>-63775052.286756374</v>
      </c>
      <c r="E17" s="63" cm="1">
        <f t="array" ref="E17">+[6]!BEL_11_20</f>
        <v>-58898037.913481206</v>
      </c>
      <c r="F17" s="62" cm="1">
        <f t="array" ref="F17">+[7]!BEL_11_20</f>
        <v>-58898037.913481206</v>
      </c>
      <c r="G17" s="62" cm="1">
        <f t="array" ref="G17">+[8]!BEL_11_20</f>
        <v>-58898037.913481206</v>
      </c>
      <c r="H17" s="63" cm="1">
        <f t="array" ref="H17">+[9]!BEL_11_20</f>
        <v>-58873034.255981483</v>
      </c>
      <c r="I17" s="62" cm="1">
        <f t="array" ref="I17">+[10]!BEL_11_20</f>
        <v>-58873034.255981483</v>
      </c>
      <c r="J17" s="62" cm="1">
        <f t="array" ref="J17">+[11]!BEL_11_20</f>
        <v>-58873034.255981483</v>
      </c>
      <c r="K17" s="63" cm="1">
        <f t="array" ref="K17">+[12]!BEL_11_20</f>
        <v>-59326877.784230188</v>
      </c>
      <c r="L17" s="62" cm="1">
        <f t="array" ref="L17">+[13]!BEL_11_20</f>
        <v>-59326877.784230188</v>
      </c>
      <c r="M17" s="62" cm="1">
        <f t="array" ref="M17">+[14]!BEL_11_20</f>
        <v>-59326877.784230188</v>
      </c>
      <c r="N17" s="39"/>
      <c r="O17" s="14">
        <f>+C17-SUM(C18:C27)</f>
        <v>0</v>
      </c>
      <c r="P17" s="14">
        <f t="shared" ref="P17:R17" si="9">+D17-SUM(D18:D27)</f>
        <v>0</v>
      </c>
      <c r="Q17" s="14">
        <f t="shared" si="9"/>
        <v>0</v>
      </c>
      <c r="R17" s="14">
        <f t="shared" si="9"/>
        <v>0</v>
      </c>
      <c r="S17" s="14">
        <f t="shared" ref="S17" si="10">+G17-SUM(G18:G27)</f>
        <v>0</v>
      </c>
      <c r="T17" s="14">
        <f t="shared" ref="T17:Z17" si="11">+H17-SUM(H18:H27)</f>
        <v>0</v>
      </c>
      <c r="U17" s="14">
        <f t="shared" si="11"/>
        <v>0</v>
      </c>
      <c r="V17" s="14">
        <f t="shared" si="11"/>
        <v>0</v>
      </c>
      <c r="W17" s="14">
        <f t="shared" si="11"/>
        <v>0</v>
      </c>
      <c r="X17" s="14">
        <f t="shared" si="11"/>
        <v>0</v>
      </c>
      <c r="Y17" s="14">
        <f t="shared" si="11"/>
        <v>0</v>
      </c>
      <c r="Z17" s="14">
        <f t="shared" si="11"/>
        <v>0</v>
      </c>
    </row>
    <row r="18" spans="2:26" hidden="1" outlineLevel="2" x14ac:dyDescent="0.25">
      <c r="B18" s="17" t="s">
        <v>15</v>
      </c>
      <c r="C18" s="62">
        <f>+[1]Pricing_BEL!$L$15</f>
        <v>-12390596.071672451</v>
      </c>
      <c r="D18" s="62">
        <f>+[5]Pricing_BEL!$L$15</f>
        <v>-12390596.071672451</v>
      </c>
      <c r="E18" s="63">
        <f>+[6]Pricing_BEL!$L$15</f>
        <v>-11655204.958503354</v>
      </c>
      <c r="F18" s="62">
        <f>+[7]Pricing_BEL!$L$15</f>
        <v>-11655204.958503354</v>
      </c>
      <c r="G18" s="62">
        <f>+[8]Pricing_BEL!$L$15</f>
        <v>-11655204.958503354</v>
      </c>
      <c r="H18" s="63">
        <f>+[9]Pricing_BEL!$L$15</f>
        <v>-11821214.948433835</v>
      </c>
      <c r="I18" s="62">
        <f>+[10]Pricing_BEL!$L$15</f>
        <v>-11821214.948433835</v>
      </c>
      <c r="J18" s="62">
        <f>+[11]Pricing_BEL!$L$15</f>
        <v>-11821214.948433835</v>
      </c>
      <c r="K18" s="63">
        <f>+[12]Pricing_BEL!$L$15</f>
        <v>-11810848.656614317</v>
      </c>
      <c r="L18" s="62">
        <f>+[13]Pricing_BEL!$L$15</f>
        <v>-11810848.656614317</v>
      </c>
      <c r="M18" s="62">
        <f>+[14]Pricing_BEL!$L$15</f>
        <v>-11810848.656614317</v>
      </c>
      <c r="N18" s="39"/>
    </row>
    <row r="19" spans="2:26" hidden="1" outlineLevel="2" x14ac:dyDescent="0.25">
      <c r="B19" s="17" t="s">
        <v>16</v>
      </c>
      <c r="C19" s="62">
        <f>+[1]Pricing_BEL!$L$16</f>
        <v>-9328454.3494528625</v>
      </c>
      <c r="D19" s="62">
        <f>+[5]Pricing_BEL!$L$16</f>
        <v>-9328454.3494528625</v>
      </c>
      <c r="E19" s="63">
        <f>+[6]Pricing_BEL!$L$16</f>
        <v>-8435297.1572369467</v>
      </c>
      <c r="F19" s="62">
        <f>+[7]Pricing_BEL!$L$16</f>
        <v>-8435297.1572369467</v>
      </c>
      <c r="G19" s="62">
        <f>+[8]Pricing_BEL!$L$16</f>
        <v>-8435297.1572369467</v>
      </c>
      <c r="H19" s="63">
        <f>+[9]Pricing_BEL!$L$16</f>
        <v>-8453429.9385734275</v>
      </c>
      <c r="I19" s="62">
        <f>+[10]Pricing_BEL!$L$16</f>
        <v>-8453429.9385734275</v>
      </c>
      <c r="J19" s="62">
        <f>+[11]Pricing_BEL!$L$16</f>
        <v>-8453429.9385734275</v>
      </c>
      <c r="K19" s="63">
        <f>+[12]Pricing_BEL!$L$16</f>
        <v>-8516059.4541114531</v>
      </c>
      <c r="L19" s="62">
        <f>+[13]Pricing_BEL!$L$16</f>
        <v>-8516059.4541114531</v>
      </c>
      <c r="M19" s="62">
        <f>+[14]Pricing_BEL!$L$16</f>
        <v>-8516059.4541114531</v>
      </c>
      <c r="N19" s="39"/>
    </row>
    <row r="20" spans="2:26" hidden="1" outlineLevel="2" x14ac:dyDescent="0.25">
      <c r="B20" s="17" t="s">
        <v>17</v>
      </c>
      <c r="C20" s="62">
        <f>+[1]Pricing_BEL!$L$17</f>
        <v>-8056794.6031108005</v>
      </c>
      <c r="D20" s="62">
        <f>+[5]Pricing_BEL!$L$17</f>
        <v>-8056794.6031108005</v>
      </c>
      <c r="E20" s="63">
        <f>+[6]Pricing_BEL!$L$17</f>
        <v>-7306616.4948640792</v>
      </c>
      <c r="F20" s="62">
        <f>+[7]Pricing_BEL!$L$17</f>
        <v>-7306616.4948640792</v>
      </c>
      <c r="G20" s="62">
        <f>+[8]Pricing_BEL!$L$17</f>
        <v>-7306616.4948640792</v>
      </c>
      <c r="H20" s="63">
        <f>+[9]Pricing_BEL!$L$17</f>
        <v>-7294907.9311235389</v>
      </c>
      <c r="I20" s="62">
        <f>+[10]Pricing_BEL!$L$17</f>
        <v>-7294907.9311235389</v>
      </c>
      <c r="J20" s="62">
        <f>+[11]Pricing_BEL!$L$17</f>
        <v>-7294907.9311235389</v>
      </c>
      <c r="K20" s="63">
        <f>+[12]Pricing_BEL!$L$17</f>
        <v>-7335408.8146973746</v>
      </c>
      <c r="L20" s="62">
        <f>+[13]Pricing_BEL!$L$17</f>
        <v>-7335408.8146973746</v>
      </c>
      <c r="M20" s="62">
        <f>+[14]Pricing_BEL!$L$17</f>
        <v>-7335408.8146973746</v>
      </c>
      <c r="N20" s="39"/>
    </row>
    <row r="21" spans="2:26" hidden="1" outlineLevel="2" x14ac:dyDescent="0.25">
      <c r="B21" s="17" t="s">
        <v>18</v>
      </c>
      <c r="C21" s="62">
        <f>+[1]Pricing_BEL!$L$18</f>
        <v>-7081022.4628984118</v>
      </c>
      <c r="D21" s="62">
        <f>+[5]Pricing_BEL!$L$18</f>
        <v>-7081022.4628984118</v>
      </c>
      <c r="E21" s="63">
        <f>+[6]Pricing_BEL!$L$18</f>
        <v>-6468465.4787296858</v>
      </c>
      <c r="F21" s="62">
        <f>+[7]Pricing_BEL!$L$18</f>
        <v>-6468465.4787296858</v>
      </c>
      <c r="G21" s="62">
        <f>+[8]Pricing_BEL!$L$18</f>
        <v>-6468465.4787296858</v>
      </c>
      <c r="H21" s="63">
        <f>+[9]Pricing_BEL!$L$18</f>
        <v>-6493235.8802903844</v>
      </c>
      <c r="I21" s="62">
        <f>+[10]Pricing_BEL!$L$18</f>
        <v>-6493235.8802903844</v>
      </c>
      <c r="J21" s="62">
        <f>+[11]Pricing_BEL!$L$18</f>
        <v>-6493235.8802903844</v>
      </c>
      <c r="K21" s="63">
        <f>+[12]Pricing_BEL!$L$18</f>
        <v>-6538267.5444109468</v>
      </c>
      <c r="L21" s="62">
        <f>+[13]Pricing_BEL!$L$18</f>
        <v>-6538267.5444109468</v>
      </c>
      <c r="M21" s="62">
        <f>+[14]Pricing_BEL!$L$18</f>
        <v>-6538267.5444109468</v>
      </c>
      <c r="N21" s="39"/>
    </row>
    <row r="22" spans="2:26" hidden="1" outlineLevel="2" x14ac:dyDescent="0.25">
      <c r="B22" s="17" t="s">
        <v>19</v>
      </c>
      <c r="C22" s="62">
        <f>+[1]Pricing_BEL!$L$19</f>
        <v>-6421670.6972385729</v>
      </c>
      <c r="D22" s="62">
        <f>+[5]Pricing_BEL!$L$19</f>
        <v>-6421670.6972385729</v>
      </c>
      <c r="E22" s="63">
        <f>+[6]Pricing_BEL!$L$19</f>
        <v>-5905599.0002543479</v>
      </c>
      <c r="F22" s="62">
        <f>+[7]Pricing_BEL!$L$19</f>
        <v>-5905599.0002543479</v>
      </c>
      <c r="G22" s="62">
        <f>+[8]Pricing_BEL!$L$19</f>
        <v>-5905599.0002543479</v>
      </c>
      <c r="H22" s="63">
        <f>+[9]Pricing_BEL!$L$19</f>
        <v>-5883775.4488386372</v>
      </c>
      <c r="I22" s="62">
        <f>+[10]Pricing_BEL!$L$19</f>
        <v>-5883775.4488386372</v>
      </c>
      <c r="J22" s="62">
        <f>+[11]Pricing_BEL!$L$19</f>
        <v>-5883775.4488386372</v>
      </c>
      <c r="K22" s="63">
        <f>+[12]Pricing_BEL!$L$19</f>
        <v>-5879664.4315256486</v>
      </c>
      <c r="L22" s="62">
        <f>+[13]Pricing_BEL!$L$19</f>
        <v>-5879664.4315256486</v>
      </c>
      <c r="M22" s="62">
        <f>+[14]Pricing_BEL!$L$19</f>
        <v>-5879664.4315256486</v>
      </c>
      <c r="N22" s="39"/>
    </row>
    <row r="23" spans="2:26" hidden="1" outlineLevel="2" x14ac:dyDescent="0.25">
      <c r="B23" s="17" t="s">
        <v>20</v>
      </c>
      <c r="C23" s="62">
        <f>+[1]Pricing_BEL!$L$20</f>
        <v>-5495414.7957005659</v>
      </c>
      <c r="D23" s="62">
        <f>+[5]Pricing_BEL!$L$20</f>
        <v>-5495414.7957005659</v>
      </c>
      <c r="E23" s="63">
        <f>+[6]Pricing_BEL!$L$20</f>
        <v>-5065739.7587623931</v>
      </c>
      <c r="F23" s="62">
        <f>+[7]Pricing_BEL!$L$20</f>
        <v>-5065739.7587623931</v>
      </c>
      <c r="G23" s="62">
        <f>+[8]Pricing_BEL!$L$20</f>
        <v>-5065739.7587623931</v>
      </c>
      <c r="H23" s="63">
        <f>+[9]Pricing_BEL!$L$20</f>
        <v>-5017589.1464011502</v>
      </c>
      <c r="I23" s="62">
        <f>+[10]Pricing_BEL!$L$20</f>
        <v>-5017589.1464011502</v>
      </c>
      <c r="J23" s="62">
        <f>+[11]Pricing_BEL!$L$20</f>
        <v>-5017589.1464011502</v>
      </c>
      <c r="K23" s="63">
        <f>+[12]Pricing_BEL!$L$20</f>
        <v>-5037637.7687327955</v>
      </c>
      <c r="L23" s="62">
        <f>+[13]Pricing_BEL!$L$20</f>
        <v>-5037637.7687327955</v>
      </c>
      <c r="M23" s="62">
        <f>+[14]Pricing_BEL!$L$20</f>
        <v>-5037637.7687327955</v>
      </c>
      <c r="N23" s="39"/>
    </row>
    <row r="24" spans="2:26" hidden="1" outlineLevel="2" x14ac:dyDescent="0.25">
      <c r="B24" s="17" t="s">
        <v>21</v>
      </c>
      <c r="C24" s="62">
        <f>+[1]Pricing_BEL!$L$21</f>
        <v>-4694345.207257309</v>
      </c>
      <c r="D24" s="62">
        <f>+[5]Pricing_BEL!$L$21</f>
        <v>-4694345.207257309</v>
      </c>
      <c r="E24" s="63">
        <f>+[6]Pricing_BEL!$L$21</f>
        <v>-4343641.9536301</v>
      </c>
      <c r="F24" s="62">
        <f>+[7]Pricing_BEL!$L$21</f>
        <v>-4343641.9536301</v>
      </c>
      <c r="G24" s="62">
        <f>+[8]Pricing_BEL!$L$21</f>
        <v>-4343641.9536301</v>
      </c>
      <c r="H24" s="63">
        <f>+[9]Pricing_BEL!$L$21</f>
        <v>-4294854.050860527</v>
      </c>
      <c r="I24" s="62">
        <f>+[10]Pricing_BEL!$L$21</f>
        <v>-4294854.050860527</v>
      </c>
      <c r="J24" s="62">
        <f>+[11]Pricing_BEL!$L$21</f>
        <v>-4294854.050860527</v>
      </c>
      <c r="K24" s="63">
        <f>+[12]Pricing_BEL!$L$21</f>
        <v>-4332516.8542879503</v>
      </c>
      <c r="L24" s="62">
        <f>+[13]Pricing_BEL!$L$21</f>
        <v>-4332516.8542879503</v>
      </c>
      <c r="M24" s="62">
        <f>+[14]Pricing_BEL!$L$21</f>
        <v>-4332516.8542879503</v>
      </c>
      <c r="N24" s="39"/>
    </row>
    <row r="25" spans="2:26" hidden="1" outlineLevel="2" x14ac:dyDescent="0.25">
      <c r="B25" s="17" t="s">
        <v>22</v>
      </c>
      <c r="C25" s="62">
        <f>+[1]Pricing_BEL!$L$22</f>
        <v>-3957281.2232167013</v>
      </c>
      <c r="D25" s="62">
        <f>+[5]Pricing_BEL!$L$22</f>
        <v>-3957281.2232167013</v>
      </c>
      <c r="E25" s="63">
        <f>+[6]Pricing_BEL!$L$22</f>
        <v>-3696308.7812472349</v>
      </c>
      <c r="F25" s="62">
        <f>+[7]Pricing_BEL!$L$22</f>
        <v>-3696308.7812472349</v>
      </c>
      <c r="G25" s="62">
        <f>+[8]Pricing_BEL!$L$22</f>
        <v>-3696308.7812472349</v>
      </c>
      <c r="H25" s="63">
        <f>+[9]Pricing_BEL!$L$22</f>
        <v>-3649946.2591088656</v>
      </c>
      <c r="I25" s="62">
        <f>+[10]Pricing_BEL!$L$22</f>
        <v>-3649946.2591088656</v>
      </c>
      <c r="J25" s="62">
        <f>+[11]Pricing_BEL!$L$22</f>
        <v>-3649946.2591088656</v>
      </c>
      <c r="K25" s="63">
        <f>+[12]Pricing_BEL!$L$22</f>
        <v>-3725713.552094033</v>
      </c>
      <c r="L25" s="62">
        <f>+[13]Pricing_BEL!$L$22</f>
        <v>-3725713.552094033</v>
      </c>
      <c r="M25" s="62">
        <f>+[14]Pricing_BEL!$L$22</f>
        <v>-3725713.552094033</v>
      </c>
      <c r="N25" s="39"/>
    </row>
    <row r="26" spans="2:26" hidden="1" outlineLevel="2" x14ac:dyDescent="0.25">
      <c r="B26" s="17" t="s">
        <v>23</v>
      </c>
      <c r="C26" s="62">
        <f>+[1]Pricing_BEL!$L$23</f>
        <v>-3349298.4023447423</v>
      </c>
      <c r="D26" s="62">
        <f>+[5]Pricing_BEL!$L$23</f>
        <v>-3349298.4023447423</v>
      </c>
      <c r="E26" s="63">
        <f>+[6]Pricing_BEL!$L$23</f>
        <v>-3177604.6269785906</v>
      </c>
      <c r="F26" s="62">
        <f>+[7]Pricing_BEL!$L$23</f>
        <v>-3177604.6269785906</v>
      </c>
      <c r="G26" s="62">
        <f>+[8]Pricing_BEL!$L$23</f>
        <v>-3177604.6269785906</v>
      </c>
      <c r="H26" s="63">
        <f>+[9]Pricing_BEL!$L$23</f>
        <v>-3155524.2158895386</v>
      </c>
      <c r="I26" s="62">
        <f>+[10]Pricing_BEL!$L$23</f>
        <v>-3155524.2158895386</v>
      </c>
      <c r="J26" s="62">
        <f>+[11]Pricing_BEL!$L$23</f>
        <v>-3155524.2158895386</v>
      </c>
      <c r="K26" s="63">
        <f>+[12]Pricing_BEL!$L$23</f>
        <v>-3262975.1930473731</v>
      </c>
      <c r="L26" s="62">
        <f>+[13]Pricing_BEL!$L$23</f>
        <v>-3262975.1930473731</v>
      </c>
      <c r="M26" s="62">
        <f>+[14]Pricing_BEL!$L$23</f>
        <v>-3262975.1930473731</v>
      </c>
      <c r="N26" s="39"/>
    </row>
    <row r="27" spans="2:26" hidden="1" outlineLevel="2" x14ac:dyDescent="0.25">
      <c r="B27" s="17" t="s">
        <v>24</v>
      </c>
      <c r="C27" s="62">
        <f>+[1]Pricing_BEL!$L$24</f>
        <v>-3000174.4738639593</v>
      </c>
      <c r="D27" s="62">
        <f>+[5]Pricing_BEL!$L$24</f>
        <v>-3000174.4738639593</v>
      </c>
      <c r="E27" s="63">
        <f>+[6]Pricing_BEL!$L$24</f>
        <v>-2843559.703274474</v>
      </c>
      <c r="F27" s="62">
        <f>+[7]Pricing_BEL!$L$24</f>
        <v>-2843559.703274474</v>
      </c>
      <c r="G27" s="62">
        <f>+[8]Pricing_BEL!$L$24</f>
        <v>-2843559.703274474</v>
      </c>
      <c r="H27" s="63">
        <f>+[9]Pricing_BEL!$L$24</f>
        <v>-2808556.4364615818</v>
      </c>
      <c r="I27" s="62">
        <f>+[10]Pricing_BEL!$L$24</f>
        <v>-2808556.4364615818</v>
      </c>
      <c r="J27" s="62">
        <f>+[11]Pricing_BEL!$L$24</f>
        <v>-2808556.4364615818</v>
      </c>
      <c r="K27" s="63">
        <f>+[12]Pricing_BEL!$L$24</f>
        <v>-2887785.5147082973</v>
      </c>
      <c r="L27" s="62">
        <f>+[13]Pricing_BEL!$L$24</f>
        <v>-2887785.5147082973</v>
      </c>
      <c r="M27" s="62">
        <f>+[14]Pricing_BEL!$L$24</f>
        <v>-2887785.5147082973</v>
      </c>
      <c r="N27" s="39"/>
    </row>
    <row r="28" spans="2:26" hidden="1" outlineLevel="1" collapsed="1" x14ac:dyDescent="0.25">
      <c r="B28" s="16" t="s">
        <v>25</v>
      </c>
      <c r="C28" s="62" cm="1">
        <f t="array" ref="C28">+[1]!BEL_21_30</f>
        <v>-13338994.418287208</v>
      </c>
      <c r="D28" s="62" cm="1">
        <f t="array" ref="D28">+[5]!BEL_21_30</f>
        <v>-13338994.418287208</v>
      </c>
      <c r="E28" s="63" cm="1">
        <f t="array" ref="E28">+[6]!BEL_21_30</f>
        <v>-12808002.431921231</v>
      </c>
      <c r="F28" s="62" cm="1">
        <f t="array" ref="F28">+[7]!BEL_21_30</f>
        <v>-12808002.431921231</v>
      </c>
      <c r="G28" s="62" cm="1">
        <f t="array" ref="G28">+[8]!BEL_21_30</f>
        <v>-12808002.431921231</v>
      </c>
      <c r="H28" s="63" cm="1">
        <f t="array" ref="H28">+[9]!BEL_21_30</f>
        <v>-12800866.032435631</v>
      </c>
      <c r="I28" s="62" cm="1">
        <f t="array" ref="I28">+[10]!BEL_21_30</f>
        <v>-12800866.032435631</v>
      </c>
      <c r="J28" s="62" cm="1">
        <f t="array" ref="J28">+[11]!BEL_21_30</f>
        <v>-12800866.032435631</v>
      </c>
      <c r="K28" s="63" cm="1">
        <f t="array" ref="K28">+[12]!BEL_21_30</f>
        <v>-13570991.524027552</v>
      </c>
      <c r="L28" s="62" cm="1">
        <f t="array" ref="L28">+[13]!BEL_21_30</f>
        <v>-13570991.524027552</v>
      </c>
      <c r="M28" s="62" cm="1">
        <f t="array" ref="M28">+[14]!BEL_21_30</f>
        <v>-13570991.524027552</v>
      </c>
      <c r="N28" s="39"/>
      <c r="O28" s="14">
        <f>+C28-SUM(C29:C38)</f>
        <v>0</v>
      </c>
      <c r="P28" s="14">
        <f t="shared" ref="P28:R28" si="12">+D28-SUM(D29:D38)</f>
        <v>0</v>
      </c>
      <c r="Q28" s="14">
        <f t="shared" si="12"/>
        <v>0</v>
      </c>
      <c r="R28" s="14">
        <f t="shared" si="12"/>
        <v>0</v>
      </c>
      <c r="S28" s="14">
        <f t="shared" ref="S28" si="13">+G28-SUM(G29:G38)</f>
        <v>0</v>
      </c>
      <c r="T28" s="14">
        <f t="shared" ref="T28:Z28" si="14">+H28-SUM(H29:H38)</f>
        <v>0</v>
      </c>
      <c r="U28" s="14">
        <f t="shared" si="14"/>
        <v>0</v>
      </c>
      <c r="V28" s="14">
        <f t="shared" si="14"/>
        <v>0</v>
      </c>
      <c r="W28" s="14">
        <f t="shared" si="14"/>
        <v>0</v>
      </c>
      <c r="X28" s="14">
        <f t="shared" si="14"/>
        <v>0</v>
      </c>
      <c r="Y28" s="14">
        <f t="shared" si="14"/>
        <v>0</v>
      </c>
      <c r="Z28" s="14">
        <f t="shared" si="14"/>
        <v>0</v>
      </c>
    </row>
    <row r="29" spans="2:26" hidden="1" outlineLevel="2" x14ac:dyDescent="0.25">
      <c r="B29" s="17" t="s">
        <v>26</v>
      </c>
      <c r="C29" s="62">
        <f>+[1]Pricing_BEL!$L$25</f>
        <v>-2592655.3461945285</v>
      </c>
      <c r="D29" s="62">
        <f>+[5]Pricing_BEL!$L$25</f>
        <v>-2592655.3461945285</v>
      </c>
      <c r="E29" s="63">
        <f>+[6]Pricing_BEL!$L$25</f>
        <v>-2452944.2473372761</v>
      </c>
      <c r="F29" s="62">
        <f>+[7]Pricing_BEL!$L$25</f>
        <v>-2452944.2473372761</v>
      </c>
      <c r="G29" s="62">
        <f>+[8]Pricing_BEL!$L$25</f>
        <v>-2452944.2473372761</v>
      </c>
      <c r="H29" s="63">
        <f>+[9]Pricing_BEL!$L$25</f>
        <v>-2417359.8332712562</v>
      </c>
      <c r="I29" s="62">
        <f>+[10]Pricing_BEL!$L$25</f>
        <v>-2417359.8332712562</v>
      </c>
      <c r="J29" s="62">
        <f>+[11]Pricing_BEL!$L$25</f>
        <v>-2417359.8332712562</v>
      </c>
      <c r="K29" s="63">
        <f>+[12]Pricing_BEL!$L$25</f>
        <v>-2499863.2318508066</v>
      </c>
      <c r="L29" s="62">
        <f>+[13]Pricing_BEL!$L$25</f>
        <v>-2499863.2318508066</v>
      </c>
      <c r="M29" s="62">
        <f>+[14]Pricing_BEL!$L$25</f>
        <v>-2499863.2318508066</v>
      </c>
      <c r="N29" s="39"/>
    </row>
    <row r="30" spans="2:26" hidden="1" outlineLevel="2" x14ac:dyDescent="0.25">
      <c r="B30" s="17" t="s">
        <v>27</v>
      </c>
      <c r="C30" s="62">
        <f>+[1]Pricing_BEL!$L$26</f>
        <v>-2225910.9597484022</v>
      </c>
      <c r="D30" s="62">
        <f>+[5]Pricing_BEL!$L$26</f>
        <v>-2225910.9597484022</v>
      </c>
      <c r="E30" s="63">
        <f>+[6]Pricing_BEL!$L$26</f>
        <v>-2102952.0926433806</v>
      </c>
      <c r="F30" s="62">
        <f>+[7]Pricing_BEL!$L$26</f>
        <v>-2102952.0926433806</v>
      </c>
      <c r="G30" s="62">
        <f>+[8]Pricing_BEL!$L$26</f>
        <v>-2102952.0926433806</v>
      </c>
      <c r="H30" s="63">
        <f>+[9]Pricing_BEL!$L$26</f>
        <v>-2069958.1247803648</v>
      </c>
      <c r="I30" s="62">
        <f>+[10]Pricing_BEL!$L$26</f>
        <v>-2069958.1247803648</v>
      </c>
      <c r="J30" s="62">
        <f>+[11]Pricing_BEL!$L$26</f>
        <v>-2069958.1247803648</v>
      </c>
      <c r="K30" s="63">
        <f>+[12]Pricing_BEL!$L$26</f>
        <v>-2156998.3099396545</v>
      </c>
      <c r="L30" s="62">
        <f>+[13]Pricing_BEL!$L$26</f>
        <v>-2156998.3099396545</v>
      </c>
      <c r="M30" s="62">
        <f>+[14]Pricing_BEL!$L$26</f>
        <v>-2156998.3099396545</v>
      </c>
      <c r="N30" s="39"/>
    </row>
    <row r="31" spans="2:26" hidden="1" outlineLevel="2" x14ac:dyDescent="0.25">
      <c r="B31" s="17" t="s">
        <v>28</v>
      </c>
      <c r="C31" s="62">
        <f>+[1]Pricing_BEL!$L$27</f>
        <v>-1890458.9746624578</v>
      </c>
      <c r="D31" s="62">
        <f>+[5]Pricing_BEL!$L$27</f>
        <v>-1890458.9746624578</v>
      </c>
      <c r="E31" s="63">
        <f>+[6]Pricing_BEL!$L$27</f>
        <v>-1792049.0184774357</v>
      </c>
      <c r="F31" s="62">
        <f>+[7]Pricing_BEL!$L$27</f>
        <v>-1792049.0184774357</v>
      </c>
      <c r="G31" s="62">
        <f>+[8]Pricing_BEL!$L$27</f>
        <v>-1792049.0184774357</v>
      </c>
      <c r="H31" s="63">
        <f>+[9]Pricing_BEL!$L$27</f>
        <v>-1767520.9839817875</v>
      </c>
      <c r="I31" s="62">
        <f>+[10]Pricing_BEL!$L$27</f>
        <v>-1767520.9839817875</v>
      </c>
      <c r="J31" s="62">
        <f>+[11]Pricing_BEL!$L$27</f>
        <v>-1767520.9839817875</v>
      </c>
      <c r="K31" s="63">
        <f>+[12]Pricing_BEL!$L$27</f>
        <v>-1865853.2620846943</v>
      </c>
      <c r="L31" s="62">
        <f>+[13]Pricing_BEL!$L$27</f>
        <v>-1865853.2620846943</v>
      </c>
      <c r="M31" s="62">
        <f>+[14]Pricing_BEL!$L$27</f>
        <v>-1865853.2620846943</v>
      </c>
      <c r="N31" s="39"/>
    </row>
    <row r="32" spans="2:26" hidden="1" outlineLevel="2" x14ac:dyDescent="0.25">
      <c r="B32" s="17" t="s">
        <v>29</v>
      </c>
      <c r="C32" s="62">
        <f>+[1]Pricing_BEL!$L$28</f>
        <v>-1610602.1758844741</v>
      </c>
      <c r="D32" s="62">
        <f>+[5]Pricing_BEL!$L$28</f>
        <v>-1610602.1758844741</v>
      </c>
      <c r="E32" s="63">
        <f>+[6]Pricing_BEL!$L$28</f>
        <v>-1542449.8353099083</v>
      </c>
      <c r="F32" s="62">
        <f>+[7]Pricing_BEL!$L$28</f>
        <v>-1542449.8353099083</v>
      </c>
      <c r="G32" s="62">
        <f>+[8]Pricing_BEL!$L$28</f>
        <v>-1542449.8353099083</v>
      </c>
      <c r="H32" s="63">
        <f>+[9]Pricing_BEL!$L$28</f>
        <v>-1547665.1258954904</v>
      </c>
      <c r="I32" s="62">
        <f>+[10]Pricing_BEL!$L$28</f>
        <v>-1547665.1258954904</v>
      </c>
      <c r="J32" s="62">
        <f>+[11]Pricing_BEL!$L$28</f>
        <v>-1547665.1258954904</v>
      </c>
      <c r="K32" s="63">
        <f>+[12]Pricing_BEL!$L$28</f>
        <v>-1651145.1038223277</v>
      </c>
      <c r="L32" s="62">
        <f>+[13]Pricing_BEL!$L$28</f>
        <v>-1651145.1038223277</v>
      </c>
      <c r="M32" s="62">
        <f>+[14]Pricing_BEL!$L$28</f>
        <v>-1651145.1038223277</v>
      </c>
      <c r="N32" s="39"/>
    </row>
    <row r="33" spans="2:26" hidden="1" outlineLevel="2" x14ac:dyDescent="0.25">
      <c r="B33" s="17" t="s">
        <v>30</v>
      </c>
      <c r="C33" s="62">
        <f>+[1]Pricing_BEL!$L$29</f>
        <v>-1416250.05750589</v>
      </c>
      <c r="D33" s="62">
        <f>+[5]Pricing_BEL!$L$29</f>
        <v>-1416250.05750589</v>
      </c>
      <c r="E33" s="63">
        <f>+[6]Pricing_BEL!$L$29</f>
        <v>-1360090.4747221987</v>
      </c>
      <c r="F33" s="62">
        <f>+[7]Pricing_BEL!$L$29</f>
        <v>-1360090.4747221987</v>
      </c>
      <c r="G33" s="62">
        <f>+[8]Pricing_BEL!$L$29</f>
        <v>-1360090.4747221987</v>
      </c>
      <c r="H33" s="63">
        <f>+[9]Pricing_BEL!$L$29</f>
        <v>-1360185.4295902159</v>
      </c>
      <c r="I33" s="62">
        <f>+[10]Pricing_BEL!$L$29</f>
        <v>-1360185.4295902159</v>
      </c>
      <c r="J33" s="62">
        <f>+[11]Pricing_BEL!$L$29</f>
        <v>-1360185.4295902159</v>
      </c>
      <c r="K33" s="63">
        <f>+[12]Pricing_BEL!$L$29</f>
        <v>-1434189.6280360776</v>
      </c>
      <c r="L33" s="62">
        <f>+[13]Pricing_BEL!$L$29</f>
        <v>-1434189.6280360776</v>
      </c>
      <c r="M33" s="62">
        <f>+[14]Pricing_BEL!$L$29</f>
        <v>-1434189.6280360776</v>
      </c>
      <c r="N33" s="39"/>
    </row>
    <row r="34" spans="2:26" hidden="1" outlineLevel="2" x14ac:dyDescent="0.25">
      <c r="B34" s="17" t="s">
        <v>31</v>
      </c>
      <c r="C34" s="62">
        <f>+[1]Pricing_BEL!$L$30</f>
        <v>-1128927.2459539161</v>
      </c>
      <c r="D34" s="62">
        <f>+[5]Pricing_BEL!$L$30</f>
        <v>-1128927.2459539161</v>
      </c>
      <c r="E34" s="63">
        <f>+[6]Pricing_BEL!$L$30</f>
        <v>-1081722.0163567548</v>
      </c>
      <c r="F34" s="62">
        <f>+[7]Pricing_BEL!$L$30</f>
        <v>-1081722.0163567548</v>
      </c>
      <c r="G34" s="62">
        <f>+[8]Pricing_BEL!$L$30</f>
        <v>-1081722.0163567548</v>
      </c>
      <c r="H34" s="63">
        <f>+[9]Pricing_BEL!$L$30</f>
        <v>-1074485.7427859332</v>
      </c>
      <c r="I34" s="62">
        <f>+[10]Pricing_BEL!$L$30</f>
        <v>-1074485.7427859332</v>
      </c>
      <c r="J34" s="62">
        <f>+[11]Pricing_BEL!$L$30</f>
        <v>-1074485.7427859332</v>
      </c>
      <c r="K34" s="63">
        <f>+[12]Pricing_BEL!$L$30</f>
        <v>-1148269.9242888123</v>
      </c>
      <c r="L34" s="62">
        <f>+[13]Pricing_BEL!$L$30</f>
        <v>-1148269.9242888123</v>
      </c>
      <c r="M34" s="62">
        <f>+[14]Pricing_BEL!$L$30</f>
        <v>-1148269.9242888123</v>
      </c>
      <c r="N34" s="39"/>
    </row>
    <row r="35" spans="2:26" hidden="1" outlineLevel="2" x14ac:dyDescent="0.25">
      <c r="B35" s="17" t="s">
        <v>32</v>
      </c>
      <c r="C35" s="62">
        <f>+[1]Pricing_BEL!$L$31</f>
        <v>-870297.4756838769</v>
      </c>
      <c r="D35" s="62">
        <f>+[5]Pricing_BEL!$L$31</f>
        <v>-870297.4756838769</v>
      </c>
      <c r="E35" s="63">
        <f>+[6]Pricing_BEL!$L$31</f>
        <v>-839087.83657669497</v>
      </c>
      <c r="F35" s="62">
        <f>+[7]Pricing_BEL!$L$31</f>
        <v>-839087.83657669497</v>
      </c>
      <c r="G35" s="62">
        <f>+[8]Pricing_BEL!$L$31</f>
        <v>-839087.83657669497</v>
      </c>
      <c r="H35" s="63">
        <f>+[9]Pricing_BEL!$L$31</f>
        <v>-833852.86955576087</v>
      </c>
      <c r="I35" s="62">
        <f>+[10]Pricing_BEL!$L$31</f>
        <v>-833852.86955576087</v>
      </c>
      <c r="J35" s="62">
        <f>+[11]Pricing_BEL!$L$31</f>
        <v>-833852.86955576087</v>
      </c>
      <c r="K35" s="63">
        <f>+[12]Pricing_BEL!$L$31</f>
        <v>-908028.03196876298</v>
      </c>
      <c r="L35" s="62">
        <f>+[13]Pricing_BEL!$L$31</f>
        <v>-908028.03196876298</v>
      </c>
      <c r="M35" s="62">
        <f>+[14]Pricing_BEL!$L$31</f>
        <v>-908028.03196876298</v>
      </c>
      <c r="N35" s="39"/>
    </row>
    <row r="36" spans="2:26" hidden="1" outlineLevel="2" x14ac:dyDescent="0.25">
      <c r="B36" s="17" t="s">
        <v>33</v>
      </c>
      <c r="C36" s="62">
        <f>+[1]Pricing_BEL!$L$32</f>
        <v>-638297.0482077268</v>
      </c>
      <c r="D36" s="62">
        <f>+[5]Pricing_BEL!$L$32</f>
        <v>-638297.0482077268</v>
      </c>
      <c r="E36" s="63">
        <f>+[6]Pricing_BEL!$L$32</f>
        <v>-619766.60830088321</v>
      </c>
      <c r="F36" s="62">
        <f>+[7]Pricing_BEL!$L$32</f>
        <v>-619766.60830088321</v>
      </c>
      <c r="G36" s="62">
        <f>+[8]Pricing_BEL!$L$32</f>
        <v>-619766.60830088321</v>
      </c>
      <c r="H36" s="63">
        <f>+[9]Pricing_BEL!$L$32</f>
        <v>-617917.04019556718</v>
      </c>
      <c r="I36" s="62">
        <f>+[10]Pricing_BEL!$L$32</f>
        <v>-617917.04019556718</v>
      </c>
      <c r="J36" s="62">
        <f>+[11]Pricing_BEL!$L$32</f>
        <v>-617917.04019556718</v>
      </c>
      <c r="K36" s="63">
        <f>+[12]Pricing_BEL!$L$32</f>
        <v>-703853.51892489614</v>
      </c>
      <c r="L36" s="62">
        <f>+[13]Pricing_BEL!$L$32</f>
        <v>-703853.51892489614</v>
      </c>
      <c r="M36" s="62">
        <f>+[14]Pricing_BEL!$L$32</f>
        <v>-703853.51892489614</v>
      </c>
      <c r="N36" s="39"/>
    </row>
    <row r="37" spans="2:26" hidden="1" outlineLevel="2" x14ac:dyDescent="0.25">
      <c r="B37" s="17" t="s">
        <v>34</v>
      </c>
      <c r="C37" s="62">
        <f>+[1]Pricing_BEL!$L$33</f>
        <v>-471378.34718957852</v>
      </c>
      <c r="D37" s="62">
        <f>+[5]Pricing_BEL!$L$33</f>
        <v>-471378.34718957852</v>
      </c>
      <c r="E37" s="63">
        <f>+[6]Pricing_BEL!$L$33</f>
        <v>-497604.47380028397</v>
      </c>
      <c r="F37" s="62">
        <f>+[7]Pricing_BEL!$L$33</f>
        <v>-497604.47380028397</v>
      </c>
      <c r="G37" s="62">
        <f>+[8]Pricing_BEL!$L$33</f>
        <v>-497604.47380028397</v>
      </c>
      <c r="H37" s="63">
        <f>+[9]Pricing_BEL!$L$33</f>
        <v>-545785.54369810212</v>
      </c>
      <c r="I37" s="62">
        <f>+[10]Pricing_BEL!$L$33</f>
        <v>-545785.54369810212</v>
      </c>
      <c r="J37" s="62">
        <f>+[11]Pricing_BEL!$L$33</f>
        <v>-545785.54369810212</v>
      </c>
      <c r="K37" s="63">
        <f>+[12]Pricing_BEL!$L$33</f>
        <v>-633081.08501548215</v>
      </c>
      <c r="L37" s="62">
        <f>+[13]Pricing_BEL!$L$33</f>
        <v>-633081.08501548215</v>
      </c>
      <c r="M37" s="62">
        <f>+[14]Pricing_BEL!$L$33</f>
        <v>-633081.08501548215</v>
      </c>
      <c r="N37" s="39"/>
    </row>
    <row r="38" spans="2:26" hidden="1" outlineLevel="2" x14ac:dyDescent="0.25">
      <c r="B38" s="17" t="s">
        <v>35</v>
      </c>
      <c r="C38" s="62">
        <f>+[1]Pricing_BEL!$L$34</f>
        <v>-494216.78725635784</v>
      </c>
      <c r="D38" s="62">
        <f>+[5]Pricing_BEL!$L$34</f>
        <v>-494216.78725635784</v>
      </c>
      <c r="E38" s="63">
        <f>+[6]Pricing_BEL!$L$34</f>
        <v>-519335.82839641394</v>
      </c>
      <c r="F38" s="62">
        <f>+[7]Pricing_BEL!$L$34</f>
        <v>-519335.82839641394</v>
      </c>
      <c r="G38" s="62">
        <f>+[8]Pricing_BEL!$L$34</f>
        <v>-519335.82839641394</v>
      </c>
      <c r="H38" s="63">
        <f>+[9]Pricing_BEL!$L$34</f>
        <v>-566135.33868115465</v>
      </c>
      <c r="I38" s="62">
        <f>+[10]Pricing_BEL!$L$34</f>
        <v>-566135.33868115465</v>
      </c>
      <c r="J38" s="62">
        <f>+[11]Pricing_BEL!$L$34</f>
        <v>-566135.33868115465</v>
      </c>
      <c r="K38" s="63">
        <f>+[12]Pricing_BEL!$L$34</f>
        <v>-569709.42809603829</v>
      </c>
      <c r="L38" s="62">
        <f>+[13]Pricing_BEL!$L$34</f>
        <v>-569709.42809603829</v>
      </c>
      <c r="M38" s="62">
        <f>+[14]Pricing_BEL!$L$34</f>
        <v>-569709.42809603829</v>
      </c>
      <c r="N38" s="39"/>
    </row>
    <row r="39" spans="2:26" hidden="1" outlineLevel="1" collapsed="1" x14ac:dyDescent="0.25">
      <c r="B39" s="16" t="s">
        <v>36</v>
      </c>
      <c r="C39" s="62" cm="1">
        <f t="array" ref="C39">+[1]!BEL_31_50</f>
        <v>-970843.48123296374</v>
      </c>
      <c r="D39" s="62" cm="1">
        <f t="array" ref="D39">+[5]!BEL_31_50</f>
        <v>-970843.48123296374</v>
      </c>
      <c r="E39" s="63" cm="1">
        <f t="array" ref="E39">+[6]!BEL_31_50</f>
        <v>-1003173.9594634318</v>
      </c>
      <c r="F39" s="62" cm="1">
        <f t="array" ref="F39">+[7]!BEL_31_50</f>
        <v>-1003173.9594634318</v>
      </c>
      <c r="G39" s="62" cm="1">
        <f t="array" ref="G39">+[8]!BEL_31_50</f>
        <v>-1003173.9594634318</v>
      </c>
      <c r="H39" s="63" cm="1">
        <f t="array" ref="H39">+[9]!BEL_31_50</f>
        <v>-1064764.4852064135</v>
      </c>
      <c r="I39" s="62" cm="1">
        <f t="array" ref="I39">+[10]!BEL_31_50</f>
        <v>-1064764.4852064135</v>
      </c>
      <c r="J39" s="62" cm="1">
        <f t="array" ref="J39">+[11]!BEL_31_50</f>
        <v>-1064764.4852064135</v>
      </c>
      <c r="K39" s="63" cm="1">
        <f t="array" ref="K39">+[12]!BEL_31_50</f>
        <v>-1103319.724361737</v>
      </c>
      <c r="L39" s="62" cm="1">
        <f t="array" ref="L39">+[13]!BEL_31_50</f>
        <v>-1103319.724361737</v>
      </c>
      <c r="M39" s="62" cm="1">
        <f t="array" ref="M39">+[14]!BEL_31_50</f>
        <v>-1103319.724361737</v>
      </c>
      <c r="N39" s="39"/>
      <c r="O39" s="14">
        <f>+C39-SUM(C40:C59)</f>
        <v>0</v>
      </c>
      <c r="P39" s="14">
        <f t="shared" ref="P39:R39" si="15">+D39-SUM(D40:D59)</f>
        <v>0</v>
      </c>
      <c r="Q39" s="14">
        <f t="shared" si="15"/>
        <v>0</v>
      </c>
      <c r="R39" s="14">
        <f t="shared" si="15"/>
        <v>0</v>
      </c>
      <c r="S39" s="14">
        <f t="shared" ref="S39" si="16">+G39-SUM(G40:G59)</f>
        <v>0</v>
      </c>
      <c r="T39" s="14">
        <f t="shared" ref="T39:Z39" si="17">+H39-SUM(H40:H59)</f>
        <v>0</v>
      </c>
      <c r="U39" s="14">
        <f t="shared" si="17"/>
        <v>0</v>
      </c>
      <c r="V39" s="14">
        <f t="shared" si="17"/>
        <v>0</v>
      </c>
      <c r="W39" s="14">
        <f t="shared" si="17"/>
        <v>0</v>
      </c>
      <c r="X39" s="14">
        <f t="shared" si="17"/>
        <v>0</v>
      </c>
      <c r="Y39" s="14">
        <f t="shared" si="17"/>
        <v>0</v>
      </c>
      <c r="Z39" s="14">
        <f t="shared" si="17"/>
        <v>0</v>
      </c>
    </row>
    <row r="40" spans="2:26" hidden="1" outlineLevel="2" x14ac:dyDescent="0.25">
      <c r="B40" s="17" t="s">
        <v>37</v>
      </c>
      <c r="C40" s="62">
        <f>+[1]Pricing_BEL!$L$35</f>
        <v>-281307.04179014836</v>
      </c>
      <c r="D40" s="62">
        <f>+[5]Pricing_BEL!$L$35</f>
        <v>-281307.04179014836</v>
      </c>
      <c r="E40" s="63">
        <f>+[6]Pricing_BEL!$L$35</f>
        <v>-293092.47706498561</v>
      </c>
      <c r="F40" s="62">
        <f>+[7]Pricing_BEL!$L$35</f>
        <v>-293092.47706498561</v>
      </c>
      <c r="G40" s="62">
        <f>+[8]Pricing_BEL!$L$35</f>
        <v>-293092.47706498561</v>
      </c>
      <c r="H40" s="63">
        <f>+[9]Pricing_BEL!$L$35</f>
        <v>-313199.16393291316</v>
      </c>
      <c r="I40" s="62">
        <f>+[10]Pricing_BEL!$L$35</f>
        <v>-313199.16393291316</v>
      </c>
      <c r="J40" s="62">
        <f>+[11]Pricing_BEL!$L$35</f>
        <v>-313199.16393291316</v>
      </c>
      <c r="K40" s="63">
        <f>+[12]Pricing_BEL!$L$35</f>
        <v>-317539.64239183976</v>
      </c>
      <c r="L40" s="62">
        <f>+[13]Pricing_BEL!$L$35</f>
        <v>-317539.64239183976</v>
      </c>
      <c r="M40" s="62">
        <f>+[14]Pricing_BEL!$L$35</f>
        <v>-317539.64239183976</v>
      </c>
      <c r="N40" s="39"/>
    </row>
    <row r="41" spans="2:26" hidden="1" outlineLevel="2" x14ac:dyDescent="0.25">
      <c r="B41" s="17" t="s">
        <v>38</v>
      </c>
      <c r="C41" s="62">
        <f>+[1]Pricing_BEL!$L$36</f>
        <v>-171416.89690077261</v>
      </c>
      <c r="D41" s="62">
        <f>+[5]Pricing_BEL!$L$36</f>
        <v>-171416.89690077261</v>
      </c>
      <c r="E41" s="63">
        <f>+[6]Pricing_BEL!$L$36</f>
        <v>-176065.85845723216</v>
      </c>
      <c r="F41" s="62">
        <f>+[7]Pricing_BEL!$L$36</f>
        <v>-176065.85845723216</v>
      </c>
      <c r="G41" s="62">
        <f>+[8]Pricing_BEL!$L$36</f>
        <v>-176065.85845723216</v>
      </c>
      <c r="H41" s="63">
        <f>+[9]Pricing_BEL!$L$36</f>
        <v>-185208.0783838057</v>
      </c>
      <c r="I41" s="62">
        <f>+[10]Pricing_BEL!$L$36</f>
        <v>-185208.0783838057</v>
      </c>
      <c r="J41" s="62">
        <f>+[11]Pricing_BEL!$L$36</f>
        <v>-185208.0783838057</v>
      </c>
      <c r="K41" s="63">
        <f>+[12]Pricing_BEL!$L$36</f>
        <v>-192894.98187909173</v>
      </c>
      <c r="L41" s="62">
        <f>+[13]Pricing_BEL!$L$36</f>
        <v>-192894.98187909173</v>
      </c>
      <c r="M41" s="62">
        <f>+[14]Pricing_BEL!$L$36</f>
        <v>-192894.98187909173</v>
      </c>
      <c r="N41" s="39"/>
    </row>
    <row r="42" spans="2:26" hidden="1" outlineLevel="2" x14ac:dyDescent="0.25">
      <c r="B42" s="17" t="s">
        <v>39</v>
      </c>
      <c r="C42" s="62">
        <f>+[1]Pricing_BEL!$L$37</f>
        <v>-122010.59837319028</v>
      </c>
      <c r="D42" s="62">
        <f>+[5]Pricing_BEL!$L$37</f>
        <v>-122010.59837319028</v>
      </c>
      <c r="E42" s="63">
        <f>+[6]Pricing_BEL!$L$37</f>
        <v>-125918.26249155083</v>
      </c>
      <c r="F42" s="62">
        <f>+[7]Pricing_BEL!$L$37</f>
        <v>-125918.26249155083</v>
      </c>
      <c r="G42" s="62">
        <f>+[8]Pricing_BEL!$L$37</f>
        <v>-125918.26249155083</v>
      </c>
      <c r="H42" s="63">
        <f>+[9]Pricing_BEL!$L$37</f>
        <v>-132480.29987885413</v>
      </c>
      <c r="I42" s="62">
        <f>+[10]Pricing_BEL!$L$37</f>
        <v>-132480.29987885413</v>
      </c>
      <c r="J42" s="62">
        <f>+[11]Pricing_BEL!$L$37</f>
        <v>-132480.29987885413</v>
      </c>
      <c r="K42" s="63">
        <f>+[12]Pricing_BEL!$L$37</f>
        <v>-142614.28239638775</v>
      </c>
      <c r="L42" s="62">
        <f>+[13]Pricing_BEL!$L$37</f>
        <v>-142614.28239638775</v>
      </c>
      <c r="M42" s="62">
        <f>+[14]Pricing_BEL!$L$37</f>
        <v>-142614.28239638775</v>
      </c>
      <c r="N42" s="39"/>
    </row>
    <row r="43" spans="2:26" hidden="1" outlineLevel="2" x14ac:dyDescent="0.25">
      <c r="B43" s="17" t="s">
        <v>40</v>
      </c>
      <c r="C43" s="62">
        <f>+[1]Pricing_BEL!$L$38</f>
        <v>-102040.15119655791</v>
      </c>
      <c r="D43" s="62">
        <f>+[5]Pricing_BEL!$L$38</f>
        <v>-102040.15119655791</v>
      </c>
      <c r="E43" s="63">
        <f>+[6]Pricing_BEL!$L$38</f>
        <v>-106077.91701313858</v>
      </c>
      <c r="F43" s="62">
        <f>+[7]Pricing_BEL!$L$38</f>
        <v>-106077.91701313858</v>
      </c>
      <c r="G43" s="62">
        <f>+[8]Pricing_BEL!$L$38</f>
        <v>-106077.91701313858</v>
      </c>
      <c r="H43" s="63">
        <f>+[9]Pricing_BEL!$L$38</f>
        <v>-112090.05249232556</v>
      </c>
      <c r="I43" s="62">
        <f>+[10]Pricing_BEL!$L$38</f>
        <v>-112090.05249232556</v>
      </c>
      <c r="J43" s="62">
        <f>+[11]Pricing_BEL!$L$38</f>
        <v>-112090.05249232556</v>
      </c>
      <c r="K43" s="63">
        <f>+[12]Pricing_BEL!$L$38</f>
        <v>-116838.27156748594</v>
      </c>
      <c r="L43" s="62">
        <f>+[13]Pricing_BEL!$L$38</f>
        <v>-116838.27156748594</v>
      </c>
      <c r="M43" s="62">
        <f>+[14]Pricing_BEL!$L$38</f>
        <v>-116838.27156748594</v>
      </c>
      <c r="N43" s="39"/>
    </row>
    <row r="44" spans="2:26" hidden="1" outlineLevel="2" x14ac:dyDescent="0.25">
      <c r="B44" s="17" t="s">
        <v>41</v>
      </c>
      <c r="C44" s="62">
        <f>+[1]Pricing_BEL!$L$39</f>
        <v>-83850.062950062362</v>
      </c>
      <c r="D44" s="62">
        <f>+[5]Pricing_BEL!$L$39</f>
        <v>-83850.062950062362</v>
      </c>
      <c r="E44" s="63">
        <f>+[6]Pricing_BEL!$L$39</f>
        <v>-84939.060421409333</v>
      </c>
      <c r="F44" s="62">
        <f>+[7]Pricing_BEL!$L$39</f>
        <v>-84939.060421409333</v>
      </c>
      <c r="G44" s="62">
        <f>+[8]Pricing_BEL!$L$39</f>
        <v>-84939.060421409333</v>
      </c>
      <c r="H44" s="63">
        <f>+[9]Pricing_BEL!$L$39</f>
        <v>-88715.670038761076</v>
      </c>
      <c r="I44" s="62">
        <f>+[10]Pricing_BEL!$L$39</f>
        <v>-88715.670038761076</v>
      </c>
      <c r="J44" s="62">
        <f>+[11]Pricing_BEL!$L$39</f>
        <v>-88715.670038761076</v>
      </c>
      <c r="K44" s="63">
        <f>+[12]Pricing_BEL!$L$39</f>
        <v>-90608.800692232413</v>
      </c>
      <c r="L44" s="62">
        <f>+[13]Pricing_BEL!$L$39</f>
        <v>-90608.800692232413</v>
      </c>
      <c r="M44" s="62">
        <f>+[14]Pricing_BEL!$L$39</f>
        <v>-90608.800692232413</v>
      </c>
      <c r="N44" s="39"/>
    </row>
    <row r="45" spans="2:26" hidden="1" outlineLevel="2" x14ac:dyDescent="0.25">
      <c r="B45" s="17" t="s">
        <v>42</v>
      </c>
      <c r="C45" s="62">
        <f>+[1]Pricing_BEL!$L$40</f>
        <v>-58208.782723055891</v>
      </c>
      <c r="D45" s="62">
        <f>+[5]Pricing_BEL!$L$40</f>
        <v>-58208.782723055891</v>
      </c>
      <c r="E45" s="63">
        <f>+[6]Pricing_BEL!$L$40</f>
        <v>-59437.809091827345</v>
      </c>
      <c r="F45" s="62">
        <f>+[7]Pricing_BEL!$L$40</f>
        <v>-59437.809091827345</v>
      </c>
      <c r="G45" s="62">
        <f>+[8]Pricing_BEL!$L$40</f>
        <v>-59437.809091827345</v>
      </c>
      <c r="H45" s="63">
        <f>+[9]Pricing_BEL!$L$40</f>
        <v>-62884.756194408306</v>
      </c>
      <c r="I45" s="62">
        <f>+[10]Pricing_BEL!$L$40</f>
        <v>-62884.756194408306</v>
      </c>
      <c r="J45" s="62">
        <f>+[11]Pricing_BEL!$L$40</f>
        <v>-62884.756194408306</v>
      </c>
      <c r="K45" s="63">
        <f>+[12]Pricing_BEL!$L$40</f>
        <v>-66135.162842484206</v>
      </c>
      <c r="L45" s="62">
        <f>+[13]Pricing_BEL!$L$40</f>
        <v>-66135.162842484206</v>
      </c>
      <c r="M45" s="62">
        <f>+[14]Pricing_BEL!$L$40</f>
        <v>-66135.162842484206</v>
      </c>
      <c r="N45" s="39"/>
    </row>
    <row r="46" spans="2:26" hidden="1" outlineLevel="2" x14ac:dyDescent="0.25">
      <c r="B46" s="17" t="s">
        <v>43</v>
      </c>
      <c r="C46" s="62">
        <f>+[1]Pricing_BEL!$L$41</f>
        <v>-42850.997455033634</v>
      </c>
      <c r="D46" s="62">
        <f>+[5]Pricing_BEL!$L$41</f>
        <v>-42850.997455033634</v>
      </c>
      <c r="E46" s="63">
        <f>+[6]Pricing_BEL!$L$41</f>
        <v>-44467.8291646699</v>
      </c>
      <c r="F46" s="62">
        <f>+[7]Pricing_BEL!$L$41</f>
        <v>-44467.8291646699</v>
      </c>
      <c r="G46" s="62">
        <f>+[8]Pricing_BEL!$L$41</f>
        <v>-44467.8291646699</v>
      </c>
      <c r="H46" s="63">
        <f>+[9]Pricing_BEL!$L$41</f>
        <v>-47547.215588404513</v>
      </c>
      <c r="I46" s="62">
        <f>+[10]Pricing_BEL!$L$41</f>
        <v>-47547.215588404513</v>
      </c>
      <c r="J46" s="62">
        <f>+[11]Pricing_BEL!$L$41</f>
        <v>-47547.215588404513</v>
      </c>
      <c r="K46" s="63">
        <f>+[12]Pricing_BEL!$L$41</f>
        <v>-51607.637868723694</v>
      </c>
      <c r="L46" s="62">
        <f>+[13]Pricing_BEL!$L$41</f>
        <v>-51607.637868723694</v>
      </c>
      <c r="M46" s="62">
        <f>+[14]Pricing_BEL!$L$41</f>
        <v>-51607.637868723694</v>
      </c>
      <c r="N46" s="39"/>
    </row>
    <row r="47" spans="2:26" hidden="1" outlineLevel="2" x14ac:dyDescent="0.25">
      <c r="B47" s="17" t="s">
        <v>44</v>
      </c>
      <c r="C47" s="62">
        <f>+[1]Pricing_BEL!$L$42</f>
        <v>-33508.139041651033</v>
      </c>
      <c r="D47" s="62">
        <f>+[5]Pricing_BEL!$L$42</f>
        <v>-33508.139041651033</v>
      </c>
      <c r="E47" s="63">
        <f>+[6]Pricing_BEL!$L$42</f>
        <v>-35712.177915205248</v>
      </c>
      <c r="F47" s="62">
        <f>+[7]Pricing_BEL!$L$42</f>
        <v>-35712.177915205248</v>
      </c>
      <c r="G47" s="62">
        <f>+[8]Pricing_BEL!$L$42</f>
        <v>-35712.177915205248</v>
      </c>
      <c r="H47" s="63">
        <f>+[9]Pricing_BEL!$L$42</f>
        <v>-38818.110421017191</v>
      </c>
      <c r="I47" s="62">
        <f>+[10]Pricing_BEL!$L$42</f>
        <v>-38818.110421017191</v>
      </c>
      <c r="J47" s="62">
        <f>+[11]Pricing_BEL!$L$42</f>
        <v>-38818.110421017191</v>
      </c>
      <c r="K47" s="63">
        <f>+[12]Pricing_BEL!$L$42</f>
        <v>-43333.655950201079</v>
      </c>
      <c r="L47" s="62">
        <f>+[13]Pricing_BEL!$L$42</f>
        <v>-43333.655950201079</v>
      </c>
      <c r="M47" s="62">
        <f>+[14]Pricing_BEL!$L$42</f>
        <v>-43333.655950201079</v>
      </c>
      <c r="N47" s="39"/>
    </row>
    <row r="48" spans="2:26" hidden="1" outlineLevel="2" x14ac:dyDescent="0.25">
      <c r="B48" s="17" t="s">
        <v>45</v>
      </c>
      <c r="C48" s="62">
        <f>+[1]Pricing_BEL!$L$43</f>
        <v>-30631.270322038941</v>
      </c>
      <c r="D48" s="62">
        <f>+[5]Pricing_BEL!$L$43</f>
        <v>-30631.270322038941</v>
      </c>
      <c r="E48" s="63">
        <f>+[6]Pricing_BEL!$L$43</f>
        <v>-32857.085868326561</v>
      </c>
      <c r="F48" s="62">
        <f>+[7]Pricing_BEL!$L$43</f>
        <v>-32857.085868326561</v>
      </c>
      <c r="G48" s="62">
        <f>+[8]Pricing_BEL!$L$43</f>
        <v>-32857.085868326561</v>
      </c>
      <c r="H48" s="63">
        <f>+[9]Pricing_BEL!$L$43</f>
        <v>-35129.278610010668</v>
      </c>
      <c r="I48" s="62">
        <f>+[10]Pricing_BEL!$L$43</f>
        <v>-35129.278610010668</v>
      </c>
      <c r="J48" s="62">
        <f>+[11]Pricing_BEL!$L$43</f>
        <v>-35129.278610010668</v>
      </c>
      <c r="K48" s="63">
        <f>+[12]Pricing_BEL!$L$43</f>
        <v>-36220.615659940639</v>
      </c>
      <c r="L48" s="62">
        <f>+[13]Pricing_BEL!$L$43</f>
        <v>-36220.615659940639</v>
      </c>
      <c r="M48" s="62">
        <f>+[14]Pricing_BEL!$L$43</f>
        <v>-36220.615659940639</v>
      </c>
      <c r="N48" s="39"/>
    </row>
    <row r="49" spans="2:26" hidden="1" outlineLevel="2" x14ac:dyDescent="0.25">
      <c r="B49" s="17" t="s">
        <v>46</v>
      </c>
      <c r="C49" s="62">
        <f>+[1]Pricing_BEL!$L$44</f>
        <v>-25107.345636600981</v>
      </c>
      <c r="D49" s="62">
        <f>+[5]Pricing_BEL!$L$44</f>
        <v>-25107.345636600981</v>
      </c>
      <c r="E49" s="63">
        <f>+[6]Pricing_BEL!$L$44</f>
        <v>-24542.982245016221</v>
      </c>
      <c r="F49" s="62">
        <f>+[7]Pricing_BEL!$L$44</f>
        <v>-24542.982245016221</v>
      </c>
      <c r="G49" s="62">
        <f>+[8]Pricing_BEL!$L$44</f>
        <v>-24542.982245016221</v>
      </c>
      <c r="H49" s="63">
        <f>+[9]Pricing_BEL!$L$44</f>
        <v>-26759.476222749683</v>
      </c>
      <c r="I49" s="62">
        <f>+[10]Pricing_BEL!$L$44</f>
        <v>-26759.476222749683</v>
      </c>
      <c r="J49" s="62">
        <f>+[11]Pricing_BEL!$L$44</f>
        <v>-26759.476222749683</v>
      </c>
      <c r="K49" s="63">
        <f>+[12]Pricing_BEL!$L$44</f>
        <v>-24953.390221700847</v>
      </c>
      <c r="L49" s="62">
        <f>+[13]Pricing_BEL!$L$44</f>
        <v>-24953.390221700847</v>
      </c>
      <c r="M49" s="62">
        <f>+[14]Pricing_BEL!$L$44</f>
        <v>-24953.390221700847</v>
      </c>
      <c r="N49" s="39"/>
    </row>
    <row r="50" spans="2:26" hidden="1" outlineLevel="2" x14ac:dyDescent="0.25">
      <c r="B50" s="17" t="s">
        <v>47</v>
      </c>
      <c r="C50" s="62">
        <f>+[1]Pricing_BEL!$L$45</f>
        <v>-10330.270501460576</v>
      </c>
      <c r="D50" s="62">
        <f>+[5]Pricing_BEL!$L$45</f>
        <v>-10330.270501460576</v>
      </c>
      <c r="E50" s="63">
        <f>+[6]Pricing_BEL!$L$45</f>
        <v>-10297.462700877515</v>
      </c>
      <c r="F50" s="62">
        <f>+[7]Pricing_BEL!$L$45</f>
        <v>-10297.462700877515</v>
      </c>
      <c r="G50" s="62">
        <f>+[8]Pricing_BEL!$L$45</f>
        <v>-10297.462700877515</v>
      </c>
      <c r="H50" s="63">
        <f>+[9]Pricing_BEL!$L$45</f>
        <v>-11284.668532797419</v>
      </c>
      <c r="I50" s="62">
        <f>+[10]Pricing_BEL!$L$45</f>
        <v>-11284.668532797419</v>
      </c>
      <c r="J50" s="62">
        <f>+[11]Pricing_BEL!$L$45</f>
        <v>-11284.668532797419</v>
      </c>
      <c r="K50" s="63">
        <f>+[12]Pricing_BEL!$L$45</f>
        <v>-10492.078134713951</v>
      </c>
      <c r="L50" s="62">
        <f>+[13]Pricing_BEL!$L$45</f>
        <v>-10492.078134713951</v>
      </c>
      <c r="M50" s="62">
        <f>+[14]Pricing_BEL!$L$45</f>
        <v>-10492.078134713951</v>
      </c>
      <c r="N50" s="39"/>
    </row>
    <row r="51" spans="2:26" hidden="1" outlineLevel="2" x14ac:dyDescent="0.25">
      <c r="B51" s="17" t="s">
        <v>48</v>
      </c>
      <c r="C51" s="62">
        <f>+[1]Pricing_BEL!$L$46</f>
        <v>-4345.7647109164582</v>
      </c>
      <c r="D51" s="62">
        <f>+[5]Pricing_BEL!$L$46</f>
        <v>-4345.7647109164582</v>
      </c>
      <c r="E51" s="63">
        <f>+[6]Pricing_BEL!$L$46</f>
        <v>-4395.3899880581157</v>
      </c>
      <c r="F51" s="62">
        <f>+[7]Pricing_BEL!$L$46</f>
        <v>-4395.3899880581157</v>
      </c>
      <c r="G51" s="62">
        <f>+[8]Pricing_BEL!$L$46</f>
        <v>-4395.3899880581157</v>
      </c>
      <c r="H51" s="63">
        <f>+[9]Pricing_BEL!$L$46</f>
        <v>-4821.2716531788337</v>
      </c>
      <c r="I51" s="62">
        <f>+[10]Pricing_BEL!$L$46</f>
        <v>-4821.2716531788337</v>
      </c>
      <c r="J51" s="62">
        <f>+[11]Pricing_BEL!$L$46</f>
        <v>-4821.2716531788337</v>
      </c>
      <c r="K51" s="63">
        <f>+[12]Pricing_BEL!$L$46</f>
        <v>-4543.6780949296535</v>
      </c>
      <c r="L51" s="62">
        <f>+[13]Pricing_BEL!$L$46</f>
        <v>-4543.6780949296535</v>
      </c>
      <c r="M51" s="62">
        <f>+[14]Pricing_BEL!$L$46</f>
        <v>-4543.6780949296535</v>
      </c>
      <c r="N51" s="39"/>
    </row>
    <row r="52" spans="2:26" hidden="1" outlineLevel="2" x14ac:dyDescent="0.25">
      <c r="B52" s="17" t="s">
        <v>49</v>
      </c>
      <c r="C52" s="62">
        <f>+[1]Pricing_BEL!$L$47</f>
        <v>-2247.7539742395365</v>
      </c>
      <c r="D52" s="62">
        <f>+[5]Pricing_BEL!$L$47</f>
        <v>-2247.7539742395365</v>
      </c>
      <c r="E52" s="63">
        <f>+[6]Pricing_BEL!$L$47</f>
        <v>-2316.0393990583561</v>
      </c>
      <c r="F52" s="62">
        <f>+[7]Pricing_BEL!$L$47</f>
        <v>-2316.0393990583561</v>
      </c>
      <c r="G52" s="62">
        <f>+[8]Pricing_BEL!$L$47</f>
        <v>-2316.0393990583561</v>
      </c>
      <c r="H52" s="63">
        <f>+[9]Pricing_BEL!$L$47</f>
        <v>-2515.6841534049013</v>
      </c>
      <c r="I52" s="62">
        <f>+[10]Pricing_BEL!$L$47</f>
        <v>-2515.6841534049013</v>
      </c>
      <c r="J52" s="62">
        <f>+[11]Pricing_BEL!$L$47</f>
        <v>-2515.6841534049013</v>
      </c>
      <c r="K52" s="63">
        <f>+[12]Pricing_BEL!$L$47</f>
        <v>-2397.8156209979516</v>
      </c>
      <c r="L52" s="62">
        <f>+[13]Pricing_BEL!$L$47</f>
        <v>-2397.8156209979516</v>
      </c>
      <c r="M52" s="62">
        <f>+[14]Pricing_BEL!$L$47</f>
        <v>-2397.8156209979516</v>
      </c>
      <c r="N52" s="39"/>
    </row>
    <row r="53" spans="2:26" hidden="1" outlineLevel="2" x14ac:dyDescent="0.25">
      <c r="B53" s="17" t="s">
        <v>50</v>
      </c>
      <c r="C53" s="62">
        <f>+[1]Pricing_BEL!$L$48</f>
        <v>-1370.7656215021145</v>
      </c>
      <c r="D53" s="62">
        <f>+[5]Pricing_BEL!$L$48</f>
        <v>-1370.7656215021145</v>
      </c>
      <c r="E53" s="63">
        <f>+[6]Pricing_BEL!$L$48</f>
        <v>-1396.1147781590391</v>
      </c>
      <c r="F53" s="62">
        <f>+[7]Pricing_BEL!$L$48</f>
        <v>-1396.1147781590391</v>
      </c>
      <c r="G53" s="62">
        <f>+[8]Pricing_BEL!$L$48</f>
        <v>-1396.1147781590391</v>
      </c>
      <c r="H53" s="63">
        <f>+[9]Pricing_BEL!$L$48</f>
        <v>-1503.2522665881791</v>
      </c>
      <c r="I53" s="62">
        <f>+[10]Pricing_BEL!$L$48</f>
        <v>-1503.2522665881791</v>
      </c>
      <c r="J53" s="62">
        <f>+[11]Pricing_BEL!$L$48</f>
        <v>-1503.2522665881791</v>
      </c>
      <c r="K53" s="63">
        <f>+[12]Pricing_BEL!$L$48</f>
        <v>-1431.7947402203922</v>
      </c>
      <c r="L53" s="62">
        <f>+[13]Pricing_BEL!$L$48</f>
        <v>-1431.7947402203922</v>
      </c>
      <c r="M53" s="62">
        <f>+[14]Pricing_BEL!$L$48</f>
        <v>-1431.7947402203922</v>
      </c>
      <c r="N53" s="39"/>
    </row>
    <row r="54" spans="2:26" hidden="1" outlineLevel="2" x14ac:dyDescent="0.25">
      <c r="B54" s="17" t="s">
        <v>51</v>
      </c>
      <c r="C54" s="62">
        <f>+[1]Pricing_BEL!$L$49</f>
        <v>-783.02277338053375</v>
      </c>
      <c r="D54" s="62">
        <f>+[5]Pricing_BEL!$L$49</f>
        <v>-783.02277338053375</v>
      </c>
      <c r="E54" s="63">
        <f>+[6]Pricing_BEL!$L$49</f>
        <v>-806.659245458442</v>
      </c>
      <c r="F54" s="62">
        <f>+[7]Pricing_BEL!$L$49</f>
        <v>-806.659245458442</v>
      </c>
      <c r="G54" s="62">
        <f>+[8]Pricing_BEL!$L$49</f>
        <v>-806.659245458442</v>
      </c>
      <c r="H54" s="63">
        <f>+[9]Pricing_BEL!$L$49</f>
        <v>-875.03512294072141</v>
      </c>
      <c r="I54" s="62">
        <f>+[10]Pricing_BEL!$L$49</f>
        <v>-875.03512294072141</v>
      </c>
      <c r="J54" s="62">
        <f>+[11]Pricing_BEL!$L$49</f>
        <v>-875.03512294072141</v>
      </c>
      <c r="K54" s="63">
        <f>+[12]Pricing_BEL!$L$49</f>
        <v>-835.68506034320978</v>
      </c>
      <c r="L54" s="62">
        <f>+[13]Pricing_BEL!$L$49</f>
        <v>-835.68506034320978</v>
      </c>
      <c r="M54" s="62">
        <f>+[14]Pricing_BEL!$L$49</f>
        <v>-835.68506034320978</v>
      </c>
      <c r="N54" s="39"/>
    </row>
    <row r="55" spans="2:26" hidden="1" outlineLevel="2" x14ac:dyDescent="0.25">
      <c r="B55" s="17" t="s">
        <v>52</v>
      </c>
      <c r="C55" s="62">
        <f>+[1]Pricing_BEL!$L$50</f>
        <v>-439.49065664601306</v>
      </c>
      <c r="D55" s="62">
        <f>+[5]Pricing_BEL!$L$50</f>
        <v>-439.49065664601306</v>
      </c>
      <c r="E55" s="63">
        <f>+[6]Pricing_BEL!$L$50</f>
        <v>-451.39044130132487</v>
      </c>
      <c r="F55" s="62">
        <f>+[7]Pricing_BEL!$L$50</f>
        <v>-451.39044130132487</v>
      </c>
      <c r="G55" s="62">
        <f>+[8]Pricing_BEL!$L$50</f>
        <v>-451.39044130132487</v>
      </c>
      <c r="H55" s="63">
        <f>+[9]Pricing_BEL!$L$50</f>
        <v>-490.34668880642931</v>
      </c>
      <c r="I55" s="62">
        <f>+[10]Pricing_BEL!$L$50</f>
        <v>-490.34668880642931</v>
      </c>
      <c r="J55" s="62">
        <f>+[11]Pricing_BEL!$L$50</f>
        <v>-490.34668880642931</v>
      </c>
      <c r="K55" s="63">
        <f>+[12]Pricing_BEL!$L$50</f>
        <v>-463.48659264325988</v>
      </c>
      <c r="L55" s="62">
        <f>+[13]Pricing_BEL!$L$50</f>
        <v>-463.48659264325988</v>
      </c>
      <c r="M55" s="62">
        <f>+[14]Pricing_BEL!$L$50</f>
        <v>-463.48659264325988</v>
      </c>
      <c r="N55" s="39"/>
    </row>
    <row r="56" spans="2:26" hidden="1" outlineLevel="2" x14ac:dyDescent="0.25">
      <c r="B56" s="17" t="s">
        <v>53</v>
      </c>
      <c r="C56" s="62">
        <f>+[1]Pricing_BEL!$L$51</f>
        <v>-234.21458037811101</v>
      </c>
      <c r="D56" s="62">
        <f>+[5]Pricing_BEL!$L$51</f>
        <v>-234.21458037811101</v>
      </c>
      <c r="E56" s="63">
        <f>+[6]Pricing_BEL!$L$51</f>
        <v>-241.10901589147616</v>
      </c>
      <c r="F56" s="62">
        <f>+[7]Pricing_BEL!$L$51</f>
        <v>-241.10901589147616</v>
      </c>
      <c r="G56" s="62">
        <f>+[8]Pricing_BEL!$L$51</f>
        <v>-241.10901589147616</v>
      </c>
      <c r="H56" s="63">
        <f>+[9]Pricing_BEL!$L$51</f>
        <v>-264.81456325395709</v>
      </c>
      <c r="I56" s="62">
        <f>+[10]Pricing_BEL!$L$51</f>
        <v>-264.81456325395709</v>
      </c>
      <c r="J56" s="62">
        <f>+[11]Pricing_BEL!$L$51</f>
        <v>-264.81456325395709</v>
      </c>
      <c r="K56" s="63">
        <f>+[12]Pricing_BEL!$L$51</f>
        <v>-246.49396421247741</v>
      </c>
      <c r="L56" s="62">
        <f>+[13]Pricing_BEL!$L$51</f>
        <v>-246.49396421247741</v>
      </c>
      <c r="M56" s="62">
        <f>+[14]Pricing_BEL!$L$51</f>
        <v>-246.49396421247741</v>
      </c>
      <c r="N56" s="39"/>
    </row>
    <row r="57" spans="2:26" hidden="1" outlineLevel="2" x14ac:dyDescent="0.25">
      <c r="B57" s="17" t="s">
        <v>54</v>
      </c>
      <c r="C57" s="62">
        <f>+[1]Pricing_BEL!$L$52</f>
        <v>-108.71119017222405</v>
      </c>
      <c r="D57" s="62">
        <f>+[5]Pricing_BEL!$L$52</f>
        <v>-108.71119017222405</v>
      </c>
      <c r="E57" s="63">
        <f>+[6]Pricing_BEL!$L$52</f>
        <v>-108.3669233012069</v>
      </c>
      <c r="F57" s="62">
        <f>+[7]Pricing_BEL!$L$52</f>
        <v>-108.3669233012069</v>
      </c>
      <c r="G57" s="62">
        <f>+[8]Pricing_BEL!$L$52</f>
        <v>-108.3669233012069</v>
      </c>
      <c r="H57" s="63">
        <f>+[9]Pricing_BEL!$L$52</f>
        <v>-122.74125710355435</v>
      </c>
      <c r="I57" s="62">
        <f>+[10]Pricing_BEL!$L$52</f>
        <v>-122.74125710355435</v>
      </c>
      <c r="J57" s="62">
        <f>+[11]Pricing_BEL!$L$52</f>
        <v>-122.74125710355435</v>
      </c>
      <c r="K57" s="63">
        <f>+[12]Pricing_BEL!$L$52</f>
        <v>-113.113168720899</v>
      </c>
      <c r="L57" s="62">
        <f>+[13]Pricing_BEL!$L$52</f>
        <v>-113.113168720899</v>
      </c>
      <c r="M57" s="62">
        <f>+[14]Pricing_BEL!$L$52</f>
        <v>-113.113168720899</v>
      </c>
      <c r="N57" s="39"/>
    </row>
    <row r="58" spans="2:26" hidden="1" outlineLevel="2" x14ac:dyDescent="0.25">
      <c r="B58" s="17" t="s">
        <v>55</v>
      </c>
      <c r="C58" s="62">
        <f>+[1]Pricing_BEL!$L$53</f>
        <v>-41.184322737764781</v>
      </c>
      <c r="D58" s="62">
        <f>+[5]Pricing_BEL!$L$53</f>
        <v>-41.184322737764781</v>
      </c>
      <c r="E58" s="63">
        <f>+[6]Pricing_BEL!$L$53</f>
        <v>-39.986952229971827</v>
      </c>
      <c r="F58" s="62">
        <f>+[7]Pricing_BEL!$L$53</f>
        <v>-39.986952229971827</v>
      </c>
      <c r="G58" s="62">
        <f>+[8]Pricing_BEL!$L$53</f>
        <v>-39.986952229971827</v>
      </c>
      <c r="H58" s="63">
        <f>+[9]Pricing_BEL!$L$53</f>
        <v>-43.200758370612327</v>
      </c>
      <c r="I58" s="62">
        <f>+[10]Pricing_BEL!$L$53</f>
        <v>-43.200758370612327</v>
      </c>
      <c r="J58" s="62">
        <f>+[11]Pricing_BEL!$L$53</f>
        <v>-43.200758370612327</v>
      </c>
      <c r="K58" s="63">
        <f>+[12]Pricing_BEL!$L$53</f>
        <v>-38.976195360878997</v>
      </c>
      <c r="L58" s="62">
        <f>+[13]Pricing_BEL!$L$53</f>
        <v>-38.976195360878997</v>
      </c>
      <c r="M58" s="62">
        <f>+[14]Pricing_BEL!$L$53</f>
        <v>-38.976195360878997</v>
      </c>
      <c r="N58" s="39"/>
    </row>
    <row r="59" spans="2:26" hidden="1" outlineLevel="2" x14ac:dyDescent="0.25">
      <c r="B59" s="17" t="s">
        <v>56</v>
      </c>
      <c r="C59" s="62">
        <f>+[1]Pricing_BEL!$L$54</f>
        <v>-11.016512418472226</v>
      </c>
      <c r="D59" s="62">
        <f>+[5]Pricing_BEL!$L$54</f>
        <v>-11.016512418472226</v>
      </c>
      <c r="E59" s="63">
        <f>+[6]Pricing_BEL!$L$54</f>
        <v>-9.9802857346089286</v>
      </c>
      <c r="F59" s="62">
        <f>+[7]Pricing_BEL!$L$54</f>
        <v>-9.9802857346089286</v>
      </c>
      <c r="G59" s="62">
        <f>+[8]Pricing_BEL!$L$54</f>
        <v>-9.9802857346089286</v>
      </c>
      <c r="H59" s="63">
        <f>+[9]Pricing_BEL!$L$54</f>
        <v>-11.36844671892011</v>
      </c>
      <c r="I59" s="62">
        <f>+[10]Pricing_BEL!$L$54</f>
        <v>-11.36844671892011</v>
      </c>
      <c r="J59" s="62">
        <f>+[11]Pricing_BEL!$L$54</f>
        <v>-11.36844671892011</v>
      </c>
      <c r="K59" s="63">
        <f>+[12]Pricing_BEL!$L$54</f>
        <v>-10.161319506247931</v>
      </c>
      <c r="L59" s="62">
        <f>+[13]Pricing_BEL!$L$54</f>
        <v>-10.161319506247931</v>
      </c>
      <c r="M59" s="62">
        <f>+[14]Pricing_BEL!$L$54</f>
        <v>-10.161319506247931</v>
      </c>
      <c r="N59" s="39"/>
    </row>
    <row r="60" spans="2:26" collapsed="1" x14ac:dyDescent="0.25">
      <c r="B60" s="13" t="s">
        <v>57</v>
      </c>
      <c r="C60" s="62">
        <f>+SUM([1]Result!$C$5:$C$54)</f>
        <v>-978171986.96353614</v>
      </c>
      <c r="D60" s="62">
        <f>+SUM([5]Result!$C$5:$C$54)</f>
        <v>-981200429.49091113</v>
      </c>
      <c r="E60" s="63">
        <f>+SUM([6]Result!$C$5:$C$54)</f>
        <v>-1011413882.4312611</v>
      </c>
      <c r="F60" s="62">
        <f>+SUM([7]Result!$C$5:$C$54)</f>
        <v>-1018258463.2114347</v>
      </c>
      <c r="G60" s="62">
        <f>+SUM([8]Result!$C$5:$C$54)</f>
        <v>-1016355020.9103098</v>
      </c>
      <c r="H60" s="63">
        <f>+SUM([9]Result!$C$5:$C$54)</f>
        <v>-983378546.93547118</v>
      </c>
      <c r="I60" s="62">
        <f>+SUM([10]Result!$C$5:$C$54)</f>
        <v>-981155540.74945152</v>
      </c>
      <c r="J60" s="62">
        <f>+SUM([11]Result!$C$5:$C$54)</f>
        <v>-981579726.14440536</v>
      </c>
      <c r="K60" s="63">
        <f>+SUM([12]Result!$C$5:$C$54)</f>
        <v>-983392715.7042501</v>
      </c>
      <c r="L60" s="62">
        <f>+SUM([13]Result!$C$5:$C$54)</f>
        <v>-984206589.0158757</v>
      </c>
      <c r="M60" s="62">
        <f>+SUM([14]Result!$C$5:$C$54)</f>
        <v>-981958764.92923605</v>
      </c>
      <c r="N60" s="39"/>
      <c r="O60" s="14">
        <f>+C60-(C61+C67+C73+C84+C95)</f>
        <v>0</v>
      </c>
      <c r="P60" s="14">
        <f t="shared" ref="P60:R60" si="18">+D60-(D61+D67+D73+D84+D95)</f>
        <v>0</v>
      </c>
      <c r="Q60" s="14">
        <f t="shared" si="18"/>
        <v>0</v>
      </c>
      <c r="R60" s="14">
        <f t="shared" si="18"/>
        <v>0</v>
      </c>
      <c r="S60" s="14">
        <f t="shared" ref="S60" si="19">+G60-(G61+G67+G73+G84+G95)</f>
        <v>0</v>
      </c>
      <c r="T60" s="14">
        <f t="shared" ref="T60:Z60" si="20">+H60-(H61+H67+H73+H84+H95)</f>
        <v>0</v>
      </c>
      <c r="U60" s="14">
        <f t="shared" si="20"/>
        <v>0</v>
      </c>
      <c r="V60" s="14">
        <f t="shared" si="20"/>
        <v>0</v>
      </c>
      <c r="W60" s="14">
        <f t="shared" si="20"/>
        <v>0</v>
      </c>
      <c r="X60" s="14">
        <f t="shared" si="20"/>
        <v>0</v>
      </c>
      <c r="Y60" s="14">
        <f t="shared" si="20"/>
        <v>0</v>
      </c>
      <c r="Z60" s="14">
        <f t="shared" si="20"/>
        <v>0</v>
      </c>
    </row>
    <row r="61" spans="2:26" hidden="1" outlineLevel="1" x14ac:dyDescent="0.25">
      <c r="B61" s="16" t="s">
        <v>2</v>
      </c>
      <c r="C61" s="62" cm="1">
        <f t="array" ref="C61">+[1]!PV_1_5</f>
        <v>-822605303.34840965</v>
      </c>
      <c r="D61" s="62" cm="1">
        <f t="array" ref="D61">+[5]!PV_1_5</f>
        <v>-824185048.74982357</v>
      </c>
      <c r="E61" s="63" cm="1">
        <f t="array" ref="E61">+[6]!PV_1_5</f>
        <v>-865398320.5344981</v>
      </c>
      <c r="F61" s="62" cm="1">
        <f t="array" ref="F61">+[7]!PV_1_5</f>
        <v>-869000150.87221885</v>
      </c>
      <c r="G61" s="62" cm="1">
        <f t="array" ref="G61">+[8]!PV_1_5</f>
        <v>-868395669.07064998</v>
      </c>
      <c r="H61" s="63" cm="1">
        <f t="array" ref="H61">+[9]!PV_1_5</f>
        <v>-836248778.02859414</v>
      </c>
      <c r="I61" s="62" cm="1">
        <f t="array" ref="I61">+[10]!PV_1_5</f>
        <v>-835138260.36864519</v>
      </c>
      <c r="J61" s="62" cm="1">
        <f t="array" ref="J61">+[11]!PV_1_5</f>
        <v>-835601513.55952179</v>
      </c>
      <c r="K61" s="63" cm="1">
        <f t="array" ref="K61">+[12]!PV_1_5</f>
        <v>-836430509.85940611</v>
      </c>
      <c r="L61" s="62" cm="1">
        <f t="array" ref="L61">+[13]!PV_1_5</f>
        <v>-836780542.51725864</v>
      </c>
      <c r="M61" s="62" cm="1">
        <f t="array" ref="M61">+[14]!PV_1_5</f>
        <v>-836237930.40588617</v>
      </c>
      <c r="N61" s="39"/>
      <c r="O61" s="14">
        <f>+C61-SUM(C62:C66)</f>
        <v>0</v>
      </c>
      <c r="P61" s="14">
        <f t="shared" ref="P61:R61" si="21">+D61-SUM(D62:D66)</f>
        <v>0</v>
      </c>
      <c r="Q61" s="14">
        <f t="shared" si="21"/>
        <v>0</v>
      </c>
      <c r="R61" s="14">
        <f t="shared" si="21"/>
        <v>0</v>
      </c>
      <c r="S61" s="14">
        <f t="shared" ref="S61" si="22">+G61-SUM(G62:G66)</f>
        <v>0</v>
      </c>
      <c r="T61" s="14">
        <f t="shared" ref="T61:Z61" si="23">+H61-SUM(H62:H66)</f>
        <v>0</v>
      </c>
      <c r="U61" s="14">
        <f t="shared" si="23"/>
        <v>0</v>
      </c>
      <c r="V61" s="14">
        <f t="shared" si="23"/>
        <v>0</v>
      </c>
      <c r="W61" s="14">
        <f t="shared" si="23"/>
        <v>0</v>
      </c>
      <c r="X61" s="14">
        <f t="shared" si="23"/>
        <v>0</v>
      </c>
      <c r="Y61" s="14">
        <f t="shared" si="23"/>
        <v>0</v>
      </c>
      <c r="Z61" s="14">
        <f t="shared" si="23"/>
        <v>0</v>
      </c>
    </row>
    <row r="62" spans="2:26" hidden="1" outlineLevel="2" x14ac:dyDescent="0.25">
      <c r="B62" s="17" t="s">
        <v>3</v>
      </c>
      <c r="C62" s="62">
        <f>+[1]Result!$C$5</f>
        <v>-406157627.42051959</v>
      </c>
      <c r="D62" s="62">
        <f>+[5]Result!$C$5</f>
        <v>-406460348.649409</v>
      </c>
      <c r="E62" s="63">
        <f>+[6]Result!$C$5</f>
        <v>-407456305.20932937</v>
      </c>
      <c r="F62" s="62">
        <f>+[7]Result!$C$5</f>
        <v>-408020287.7236163</v>
      </c>
      <c r="G62" s="62">
        <f>+[8]Result!$C$5</f>
        <v>-407988541.94369066</v>
      </c>
      <c r="H62" s="63">
        <f>+[9]Result!$C$5</f>
        <v>-370720587.77618015</v>
      </c>
      <c r="I62" s="62">
        <f>+[10]Result!$C$5</f>
        <v>-370598142.34710336</v>
      </c>
      <c r="J62" s="62">
        <f>+[11]Result!$C$5</f>
        <v>-370614338.98212355</v>
      </c>
      <c r="K62" s="63">
        <f>+[12]Result!$C$5</f>
        <v>-350739330.38610649</v>
      </c>
      <c r="L62" s="62">
        <f>+[13]Result!$C$5</f>
        <v>-350730822.25284928</v>
      </c>
      <c r="M62" s="62">
        <f>+[14]Result!$C$5</f>
        <v>-350710406.13495123</v>
      </c>
      <c r="N62" s="39"/>
    </row>
    <row r="63" spans="2:26" hidden="1" outlineLevel="2" x14ac:dyDescent="0.25">
      <c r="B63" s="17" t="s">
        <v>4</v>
      </c>
      <c r="C63" s="62">
        <f>+[1]Result!$C$6</f>
        <v>-214342424.02024883</v>
      </c>
      <c r="D63" s="62">
        <f>+[5]Result!$C$6</f>
        <v>-214769900.22254267</v>
      </c>
      <c r="E63" s="63">
        <f>+[6]Result!$C$6</f>
        <v>-253850073.98798481</v>
      </c>
      <c r="F63" s="62">
        <f>+[7]Result!$C$6</f>
        <v>-254965386.93674061</v>
      </c>
      <c r="G63" s="62">
        <f>+[8]Result!$C$6</f>
        <v>-254808702.85593623</v>
      </c>
      <c r="H63" s="63">
        <f>+[9]Result!$C$6</f>
        <v>-260591402.3017914</v>
      </c>
      <c r="I63" s="62">
        <f>+[10]Result!$C$6</f>
        <v>-260255804.06464103</v>
      </c>
      <c r="J63" s="62">
        <f>+[11]Result!$C$6</f>
        <v>-260365970.13590339</v>
      </c>
      <c r="K63" s="63">
        <f>+[12]Result!$C$6</f>
        <v>-269509194.12749141</v>
      </c>
      <c r="L63" s="62">
        <f>+[13]Result!$C$6</f>
        <v>-269583570.81120718</v>
      </c>
      <c r="M63" s="62">
        <f>+[14]Result!$C$6</f>
        <v>-269455156.89439327</v>
      </c>
      <c r="N63" s="39"/>
    </row>
    <row r="64" spans="2:26" hidden="1" outlineLevel="2" x14ac:dyDescent="0.25">
      <c r="B64" s="17" t="s">
        <v>5</v>
      </c>
      <c r="C64" s="62">
        <f>+[1]Result!$C$7</f>
        <v>-104531979.96334508</v>
      </c>
      <c r="D64" s="62">
        <f>+[5]Result!$C$7</f>
        <v>-104885840.65743843</v>
      </c>
      <c r="E64" s="63">
        <f>+[6]Result!$C$7</f>
        <v>-105565821.75520958</v>
      </c>
      <c r="F64" s="62">
        <f>+[7]Result!$C$7</f>
        <v>-106351266.2647834</v>
      </c>
      <c r="G64" s="62">
        <f>+[8]Result!$C$7</f>
        <v>-106195706.67872909</v>
      </c>
      <c r="H64" s="63">
        <f>+[9]Result!$C$7</f>
        <v>-105528194.18059124</v>
      </c>
      <c r="I64" s="62">
        <f>+[10]Result!$C$7</f>
        <v>-105261835.85019356</v>
      </c>
      <c r="J64" s="62">
        <f>+[11]Result!$C$7</f>
        <v>-105392868.39997682</v>
      </c>
      <c r="K64" s="63">
        <f>+[12]Result!$C$7</f>
        <v>-113593171.50073127</v>
      </c>
      <c r="L64" s="62">
        <f>+[13]Result!$C$7</f>
        <v>-113695754.43948658</v>
      </c>
      <c r="M64" s="62">
        <f>+[14]Result!$C$7</f>
        <v>-113561528.59903578</v>
      </c>
      <c r="N64" s="39"/>
    </row>
    <row r="65" spans="2:26" hidden="1" outlineLevel="2" x14ac:dyDescent="0.25">
      <c r="B65" s="17" t="s">
        <v>6</v>
      </c>
      <c r="C65" s="62">
        <f>+[1]Result!$C$8</f>
        <v>-57099478.882479854</v>
      </c>
      <c r="D65" s="62">
        <f>+[5]Result!$C$8</f>
        <v>-57364379.304232955</v>
      </c>
      <c r="E65" s="63">
        <f>+[6]Result!$C$8</f>
        <v>-58380546.355761454</v>
      </c>
      <c r="F65" s="62">
        <f>+[7]Result!$C$8</f>
        <v>-58984184.081899561</v>
      </c>
      <c r="G65" s="62">
        <f>+[8]Result!$C$8</f>
        <v>-58848943.098917149</v>
      </c>
      <c r="H65" s="63">
        <f>+[9]Result!$C$8</f>
        <v>-58815075.16132959</v>
      </c>
      <c r="I65" s="62">
        <f>+[10]Result!$C$8</f>
        <v>-58606910.374663688</v>
      </c>
      <c r="J65" s="62">
        <f>+[11]Result!$C$8</f>
        <v>-58720788.467526004</v>
      </c>
      <c r="K65" s="63">
        <f>+[12]Result!$C$8</f>
        <v>-61206229.188557744</v>
      </c>
      <c r="L65" s="62">
        <f>+[13]Result!$C$8</f>
        <v>-61299226.278193384</v>
      </c>
      <c r="M65" s="62">
        <f>+[14]Result!$C$8</f>
        <v>-61173756.419615656</v>
      </c>
      <c r="N65" s="39"/>
    </row>
    <row r="66" spans="2:26" hidden="1" outlineLevel="2" x14ac:dyDescent="0.25">
      <c r="B66" s="17" t="s">
        <v>7</v>
      </c>
      <c r="C66" s="62">
        <f>+[1]Result!$C$9</f>
        <v>-40473793.06181626</v>
      </c>
      <c r="D66" s="62">
        <f>+[5]Result!$C$9</f>
        <v>-40704579.916200504</v>
      </c>
      <c r="E66" s="63">
        <f>+[6]Result!$C$9</f>
        <v>-40145573.226212926</v>
      </c>
      <c r="F66" s="62">
        <f>+[7]Result!$C$9</f>
        <v>-40679025.865179092</v>
      </c>
      <c r="G66" s="62">
        <f>+[8]Result!$C$9</f>
        <v>-40553774.493376926</v>
      </c>
      <c r="H66" s="63">
        <f>+[9]Result!$C$9</f>
        <v>-40593518.608701654</v>
      </c>
      <c r="I66" s="62">
        <f>+[10]Result!$C$9</f>
        <v>-40415567.732043639</v>
      </c>
      <c r="J66" s="62">
        <f>+[11]Result!$C$9</f>
        <v>-40507547.573992021</v>
      </c>
      <c r="K66" s="63">
        <f>+[12]Result!$C$9</f>
        <v>-41382584.656519152</v>
      </c>
      <c r="L66" s="62">
        <f>+[13]Result!$C$9</f>
        <v>-41471168.73552224</v>
      </c>
      <c r="M66" s="62">
        <f>+[14]Result!$C$9</f>
        <v>-41337082.3578903</v>
      </c>
      <c r="N66" s="39"/>
    </row>
    <row r="67" spans="2:26" hidden="1" outlineLevel="1" collapsed="1" x14ac:dyDescent="0.25">
      <c r="B67" s="16" t="s">
        <v>8</v>
      </c>
      <c r="C67" s="62" cm="1">
        <f t="array" ref="C67">+[1]!PV_6_10</f>
        <v>-101128907.86610332</v>
      </c>
      <c r="D67" s="62" cm="1">
        <f t="array" ref="D67">+[5]!PV_6_10</f>
        <v>-101918579.08596408</v>
      </c>
      <c r="E67" s="63" cm="1">
        <f t="array" ref="E67">+[6]!PV_6_10</f>
        <v>-97596835.402849719</v>
      </c>
      <c r="F67" s="62" cm="1">
        <f t="array" ref="F67">+[7]!PV_6_10</f>
        <v>-99386523.101632982</v>
      </c>
      <c r="G67" s="62" cm="1">
        <f t="array" ref="G67">+[8]!PV_6_10</f>
        <v>-98890163.214597732</v>
      </c>
      <c r="H67" s="63" cm="1">
        <f t="array" ref="H67">+[9]!PV_6_10</f>
        <v>-98912486.66653809</v>
      </c>
      <c r="I67" s="62" cm="1">
        <f t="array" ref="I67">+[10]!PV_6_10</f>
        <v>-98340399.846246138</v>
      </c>
      <c r="J67" s="62" cm="1">
        <f t="array" ref="J67">+[11]!PV_6_10</f>
        <v>-98554744.22026138</v>
      </c>
      <c r="K67" s="63" cm="1">
        <f t="array" ref="K67">+[12]!PV_6_10</f>
        <v>-98754847.848336682</v>
      </c>
      <c r="L67" s="62" cm="1">
        <f t="array" ref="L67">+[13]!PV_6_10</f>
        <v>-99064851.590113238</v>
      </c>
      <c r="M67" s="62" cm="1">
        <f t="array" ref="M67">+[14]!PV_6_10</f>
        <v>-98393620.446320489</v>
      </c>
      <c r="N67" s="39"/>
      <c r="O67" s="14">
        <f>+C67-SUM(C68:C72)</f>
        <v>0</v>
      </c>
      <c r="P67" s="14">
        <f t="shared" ref="P67:R67" si="24">+D67-SUM(D68:D72)</f>
        <v>0</v>
      </c>
      <c r="Q67" s="14">
        <f t="shared" si="24"/>
        <v>0</v>
      </c>
      <c r="R67" s="14">
        <f t="shared" si="24"/>
        <v>0</v>
      </c>
      <c r="S67" s="14">
        <f t="shared" ref="S67" si="25">+G67-SUM(G68:G72)</f>
        <v>0</v>
      </c>
      <c r="T67" s="14">
        <f t="shared" ref="T67:Z67" si="26">+H67-SUM(H68:H72)</f>
        <v>0</v>
      </c>
      <c r="U67" s="14">
        <f t="shared" si="26"/>
        <v>0</v>
      </c>
      <c r="V67" s="14">
        <f t="shared" si="26"/>
        <v>0</v>
      </c>
      <c r="W67" s="14">
        <f t="shared" si="26"/>
        <v>0</v>
      </c>
      <c r="X67" s="14">
        <f t="shared" si="26"/>
        <v>0</v>
      </c>
      <c r="Y67" s="14">
        <f t="shared" si="26"/>
        <v>0</v>
      </c>
      <c r="Z67" s="14">
        <f t="shared" si="26"/>
        <v>0</v>
      </c>
    </row>
    <row r="68" spans="2:26" hidden="1" outlineLevel="2" x14ac:dyDescent="0.25">
      <c r="B68" s="17" t="s">
        <v>9</v>
      </c>
      <c r="C68" s="62">
        <f>+[1]Result!$C$10</f>
        <v>-31334600.843931548</v>
      </c>
      <c r="D68" s="62">
        <f>+[5]Result!$C$10</f>
        <v>-31551581.315808576</v>
      </c>
      <c r="E68" s="63">
        <f>+[6]Result!$C$10</f>
        <v>-30710093.721975312</v>
      </c>
      <c r="F68" s="62">
        <f>+[7]Result!$C$10</f>
        <v>-31196670.094101746</v>
      </c>
      <c r="G68" s="62">
        <f>+[8]Result!$C$10</f>
        <v>-31077576.048749566</v>
      </c>
      <c r="H68" s="63">
        <f>+[9]Result!$C$10</f>
        <v>-30964354.156462595</v>
      </c>
      <c r="I68" s="62">
        <f>+[10]Result!$C$10</f>
        <v>-30806358.863499515</v>
      </c>
      <c r="J68" s="62">
        <f>+[11]Result!$C$10</f>
        <v>-30882173.297670413</v>
      </c>
      <c r="K68" s="63">
        <f>+[12]Result!$C$10</f>
        <v>-31094481.820361163</v>
      </c>
      <c r="L68" s="62">
        <f>+[13]Result!$C$10</f>
        <v>-31178079.073664788</v>
      </c>
      <c r="M68" s="62">
        <f>+[14]Result!$C$10</f>
        <v>-31032791.374937251</v>
      </c>
      <c r="N68" s="39"/>
    </row>
    <row r="69" spans="2:26" hidden="1" outlineLevel="2" x14ac:dyDescent="0.25">
      <c r="B69" s="17" t="s">
        <v>10</v>
      </c>
      <c r="C69" s="62">
        <f>+[1]Result!$C$11</f>
        <v>-24121279.795468491</v>
      </c>
      <c r="D69" s="62">
        <f>+[5]Result!$C$11</f>
        <v>-24303703.492700286</v>
      </c>
      <c r="E69" s="63">
        <f>+[6]Result!$C$11</f>
        <v>-23538600.609099794</v>
      </c>
      <c r="F69" s="62">
        <f>+[7]Result!$C$11</f>
        <v>-23956179.3367645</v>
      </c>
      <c r="G69" s="62">
        <f>+[8]Result!$C$11</f>
        <v>-23847611.012576174</v>
      </c>
      <c r="H69" s="63">
        <f>+[9]Result!$C$11</f>
        <v>-23864838.140046805</v>
      </c>
      <c r="I69" s="62">
        <f>+[10]Result!$C$11</f>
        <v>-23733141.736575015</v>
      </c>
      <c r="J69" s="62">
        <f>+[11]Result!$C$11</f>
        <v>-23791548.064097878</v>
      </c>
      <c r="K69" s="63">
        <f>+[12]Result!$C$11</f>
        <v>-23886004.749120846</v>
      </c>
      <c r="L69" s="62">
        <f>+[13]Result!$C$11</f>
        <v>-23958645.985593263</v>
      </c>
      <c r="M69" s="62">
        <f>+[14]Result!$C$11</f>
        <v>-23813760.033850651</v>
      </c>
      <c r="N69" s="39"/>
    </row>
    <row r="70" spans="2:26" hidden="1" outlineLevel="2" x14ac:dyDescent="0.25">
      <c r="B70" s="17" t="s">
        <v>11</v>
      </c>
      <c r="C70" s="62">
        <f>+[1]Result!$C$12</f>
        <v>-18751822.072159898</v>
      </c>
      <c r="D70" s="62">
        <f>+[5]Result!$C$12</f>
        <v>-18900604.606831633</v>
      </c>
      <c r="E70" s="63">
        <f>+[6]Result!$C$12</f>
        <v>-18178263.17677144</v>
      </c>
      <c r="F70" s="62">
        <f>+[7]Result!$C$12</f>
        <v>-18529863.37190662</v>
      </c>
      <c r="G70" s="62">
        <f>+[8]Result!$C$12</f>
        <v>-18431558.476244681</v>
      </c>
      <c r="H70" s="63">
        <f>+[9]Result!$C$12</f>
        <v>-18508641.194475058</v>
      </c>
      <c r="I70" s="62">
        <f>+[10]Result!$C$12</f>
        <v>-18399416.489268858</v>
      </c>
      <c r="J70" s="62">
        <f>+[11]Result!$C$12</f>
        <v>-18440906.007074829</v>
      </c>
      <c r="K70" s="63">
        <f>+[12]Result!$C$12</f>
        <v>-18483219.444327764</v>
      </c>
      <c r="L70" s="62">
        <f>+[13]Result!$C$12</f>
        <v>-18544088.3759523</v>
      </c>
      <c r="M70" s="62">
        <f>+[14]Result!$C$12</f>
        <v>-18407424.035900567</v>
      </c>
      <c r="N70" s="39"/>
    </row>
    <row r="71" spans="2:26" hidden="1" outlineLevel="2" x14ac:dyDescent="0.25">
      <c r="B71" s="17" t="s">
        <v>12</v>
      </c>
      <c r="C71" s="62">
        <f>+[1]Result!$C$13</f>
        <v>-14602667.511427339</v>
      </c>
      <c r="D71" s="62">
        <f>+[5]Result!$C$13</f>
        <v>-14724272.025630783</v>
      </c>
      <c r="E71" s="63">
        <f>+[6]Result!$C$13</f>
        <v>-13578116.42511081</v>
      </c>
      <c r="F71" s="62">
        <f>+[7]Result!$C$13</f>
        <v>-13860560.027828779</v>
      </c>
      <c r="G71" s="62">
        <f>+[8]Result!$C$13</f>
        <v>-13774478.163747534</v>
      </c>
      <c r="H71" s="63">
        <f>+[9]Result!$C$13</f>
        <v>-13721349.057034651</v>
      </c>
      <c r="I71" s="62">
        <f>+[10]Result!$C$13</f>
        <v>-13634756.153772444</v>
      </c>
      <c r="J71" s="62">
        <f>+[11]Result!$C$13</f>
        <v>-13659385.269172125</v>
      </c>
      <c r="K71" s="63">
        <f>+[12]Result!$C$13</f>
        <v>-13618501.844860042</v>
      </c>
      <c r="L71" s="62">
        <f>+[13]Result!$C$13</f>
        <v>-13667058.739564016</v>
      </c>
      <c r="M71" s="62">
        <f>+[14]Result!$C$13</f>
        <v>-13546907.273305647</v>
      </c>
      <c r="N71" s="39"/>
    </row>
    <row r="72" spans="2:26" hidden="1" outlineLevel="2" x14ac:dyDescent="0.25">
      <c r="B72" s="17" t="s">
        <v>13</v>
      </c>
      <c r="C72" s="62">
        <f>+[1]Result!$C$14</f>
        <v>-12318537.643116049</v>
      </c>
      <c r="D72" s="62">
        <f>+[5]Result!$C$14</f>
        <v>-12438417.644992815</v>
      </c>
      <c r="E72" s="63">
        <f>+[6]Result!$C$14</f>
        <v>-11591761.469892373</v>
      </c>
      <c r="F72" s="62">
        <f>+[7]Result!$C$14</f>
        <v>-11843250.271031342</v>
      </c>
      <c r="G72" s="62">
        <f>+[8]Result!$C$14</f>
        <v>-11758939.513279777</v>
      </c>
      <c r="H72" s="63">
        <f>+[9]Result!$C$14</f>
        <v>-11853304.118518984</v>
      </c>
      <c r="I72" s="62">
        <f>+[10]Result!$C$14</f>
        <v>-11766726.603130316</v>
      </c>
      <c r="J72" s="62">
        <f>+[11]Result!$C$14</f>
        <v>-11780731.582246138</v>
      </c>
      <c r="K72" s="63">
        <f>+[12]Result!$C$14</f>
        <v>-11672639.989666861</v>
      </c>
      <c r="L72" s="62">
        <f>+[13]Result!$C$14</f>
        <v>-11716979.415338874</v>
      </c>
      <c r="M72" s="62">
        <f>+[14]Result!$C$14</f>
        <v>-11592737.728326367</v>
      </c>
      <c r="N72" s="39"/>
    </row>
    <row r="73" spans="2:26" hidden="1" outlineLevel="1" collapsed="1" x14ac:dyDescent="0.25">
      <c r="B73" s="16" t="s">
        <v>14</v>
      </c>
      <c r="C73" s="62" cm="1">
        <f t="array" ref="C73">+[1]!PV_11_20</f>
        <v>-46311212.354559712</v>
      </c>
      <c r="D73" s="62" cm="1">
        <f t="array" ref="D73">+[5]!PV_11_20</f>
        <v>-46787577.245026223</v>
      </c>
      <c r="E73" s="63" cm="1">
        <f t="array" ref="E73">+[6]!PV_11_20</f>
        <v>-41053306.833920009</v>
      </c>
      <c r="F73" s="62" cm="1">
        <f t="array" ref="F73">+[7]!PV_11_20</f>
        <v>-42235778.55637157</v>
      </c>
      <c r="G73" s="62" cm="1">
        <f t="array" ref="G73">+[8]!PV_11_20</f>
        <v>-41677396.177332215</v>
      </c>
      <c r="H73" s="63" cm="1">
        <f t="array" ref="H73">+[9]!PV_11_20</f>
        <v>-41076197.47212813</v>
      </c>
      <c r="I73" s="62" cm="1">
        <f t="array" ref="I73">+[10]!PV_11_20</f>
        <v>-40661134.607776642</v>
      </c>
      <c r="J73" s="62" cm="1">
        <f t="array" ref="J73">+[11]!PV_11_20</f>
        <v>-40525022.985613562</v>
      </c>
      <c r="K73" s="63" cm="1">
        <f t="array" ref="K73">+[12]!PV_11_20</f>
        <v>-40865789.637550235</v>
      </c>
      <c r="L73" s="62" cm="1">
        <f t="array" ref="L73">+[13]!PV_11_20</f>
        <v>-41012712.682131253</v>
      </c>
      <c r="M73" s="62" cm="1">
        <f t="array" ref="M73">+[14]!PV_11_20</f>
        <v>-40256135.287022918</v>
      </c>
      <c r="N73" s="39"/>
      <c r="O73" s="14">
        <f>+C73-SUM(C74:C83)</f>
        <v>0</v>
      </c>
      <c r="P73" s="14">
        <f t="shared" ref="P73:R73" si="27">+D73-SUM(D74:D83)</f>
        <v>0</v>
      </c>
      <c r="Q73" s="14">
        <f t="shared" si="27"/>
        <v>0</v>
      </c>
      <c r="R73" s="14">
        <f t="shared" si="27"/>
        <v>0</v>
      </c>
      <c r="S73" s="14">
        <f t="shared" ref="S73" si="28">+G73-SUM(G74:G83)</f>
        <v>0</v>
      </c>
      <c r="T73" s="14">
        <f t="shared" ref="T73:Z73" si="29">+H73-SUM(H74:H83)</f>
        <v>0</v>
      </c>
      <c r="U73" s="14">
        <f t="shared" si="29"/>
        <v>0</v>
      </c>
      <c r="V73" s="14">
        <f t="shared" si="29"/>
        <v>0</v>
      </c>
      <c r="W73" s="14">
        <f t="shared" si="29"/>
        <v>0</v>
      </c>
      <c r="X73" s="14">
        <f t="shared" si="29"/>
        <v>0</v>
      </c>
      <c r="Y73" s="14">
        <f t="shared" si="29"/>
        <v>0</v>
      </c>
      <c r="Z73" s="14">
        <f t="shared" si="29"/>
        <v>0</v>
      </c>
    </row>
    <row r="74" spans="2:26" hidden="1" outlineLevel="2" x14ac:dyDescent="0.25">
      <c r="B74" s="17" t="s">
        <v>15</v>
      </c>
      <c r="C74" s="62">
        <f>+[1]Result!$C$15</f>
        <v>-9725456.9393869638</v>
      </c>
      <c r="D74" s="62">
        <f>+[5]Result!$C$15</f>
        <v>-9823754.4155704584</v>
      </c>
      <c r="E74" s="63">
        <f>+[6]Result!$C$15</f>
        <v>-8905807.3530354947</v>
      </c>
      <c r="F74" s="62">
        <f>+[7]Result!$C$15</f>
        <v>-9111991.5135631133</v>
      </c>
      <c r="G74" s="62">
        <f>+[8]Result!$C$15</f>
        <v>-9037548.6910562031</v>
      </c>
      <c r="H74" s="63">
        <f>+[9]Result!$C$15</f>
        <v>-9078914.257216135</v>
      </c>
      <c r="I74" s="62">
        <f>+[10]Result!$C$15</f>
        <v>-9004099.3116890322</v>
      </c>
      <c r="J74" s="62">
        <f>+[11]Result!$C$15</f>
        <v>-9006210.654281022</v>
      </c>
      <c r="K74" s="63">
        <f>+[12]Result!$C$15</f>
        <v>-8991488.6128074098</v>
      </c>
      <c r="L74" s="62">
        <f>+[13]Result!$C$15</f>
        <v>-9026910.5040165838</v>
      </c>
      <c r="M74" s="62">
        <f>+[14]Result!$C$15</f>
        <v>-8915961.4673190527</v>
      </c>
      <c r="N74" s="39"/>
    </row>
    <row r="75" spans="2:26" hidden="1" outlineLevel="2" x14ac:dyDescent="0.25">
      <c r="B75" s="17" t="s">
        <v>16</v>
      </c>
      <c r="C75" s="62">
        <f>+[1]Result!$C$16</f>
        <v>-7146733.9806441134</v>
      </c>
      <c r="D75" s="62">
        <f>+[5]Result!$C$16</f>
        <v>-7214057.3902788972</v>
      </c>
      <c r="E75" s="63">
        <f>+[6]Result!$C$16</f>
        <v>-6254477.5038796635</v>
      </c>
      <c r="F75" s="62">
        <f>+[7]Result!$C$16</f>
        <v>-6412755.0413827924</v>
      </c>
      <c r="G75" s="62">
        <f>+[8]Result!$C$16</f>
        <v>-6352205.983597408</v>
      </c>
      <c r="H75" s="63">
        <f>+[9]Result!$C$16</f>
        <v>-6292646.0791515475</v>
      </c>
      <c r="I75" s="62">
        <f>+[10]Result!$C$16</f>
        <v>-6241517.3137775166</v>
      </c>
      <c r="J75" s="62">
        <f>+[11]Result!$C$16</f>
        <v>-6236572.2972302036</v>
      </c>
      <c r="K75" s="63">
        <f>+[12]Result!$C$16</f>
        <v>-6282151.0805244306</v>
      </c>
      <c r="L75" s="62">
        <f>+[13]Result!$C$16</f>
        <v>-6306773.1610545143</v>
      </c>
      <c r="M75" s="62">
        <f>+[14]Result!$C$16</f>
        <v>-6218749.945456923</v>
      </c>
      <c r="N75" s="39"/>
    </row>
    <row r="76" spans="2:26" hidden="1" outlineLevel="2" x14ac:dyDescent="0.25">
      <c r="B76" s="17" t="s">
        <v>17</v>
      </c>
      <c r="C76" s="62">
        <f>+[1]Result!$C$17</f>
        <v>-6018642.6173464991</v>
      </c>
      <c r="D76" s="62">
        <f>+[5]Result!$C$17</f>
        <v>-6076918.9238533415</v>
      </c>
      <c r="E76" s="63">
        <f>+[6]Result!$C$17</f>
        <v>-5259966.0393875306</v>
      </c>
      <c r="F76" s="62">
        <f>+[7]Result!$C$17</f>
        <v>-5401806.6293785572</v>
      </c>
      <c r="G76" s="62">
        <f>+[8]Result!$C$17</f>
        <v>-5343155.1232931679</v>
      </c>
      <c r="H76" s="63">
        <f>+[9]Result!$C$17</f>
        <v>-5261989.0194793306</v>
      </c>
      <c r="I76" s="62">
        <f>+[10]Result!$C$17</f>
        <v>-5219937.532675813</v>
      </c>
      <c r="J76" s="62">
        <f>+[11]Result!$C$17</f>
        <v>-5209699.5895419493</v>
      </c>
      <c r="K76" s="63">
        <f>+[12]Result!$C$17</f>
        <v>-5241839.8047073847</v>
      </c>
      <c r="L76" s="62">
        <f>+[13]Result!$C$17</f>
        <v>-5261937.8241447974</v>
      </c>
      <c r="M76" s="62">
        <f>+[14]Result!$C$17</f>
        <v>-5179435.1463920958</v>
      </c>
      <c r="N76" s="39"/>
    </row>
    <row r="77" spans="2:26" hidden="1" outlineLevel="2" x14ac:dyDescent="0.25">
      <c r="B77" s="17" t="s">
        <v>18</v>
      </c>
      <c r="C77" s="62">
        <f>+[1]Result!$C$18</f>
        <v>-5155083.2411313411</v>
      </c>
      <c r="D77" s="62">
        <f>+[5]Result!$C$18</f>
        <v>-5209462.1719169375</v>
      </c>
      <c r="E77" s="63">
        <f>+[6]Result!$C$18</f>
        <v>-4524511.705873223</v>
      </c>
      <c r="F77" s="62">
        <f>+[7]Result!$C$18</f>
        <v>-4652403.659819819</v>
      </c>
      <c r="G77" s="62">
        <f>+[8]Result!$C$18</f>
        <v>-4594244.6413703207</v>
      </c>
      <c r="H77" s="63">
        <f>+[9]Result!$C$18</f>
        <v>-4542925.0321068568</v>
      </c>
      <c r="I77" s="62">
        <f>+[10]Result!$C$18</f>
        <v>-4503382.8310443526</v>
      </c>
      <c r="J77" s="62">
        <f>+[11]Result!$C$18</f>
        <v>-4488287.8088599956</v>
      </c>
      <c r="K77" s="63">
        <f>+[12]Result!$C$18</f>
        <v>-4524782.4149424331</v>
      </c>
      <c r="L77" s="62">
        <f>+[13]Result!$C$18</f>
        <v>-4542032.9449538663</v>
      </c>
      <c r="M77" s="62">
        <f>+[14]Result!$C$18</f>
        <v>-4463106.3963361653</v>
      </c>
      <c r="N77" s="39"/>
    </row>
    <row r="78" spans="2:26" hidden="1" outlineLevel="2" x14ac:dyDescent="0.25">
      <c r="B78" s="17" t="s">
        <v>19</v>
      </c>
      <c r="C78" s="62">
        <f>+[1]Result!$C$19</f>
        <v>-4555823.572141951</v>
      </c>
      <c r="D78" s="62">
        <f>+[5]Result!$C$19</f>
        <v>-4611353.7694644881</v>
      </c>
      <c r="E78" s="63">
        <f>+[6]Result!$C$19</f>
        <v>-4016635.2803870793</v>
      </c>
      <c r="F78" s="62">
        <f>+[7]Result!$C$19</f>
        <v>-4134622.7214817405</v>
      </c>
      <c r="G78" s="62">
        <f>+[8]Result!$C$19</f>
        <v>-4075700.9255283605</v>
      </c>
      <c r="H78" s="63">
        <f>+[9]Result!$C$19</f>
        <v>-3994953.5072737345</v>
      </c>
      <c r="I78" s="62">
        <f>+[10]Result!$C$19</f>
        <v>-3953702.2538957587</v>
      </c>
      <c r="J78" s="62">
        <f>+[11]Result!$C$19</f>
        <v>-3936723.1400966677</v>
      </c>
      <c r="K78" s="63">
        <f>+[12]Result!$C$19</f>
        <v>-3941491.7631009873</v>
      </c>
      <c r="L78" s="62">
        <f>+[13]Result!$C$19</f>
        <v>-3956230.7215642887</v>
      </c>
      <c r="M78" s="62">
        <f>+[14]Result!$C$19</f>
        <v>-3877528.5910429657</v>
      </c>
      <c r="N78" s="39"/>
    </row>
    <row r="79" spans="2:26" hidden="1" outlineLevel="2" x14ac:dyDescent="0.25">
      <c r="B79" s="17" t="s">
        <v>20</v>
      </c>
      <c r="C79" s="62">
        <f>+[1]Result!$C$20</f>
        <v>-3806436.2754099858</v>
      </c>
      <c r="D79" s="62">
        <f>+[5]Result!$C$20</f>
        <v>-3853906.2331468347</v>
      </c>
      <c r="E79" s="63">
        <f>+[6]Result!$C$20</f>
        <v>-3350205.1084550237</v>
      </c>
      <c r="F79" s="62">
        <f>+[7]Result!$C$20</f>
        <v>-3455032.8832262144</v>
      </c>
      <c r="G79" s="62">
        <f>+[8]Result!$C$20</f>
        <v>-3399340.3675602837</v>
      </c>
      <c r="H79" s="63">
        <f>+[9]Result!$C$20</f>
        <v>-3308601.5524498727</v>
      </c>
      <c r="I79" s="62">
        <f>+[10]Result!$C$20</f>
        <v>-3268669.2261583162</v>
      </c>
      <c r="J79" s="62">
        <f>+[11]Result!$C$20</f>
        <v>-3251452.8079054286</v>
      </c>
      <c r="K79" s="63">
        <f>+[12]Result!$C$20</f>
        <v>-3273325.5394397969</v>
      </c>
      <c r="L79" s="62">
        <f>+[13]Result!$C$20</f>
        <v>-3284673.554429315</v>
      </c>
      <c r="M79" s="62">
        <f>+[14]Result!$C$20</f>
        <v>-3210311.5486942059</v>
      </c>
      <c r="N79" s="39"/>
    </row>
    <row r="80" spans="2:26" hidden="1" outlineLevel="2" x14ac:dyDescent="0.25">
      <c r="B80" s="17" t="s">
        <v>21</v>
      </c>
      <c r="C80" s="62">
        <f>+[1]Result!$C$21</f>
        <v>-3182390.6996845701</v>
      </c>
      <c r="D80" s="62">
        <f>+[5]Result!$C$21</f>
        <v>-3216847.6716578519</v>
      </c>
      <c r="E80" s="63">
        <f>+[6]Result!$C$21</f>
        <v>-2793215.1844161227</v>
      </c>
      <c r="F80" s="62">
        <f>+[7]Result!$C$21</f>
        <v>-2888907.8467784291</v>
      </c>
      <c r="G80" s="62">
        <f>+[8]Result!$C$21</f>
        <v>-2836171.5060330783</v>
      </c>
      <c r="H80" s="63">
        <f>+[9]Result!$C$21</f>
        <v>-2752545.249730208</v>
      </c>
      <c r="I80" s="62">
        <f>+[10]Result!$C$21</f>
        <v>-2715462.190317302</v>
      </c>
      <c r="J80" s="62">
        <f>+[11]Result!$C$21</f>
        <v>-2697426.656147093</v>
      </c>
      <c r="K80" s="63">
        <f>+[12]Result!$C$21</f>
        <v>-2730488.4726187247</v>
      </c>
      <c r="L80" s="62">
        <f>+[13]Result!$C$21</f>
        <v>-2739031.6928348741</v>
      </c>
      <c r="M80" s="62">
        <f>+[14]Result!$C$21</f>
        <v>-2669877.4899125872</v>
      </c>
      <c r="N80" s="39"/>
    </row>
    <row r="81" spans="2:26" hidden="1" outlineLevel="2" x14ac:dyDescent="0.25">
      <c r="B81" s="17" t="s">
        <v>22</v>
      </c>
      <c r="C81" s="62">
        <f>+[1]Result!$C$22</f>
        <v>-2628988.5409700279</v>
      </c>
      <c r="D81" s="62">
        <f>+[5]Result!$C$22</f>
        <v>-2652182.2995219692</v>
      </c>
      <c r="E81" s="63">
        <f>+[6]Result!$C$22</f>
        <v>-2313212.8442273675</v>
      </c>
      <c r="F81" s="62">
        <f>+[7]Result!$C$22</f>
        <v>-2399383.6063289233</v>
      </c>
      <c r="G81" s="62">
        <f>+[8]Result!$C$22</f>
        <v>-2350351.1200374435</v>
      </c>
      <c r="H81" s="63">
        <f>+[9]Result!$C$22</f>
        <v>-2274864.6195710776</v>
      </c>
      <c r="I81" s="62">
        <f>+[10]Result!$C$22</f>
        <v>-2241617.0747095812</v>
      </c>
      <c r="J81" s="62">
        <f>+[11]Result!$C$22</f>
        <v>-2223184.1681491197</v>
      </c>
      <c r="K81" s="63">
        <f>+[12]Result!$C$22</f>
        <v>-2278620.236507196</v>
      </c>
      <c r="L81" s="62">
        <f>+[13]Result!$C$22</f>
        <v>-2285016.2933196682</v>
      </c>
      <c r="M81" s="62">
        <f>+[14]Result!$C$22</f>
        <v>-2221815.1203640467</v>
      </c>
      <c r="N81" s="39"/>
    </row>
    <row r="82" spans="2:26" hidden="1" outlineLevel="2" x14ac:dyDescent="0.25">
      <c r="B82" s="17" t="s">
        <v>23</v>
      </c>
      <c r="C82" s="62">
        <f>+[1]Result!$C$23</f>
        <v>-2180337.6575034442</v>
      </c>
      <c r="D82" s="62">
        <f>+[5]Result!$C$23</f>
        <v>-2198143.8856598563</v>
      </c>
      <c r="E82" s="63">
        <f>+[6]Result!$C$23</f>
        <v>-1939033.5113775153</v>
      </c>
      <c r="F82" s="62">
        <f>+[7]Result!$C$23</f>
        <v>-2015281.5636604752</v>
      </c>
      <c r="G82" s="62">
        <f>+[8]Result!$C$23</f>
        <v>-1969455.6959361203</v>
      </c>
      <c r="H82" s="63">
        <f>+[9]Result!$C$23</f>
        <v>-1912901.9067135239</v>
      </c>
      <c r="I82" s="62">
        <f>+[10]Result!$C$23</f>
        <v>-1883364.4483408278</v>
      </c>
      <c r="J82" s="62">
        <f>+[11]Result!$C$23</f>
        <v>-1864820.195593378</v>
      </c>
      <c r="K82" s="63">
        <f>+[12]Result!$C$23</f>
        <v>-1937182.2292721095</v>
      </c>
      <c r="L82" s="62">
        <f>+[13]Result!$C$23</f>
        <v>-1942060.3531830665</v>
      </c>
      <c r="M82" s="62">
        <f>+[14]Result!$C$23</f>
        <v>-1884144.0886916469</v>
      </c>
      <c r="N82" s="39"/>
    </row>
    <row r="83" spans="2:26" hidden="1" outlineLevel="2" x14ac:dyDescent="0.25">
      <c r="B83" s="17" t="s">
        <v>24</v>
      </c>
      <c r="C83" s="62">
        <f>+[1]Result!$C$24</f>
        <v>-1911318.8303408145</v>
      </c>
      <c r="D83" s="62">
        <f>+[5]Result!$C$24</f>
        <v>-1930950.4839555856</v>
      </c>
      <c r="E83" s="63">
        <f>+[6]Result!$C$24</f>
        <v>-1696242.3028809899</v>
      </c>
      <c r="F83" s="62">
        <f>+[7]Result!$C$24</f>
        <v>-1763593.0907515138</v>
      </c>
      <c r="G83" s="62">
        <f>+[8]Result!$C$24</f>
        <v>-1719222.1229198256</v>
      </c>
      <c r="H83" s="63">
        <f>+[9]Result!$C$24</f>
        <v>-1655856.2484358449</v>
      </c>
      <c r="I83" s="62">
        <f>+[10]Result!$C$24</f>
        <v>-1629382.4251681441</v>
      </c>
      <c r="J83" s="62">
        <f>+[11]Result!$C$24</f>
        <v>-1610645.6678086955</v>
      </c>
      <c r="K83" s="63">
        <f>+[12]Result!$C$24</f>
        <v>-1664419.4836297634</v>
      </c>
      <c r="L83" s="62">
        <f>+[13]Result!$C$24</f>
        <v>-1668045.6326302818</v>
      </c>
      <c r="M83" s="62">
        <f>+[14]Result!$C$24</f>
        <v>-1615205.4928132405</v>
      </c>
      <c r="N83" s="39"/>
    </row>
    <row r="84" spans="2:26" hidden="1" outlineLevel="1" collapsed="1" x14ac:dyDescent="0.25">
      <c r="B84" s="16" t="s">
        <v>25</v>
      </c>
      <c r="C84" s="62" cm="1">
        <f t="array" ref="C84">+[1]!PV_21_30</f>
        <v>-7700323.6787403487</v>
      </c>
      <c r="D84" s="62" cm="1">
        <f t="array" ref="D84">+[5]!PV_21_30</f>
        <v>-7868018.965789238</v>
      </c>
      <c r="E84" s="63" cm="1">
        <f t="array" ref="E84">+[6]!PV_21_30</f>
        <v>-6948235.4885651749</v>
      </c>
      <c r="F84" s="62" cm="1">
        <f t="array" ref="F84">+[7]!PV_21_30</f>
        <v>-7204790.2879003026</v>
      </c>
      <c r="G84" s="62" cm="1">
        <f t="array" ref="G84">+[8]!PV_21_30</f>
        <v>-6977367.8141456963</v>
      </c>
      <c r="H84" s="63" cm="1">
        <f t="array" ref="H84">+[9]!PV_21_30</f>
        <v>-6721710.8276522206</v>
      </c>
      <c r="I84" s="62" cm="1">
        <f t="array" ref="I84">+[10]!PV_21_30</f>
        <v>-6604459.2352305539</v>
      </c>
      <c r="J84" s="62" cm="1">
        <f t="array" ref="J84">+[11]!PV_21_30</f>
        <v>-6496457.9940780634</v>
      </c>
      <c r="K84" s="63" cm="1">
        <f t="array" ref="K84">+[12]!PV_21_30</f>
        <v>-6921650.3864309657</v>
      </c>
      <c r="L84" s="62" cm="1">
        <f t="array" ref="L84">+[13]!PV_21_30</f>
        <v>-6928698.3449289817</v>
      </c>
      <c r="M84" s="62" cm="1">
        <f t="array" ref="M84">+[14]!PV_21_30</f>
        <v>-6670320.6694118241</v>
      </c>
      <c r="N84" s="39"/>
      <c r="O84" s="14">
        <f>+C84-SUM(C85:C94)</f>
        <v>0</v>
      </c>
      <c r="P84" s="14">
        <f t="shared" ref="P84:R84" si="30">+D84-SUM(D85:D94)</f>
        <v>0</v>
      </c>
      <c r="Q84" s="14">
        <f t="shared" si="30"/>
        <v>0</v>
      </c>
      <c r="R84" s="14">
        <f t="shared" si="30"/>
        <v>0</v>
      </c>
      <c r="S84" s="14">
        <f t="shared" ref="S84" si="31">+G84-SUM(G85:G94)</f>
        <v>0</v>
      </c>
      <c r="T84" s="14">
        <f t="shared" ref="T84:Z84" si="32">+H84-SUM(H85:H94)</f>
        <v>0</v>
      </c>
      <c r="U84" s="14">
        <f t="shared" si="32"/>
        <v>0</v>
      </c>
      <c r="V84" s="14">
        <f t="shared" si="32"/>
        <v>0</v>
      </c>
      <c r="W84" s="14">
        <f t="shared" si="32"/>
        <v>0</v>
      </c>
      <c r="X84" s="14">
        <f t="shared" si="32"/>
        <v>0</v>
      </c>
      <c r="Y84" s="14">
        <f t="shared" si="32"/>
        <v>0</v>
      </c>
      <c r="Z84" s="14">
        <f t="shared" si="32"/>
        <v>0</v>
      </c>
    </row>
    <row r="85" spans="2:26" hidden="1" outlineLevel="2" x14ac:dyDescent="0.25">
      <c r="B85" s="17" t="s">
        <v>26</v>
      </c>
      <c r="C85" s="62">
        <f>+[1]Result!$C$25</f>
        <v>-1613930.0365054344</v>
      </c>
      <c r="D85" s="62">
        <f>+[5]Result!$C$25</f>
        <v>-1636590.775005863</v>
      </c>
      <c r="E85" s="63">
        <f>+[6]Result!$C$25</f>
        <v>-1431793.7778284522</v>
      </c>
      <c r="F85" s="62">
        <f>+[7]Result!$C$25</f>
        <v>-1487466.8409898733</v>
      </c>
      <c r="G85" s="62">
        <f>+[8]Result!$C$25</f>
        <v>-1446851.2758843689</v>
      </c>
      <c r="H85" s="63">
        <f>+[9]Result!$C$25</f>
        <v>-1385727.2618410569</v>
      </c>
      <c r="I85" s="62">
        <f>+[10]Result!$C$25</f>
        <v>-1362989.2641060196</v>
      </c>
      <c r="J85" s="62">
        <f>+[11]Result!$C$25</f>
        <v>-1345180.7507431894</v>
      </c>
      <c r="K85" s="63">
        <f>+[12]Result!$C$25</f>
        <v>-1398732.7906570691</v>
      </c>
      <c r="L85" s="62">
        <f>+[13]Result!$C$25</f>
        <v>-1401240.1845123211</v>
      </c>
      <c r="M85" s="62">
        <f>+[14]Result!$C$25</f>
        <v>-1354481.3358172334</v>
      </c>
      <c r="N85" s="39"/>
    </row>
    <row r="86" spans="2:26" hidden="1" outlineLevel="2" x14ac:dyDescent="0.25">
      <c r="B86" s="17" t="s">
        <v>27</v>
      </c>
      <c r="C86" s="62">
        <f>+[1]Result!$C$26</f>
        <v>-1352384.8748423744</v>
      </c>
      <c r="D86" s="62">
        <f>+[5]Result!$C$26</f>
        <v>-1376195.473548111</v>
      </c>
      <c r="E86" s="63">
        <f>+[6]Result!$C$26</f>
        <v>-1200056.3127438158</v>
      </c>
      <c r="F86" s="62">
        <f>+[7]Result!$C$26</f>
        <v>-1245653.5877997763</v>
      </c>
      <c r="G86" s="62">
        <f>+[8]Result!$C$26</f>
        <v>-1209244.4221977952</v>
      </c>
      <c r="H86" s="63">
        <f>+[9]Result!$C$26</f>
        <v>-1153354.665332888</v>
      </c>
      <c r="I86" s="62">
        <f>+[10]Result!$C$26</f>
        <v>-1133869.345454684</v>
      </c>
      <c r="J86" s="62">
        <f>+[11]Result!$C$26</f>
        <v>-1117521.5822840312</v>
      </c>
      <c r="K86" s="63">
        <f>+[12]Result!$C$26</f>
        <v>-1171343.2114048714</v>
      </c>
      <c r="L86" s="62">
        <f>+[13]Result!$C$26</f>
        <v>-1173055.4420739617</v>
      </c>
      <c r="M86" s="62">
        <f>+[14]Result!$C$26</f>
        <v>-1132040.3651465988</v>
      </c>
      <c r="N86" s="39"/>
    </row>
    <row r="87" spans="2:26" hidden="1" outlineLevel="2" x14ac:dyDescent="0.25">
      <c r="B87" s="17" t="s">
        <v>28</v>
      </c>
      <c r="C87" s="62">
        <f>+[1]Result!$C$27</f>
        <v>-1120039.7189590174</v>
      </c>
      <c r="D87" s="62">
        <f>+[5]Result!$C$27</f>
        <v>-1143187.7302155865</v>
      </c>
      <c r="E87" s="63">
        <f>+[6]Result!$C$27</f>
        <v>-998693.46431677928</v>
      </c>
      <c r="F87" s="62">
        <f>+[7]Result!$C$27</f>
        <v>-1035828.6189600568</v>
      </c>
      <c r="G87" s="62">
        <f>+[8]Result!$C$27</f>
        <v>-1003839.4117957099</v>
      </c>
      <c r="H87" s="63">
        <f>+[9]Result!$C$27</f>
        <v>-956939.03809264523</v>
      </c>
      <c r="I87" s="62">
        <f>+[10]Result!$C$27</f>
        <v>-940336.84504928172</v>
      </c>
      <c r="J87" s="62">
        <f>+[11]Result!$C$27</f>
        <v>-925649.32995665295</v>
      </c>
      <c r="K87" s="63">
        <f>+[12]Result!$C$27</f>
        <v>-983144.53483178385</v>
      </c>
      <c r="L87" s="62">
        <f>+[13]Result!$C$27</f>
        <v>-984326.60214987467</v>
      </c>
      <c r="M87" s="62">
        <f>+[14]Result!$C$27</f>
        <v>-948444.58009203302</v>
      </c>
      <c r="N87" s="39"/>
    </row>
    <row r="88" spans="2:26" hidden="1" outlineLevel="2" x14ac:dyDescent="0.25">
      <c r="B88" s="17" t="s">
        <v>29</v>
      </c>
      <c r="C88" s="62">
        <f>+[1]Result!$C$28</f>
        <v>-929827.44648639485</v>
      </c>
      <c r="D88" s="62">
        <f>+[5]Result!$C$28</f>
        <v>-951430.82905073161</v>
      </c>
      <c r="E88" s="63">
        <f>+[6]Result!$C$28</f>
        <v>-838591.99756181927</v>
      </c>
      <c r="F88" s="62">
        <f>+[7]Result!$C$28</f>
        <v>-869196.34280755126</v>
      </c>
      <c r="G88" s="62">
        <f>+[8]Result!$C$28</f>
        <v>-841180.69791188941</v>
      </c>
      <c r="H88" s="63">
        <f>+[9]Result!$C$28</f>
        <v>-813780.94623681426</v>
      </c>
      <c r="I88" s="62">
        <f>+[10]Result!$C$28</f>
        <v>-799498.5192043765</v>
      </c>
      <c r="J88" s="62">
        <f>+[11]Result!$C$28</f>
        <v>-786011.95819412277</v>
      </c>
      <c r="K88" s="63">
        <f>+[12]Result!$C$28</f>
        <v>-844040.2802872468</v>
      </c>
      <c r="L88" s="62">
        <f>+[13]Result!$C$28</f>
        <v>-844810.31097369175</v>
      </c>
      <c r="M88" s="62">
        <f>+[14]Result!$C$28</f>
        <v>-812953.70162698836</v>
      </c>
      <c r="N88" s="39"/>
    </row>
    <row r="89" spans="2:26" hidden="1" outlineLevel="2" x14ac:dyDescent="0.25">
      <c r="B89" s="17" t="s">
        <v>30</v>
      </c>
      <c r="C89" s="62">
        <f>+[1]Result!$C$29</f>
        <v>-796059.15840951505</v>
      </c>
      <c r="D89" s="62">
        <f>+[5]Result!$C$29</f>
        <v>-816421.66078018444</v>
      </c>
      <c r="E89" s="63">
        <f>+[6]Result!$C$29</f>
        <v>-720685.38802104245</v>
      </c>
      <c r="F89" s="62">
        <f>+[7]Result!$C$29</f>
        <v>-746610.62443113979</v>
      </c>
      <c r="G89" s="62">
        <f>+[8]Result!$C$29</f>
        <v>-721627.88305312023</v>
      </c>
      <c r="H89" s="63">
        <f>+[9]Result!$C$29</f>
        <v>-694410.56206453638</v>
      </c>
      <c r="I89" s="62">
        <f>+[10]Result!$C$29</f>
        <v>-682033.90434023098</v>
      </c>
      <c r="J89" s="62">
        <f>+[11]Result!$C$29</f>
        <v>-669806.62667969335</v>
      </c>
      <c r="K89" s="63">
        <f>+[12]Result!$C$29</f>
        <v>-711139.97418653429</v>
      </c>
      <c r="L89" s="62">
        <f>+[13]Result!$C$29</f>
        <v>-711562.82254877198</v>
      </c>
      <c r="M89" s="62">
        <f>+[14]Result!$C$29</f>
        <v>-683937.89706217579</v>
      </c>
      <c r="N89" s="39"/>
    </row>
    <row r="90" spans="2:26" hidden="1" outlineLevel="2" x14ac:dyDescent="0.25">
      <c r="B90" s="17" t="s">
        <v>31</v>
      </c>
      <c r="C90" s="62">
        <f>+[1]Result!$C$30</f>
        <v>-617422.42378739431</v>
      </c>
      <c r="D90" s="62">
        <f>+[5]Result!$C$30</f>
        <v>-634417.41566486226</v>
      </c>
      <c r="E90" s="63">
        <f>+[6]Result!$C$30</f>
        <v>-558235.74806917703</v>
      </c>
      <c r="F90" s="62">
        <f>+[7]Result!$C$30</f>
        <v>-578073.26628467359</v>
      </c>
      <c r="G90" s="62">
        <f>+[8]Result!$C$30</f>
        <v>-558094.66168788797</v>
      </c>
      <c r="H90" s="63">
        <f>+[9]Result!$C$30</f>
        <v>-532513.42848822905</v>
      </c>
      <c r="I90" s="62">
        <f>+[10]Result!$C$30</f>
        <v>-522833.83441889228</v>
      </c>
      <c r="J90" s="62">
        <f>+[11]Result!$C$30</f>
        <v>-513018.44132045296</v>
      </c>
      <c r="K90" s="63">
        <f>+[12]Result!$C$30</f>
        <v>-552199.01513229171</v>
      </c>
      <c r="L90" s="62">
        <f>+[13]Result!$C$30</f>
        <v>-552403.94547140575</v>
      </c>
      <c r="M90" s="62">
        <f>+[14]Result!$C$30</f>
        <v>-530299.1188879672</v>
      </c>
      <c r="N90" s="39"/>
    </row>
    <row r="91" spans="2:26" hidden="1" outlineLevel="2" x14ac:dyDescent="0.25">
      <c r="B91" s="17" t="s">
        <v>32</v>
      </c>
      <c r="C91" s="62">
        <f>+[1]Result!$C$31</f>
        <v>-462862.20953628205</v>
      </c>
      <c r="D91" s="62">
        <f>+[5]Result!$C$31</f>
        <v>-476353.96902256395</v>
      </c>
      <c r="E91" s="63">
        <f>+[6]Result!$C$31</f>
        <v>-421440.35980320035</v>
      </c>
      <c r="F91" s="62">
        <f>+[7]Result!$C$31</f>
        <v>-436281.19316810532</v>
      </c>
      <c r="G91" s="62">
        <f>+[8]Result!$C$31</f>
        <v>-420732.57409328723</v>
      </c>
      <c r="H91" s="63">
        <f>+[9]Result!$C$31</f>
        <v>-401050.35687358223</v>
      </c>
      <c r="I91" s="62">
        <f>+[10]Result!$C$31</f>
        <v>-393680.48024040664</v>
      </c>
      <c r="J91" s="62">
        <f>+[11]Result!$C$31</f>
        <v>-386003.6209224037</v>
      </c>
      <c r="K91" s="63">
        <f>+[12]Result!$C$31</f>
        <v>-423380.14346740802</v>
      </c>
      <c r="L91" s="62">
        <f>+[13]Result!$C$31</f>
        <v>-423543.82695739612</v>
      </c>
      <c r="M91" s="62">
        <f>+[14]Result!$C$31</f>
        <v>-406154.62256355846</v>
      </c>
      <c r="N91" s="39"/>
    </row>
    <row r="92" spans="2:26" hidden="1" outlineLevel="2" x14ac:dyDescent="0.25">
      <c r="B92" s="17" t="s">
        <v>33</v>
      </c>
      <c r="C92" s="62">
        <f>+[1]Result!$C$32</f>
        <v>-329971.76586000697</v>
      </c>
      <c r="D92" s="62">
        <f>+[5]Result!$C$32</f>
        <v>-340093.4995581847</v>
      </c>
      <c r="E92" s="63">
        <f>+[6]Result!$C$32</f>
        <v>-302770.53230302059</v>
      </c>
      <c r="F92" s="62">
        <f>+[7]Result!$C$32</f>
        <v>-313337.0142939341</v>
      </c>
      <c r="G92" s="62">
        <f>+[8]Result!$C$32</f>
        <v>-301879.16888527013</v>
      </c>
      <c r="H92" s="63">
        <f>+[9]Result!$C$32</f>
        <v>-288324.2961432063</v>
      </c>
      <c r="I92" s="62">
        <f>+[10]Result!$C$32</f>
        <v>-282979.52123980742</v>
      </c>
      <c r="J92" s="62">
        <f>+[11]Result!$C$32</f>
        <v>-277292.52808574348</v>
      </c>
      <c r="K92" s="63">
        <f>+[12]Result!$C$32</f>
        <v>-318185.20672800002</v>
      </c>
      <c r="L92" s="62">
        <f>+[13]Result!$C$32</f>
        <v>-318269.9805057979</v>
      </c>
      <c r="M92" s="62">
        <f>+[14]Result!$C$32</f>
        <v>-304924.73257548793</v>
      </c>
      <c r="N92" s="39"/>
    </row>
    <row r="93" spans="2:26" hidden="1" outlineLevel="2" x14ac:dyDescent="0.25">
      <c r="B93" s="17" t="s">
        <v>34</v>
      </c>
      <c r="C93" s="62">
        <f>+[1]Result!$C$33</f>
        <v>-236749.53145776485</v>
      </c>
      <c r="D93" s="62">
        <f>+[5]Result!$C$33</f>
        <v>-244312.53112732136</v>
      </c>
      <c r="E93" s="63">
        <f>+[6]Result!$C$33</f>
        <v>-236314.58827624502</v>
      </c>
      <c r="F93" s="62">
        <f>+[7]Result!$C$33</f>
        <v>-244492.71413946871</v>
      </c>
      <c r="G93" s="62">
        <f>+[8]Result!$C$33</f>
        <v>-235397.8937845327</v>
      </c>
      <c r="H93" s="63">
        <f>+[9]Result!$C$33</f>
        <v>-247053.28273686222</v>
      </c>
      <c r="I93" s="62">
        <f>+[10]Result!$C$33</f>
        <v>-242409.57988661717</v>
      </c>
      <c r="J93" s="62">
        <f>+[11]Result!$C$33</f>
        <v>-237362.96516116668</v>
      </c>
      <c r="K93" s="63">
        <f>+[12]Result!$C$33</f>
        <v>-277469.76962050592</v>
      </c>
      <c r="L93" s="62">
        <f>+[13]Result!$C$33</f>
        <v>-277469.76962050592</v>
      </c>
      <c r="M93" s="62">
        <f>+[14]Result!$C$33</f>
        <v>-265605.71317641175</v>
      </c>
      <c r="N93" s="39"/>
    </row>
    <row r="94" spans="2:26" hidden="1" outlineLevel="2" x14ac:dyDescent="0.25">
      <c r="B94" s="17" t="s">
        <v>35</v>
      </c>
      <c r="C94" s="62">
        <f>+[1]Result!$C$34</f>
        <v>-241076.51289616292</v>
      </c>
      <c r="D94" s="62">
        <f>+[5]Result!$C$34</f>
        <v>-249015.08181583084</v>
      </c>
      <c r="E94" s="63">
        <f>+[6]Result!$C$34</f>
        <v>-239653.31964162237</v>
      </c>
      <c r="F94" s="62">
        <f>+[7]Result!$C$34</f>
        <v>-247850.08502572356</v>
      </c>
      <c r="G94" s="62">
        <f>+[8]Result!$C$34</f>
        <v>-238519.82485183503</v>
      </c>
      <c r="H94" s="63">
        <f>+[9]Result!$C$34</f>
        <v>-248556.98984240094</v>
      </c>
      <c r="I94" s="62">
        <f>+[10]Result!$C$34</f>
        <v>-243827.94129023791</v>
      </c>
      <c r="J94" s="62">
        <f>+[11]Result!$C$34</f>
        <v>-238610.19073060714</v>
      </c>
      <c r="K94" s="63">
        <f>+[12]Result!$C$34</f>
        <v>-242015.46011525355</v>
      </c>
      <c r="L94" s="62">
        <f>+[13]Result!$C$34</f>
        <v>-242015.46011525355</v>
      </c>
      <c r="M94" s="62">
        <f>+[14]Result!$C$34</f>
        <v>-231478.60246336809</v>
      </c>
      <c r="N94" s="39"/>
    </row>
    <row r="95" spans="2:26" hidden="1" outlineLevel="1" collapsed="1" x14ac:dyDescent="0.25">
      <c r="B95" s="16" t="s">
        <v>36</v>
      </c>
      <c r="C95" s="62" cm="1">
        <f t="array" ref="C95">+[1]!PV_31_50</f>
        <v>-426239.71572303877</v>
      </c>
      <c r="D95" s="62" cm="1">
        <f t="array" ref="D95">+[5]!PV_31_50</f>
        <v>-441205.44430808019</v>
      </c>
      <c r="E95" s="63" cm="1">
        <f t="array" ref="E95">+[6]!PV_31_50</f>
        <v>-417184.1714283633</v>
      </c>
      <c r="F95" s="62" cm="1">
        <f t="array" ref="F95">+[7]!PV_31_50</f>
        <v>-431220.39331079554</v>
      </c>
      <c r="G95" s="62" cm="1">
        <f t="array" ref="G95">+[8]!PV_31_50</f>
        <v>-414424.6335842876</v>
      </c>
      <c r="H95" s="63" cm="1">
        <f t="array" ref="H95">+[9]!PV_31_50</f>
        <v>-419373.94055885891</v>
      </c>
      <c r="I95" s="62" cm="1">
        <f t="array" ref="I95">+[10]!PV_31_50</f>
        <v>-411286.69155286311</v>
      </c>
      <c r="J95" s="62" cm="1">
        <f t="array" ref="J95">+[11]!PV_31_50</f>
        <v>-401987.38493087993</v>
      </c>
      <c r="K95" s="63" cm="1">
        <f t="array" ref="K95">+[12]!PV_31_50</f>
        <v>-419917.97252610925</v>
      </c>
      <c r="L95" s="62" cm="1">
        <f t="array" ref="L95">+[13]!PV_31_50</f>
        <v>-419783.8814435582</v>
      </c>
      <c r="M95" s="62" cm="1">
        <f t="array" ref="M95">+[14]!PV_31_50</f>
        <v>-400758.12059437257</v>
      </c>
      <c r="N95" s="39"/>
      <c r="O95" s="14">
        <f>+C95-SUM(C96:C115)</f>
        <v>0</v>
      </c>
      <c r="P95" s="14">
        <f t="shared" ref="P95:R95" si="33">+D95-SUM(D96:D115)</f>
        <v>0</v>
      </c>
      <c r="Q95" s="14">
        <f t="shared" si="33"/>
        <v>0</v>
      </c>
      <c r="R95" s="14">
        <f t="shared" si="33"/>
        <v>0</v>
      </c>
      <c r="S95" s="14">
        <f t="shared" ref="S95" si="34">+G95-SUM(G96:G115)</f>
        <v>0</v>
      </c>
      <c r="T95" s="14">
        <f t="shared" ref="T95:Z95" si="35">+H95-SUM(H96:H115)</f>
        <v>0</v>
      </c>
      <c r="U95" s="14">
        <f t="shared" si="35"/>
        <v>0</v>
      </c>
      <c r="V95" s="14">
        <f t="shared" si="35"/>
        <v>0</v>
      </c>
      <c r="W95" s="14">
        <f t="shared" si="35"/>
        <v>0</v>
      </c>
      <c r="X95" s="14">
        <f t="shared" si="35"/>
        <v>0</v>
      </c>
      <c r="Y95" s="14">
        <f t="shared" si="35"/>
        <v>0</v>
      </c>
      <c r="Z95" s="14">
        <f t="shared" si="35"/>
        <v>0</v>
      </c>
    </row>
    <row r="96" spans="2:26" hidden="1" outlineLevel="2" x14ac:dyDescent="0.25">
      <c r="B96" s="17" t="s">
        <v>37</v>
      </c>
      <c r="C96" s="62">
        <f>+[1]Result!$C$35</f>
        <v>-133225.6003380669</v>
      </c>
      <c r="D96" s="62">
        <f>+[5]Result!$C$35</f>
        <v>-137722.10753499789</v>
      </c>
      <c r="E96" s="63">
        <f>+[6]Result!$C$35</f>
        <v>-131360.10463322376</v>
      </c>
      <c r="F96" s="62">
        <f>+[7]Result!$C$35</f>
        <v>-135825.81511771758</v>
      </c>
      <c r="G96" s="62">
        <f>+[8]Result!$C$35</f>
        <v>-130640.34878674126</v>
      </c>
      <c r="H96" s="63">
        <f>+[9]Result!$C$35</f>
        <v>-133327.28810435469</v>
      </c>
      <c r="I96" s="62">
        <f>+[10]Result!$C$35</f>
        <v>-130783.15399994284</v>
      </c>
      <c r="J96" s="62">
        <f>+[11]Result!$C$35</f>
        <v>-127928.73380603196</v>
      </c>
      <c r="K96" s="63">
        <f>+[12]Result!$C$35</f>
        <v>-130742.85421556988</v>
      </c>
      <c r="L96" s="62">
        <f>+[13]Result!$C$35</f>
        <v>-130723.48067481464</v>
      </c>
      <c r="M96" s="62">
        <f>+[14]Result!$C$35</f>
        <v>-124954.69986821599</v>
      </c>
      <c r="N96" s="39"/>
    </row>
    <row r="97" spans="2:14" hidden="1" outlineLevel="2" x14ac:dyDescent="0.25">
      <c r="B97" s="17" t="s">
        <v>38</v>
      </c>
      <c r="C97" s="62">
        <f>+[1]Result!$C$36</f>
        <v>-78792.095034110927</v>
      </c>
      <c r="D97" s="62">
        <f>+[5]Result!$C$36</f>
        <v>-81514.580477403011</v>
      </c>
      <c r="E97" s="63">
        <f>+[6]Result!$C$36</f>
        <v>-76613.781504529004</v>
      </c>
      <c r="F97" s="62">
        <f>+[7]Result!$C$36</f>
        <v>-79207.61238392751</v>
      </c>
      <c r="G97" s="62">
        <f>+[8]Result!$C$36</f>
        <v>-76145.273878351407</v>
      </c>
      <c r="H97" s="63">
        <f>+[9]Result!$C$36</f>
        <v>-76442.220355635334</v>
      </c>
      <c r="I97" s="62">
        <f>+[10]Result!$C$36</f>
        <v>-74970.723353977635</v>
      </c>
      <c r="J97" s="62">
        <f>+[11]Result!$C$36</f>
        <v>-73303.926559828411</v>
      </c>
      <c r="K97" s="63">
        <f>+[12]Result!$C$36</f>
        <v>-76967.601667992509</v>
      </c>
      <c r="L97" s="62">
        <f>+[13]Result!$C$36</f>
        <v>-76944.063511447996</v>
      </c>
      <c r="M97" s="62">
        <f>+[14]Result!$C$36</f>
        <v>-73507.336086235533</v>
      </c>
      <c r="N97" s="39"/>
    </row>
    <row r="98" spans="2:14" hidden="1" outlineLevel="2" x14ac:dyDescent="0.25">
      <c r="B98" s="17" t="s">
        <v>39</v>
      </c>
      <c r="C98" s="62">
        <f>+[1]Result!$C$37</f>
        <v>-54421.355842475517</v>
      </c>
      <c r="D98" s="62">
        <f>+[5]Result!$C$37</f>
        <v>-56335.377108664659</v>
      </c>
      <c r="E98" s="63">
        <f>+[6]Result!$C$37</f>
        <v>-53186.890228914985</v>
      </c>
      <c r="F98" s="62">
        <f>+[7]Result!$C$37</f>
        <v>-54967.176934454095</v>
      </c>
      <c r="G98" s="62">
        <f>+[8]Result!$C$37</f>
        <v>-52826.321561152785</v>
      </c>
      <c r="H98" s="63">
        <f>+[9]Result!$C$37</f>
        <v>-53005.316646199317</v>
      </c>
      <c r="I98" s="62">
        <f>+[10]Result!$C$37</f>
        <v>-51985.801424325291</v>
      </c>
      <c r="J98" s="62">
        <f>+[11]Result!$C$37</f>
        <v>-50809.851334709674</v>
      </c>
      <c r="K98" s="63">
        <f>+[12]Result!$C$37</f>
        <v>-55138.364067873139</v>
      </c>
      <c r="L98" s="62">
        <f>+[13]Result!$C$37</f>
        <v>-55120.967589132859</v>
      </c>
      <c r="M98" s="62">
        <f>+[14]Result!$C$37</f>
        <v>-52624.23546334717</v>
      </c>
      <c r="N98" s="39"/>
    </row>
    <row r="99" spans="2:14" hidden="1" outlineLevel="2" x14ac:dyDescent="0.25">
      <c r="B99" s="17" t="s">
        <v>40</v>
      </c>
      <c r="C99" s="62">
        <f>+[1]Result!$C$38</f>
        <v>-44151.151817653088</v>
      </c>
      <c r="D99" s="62">
        <f>+[5]Result!$C$38</f>
        <v>-45722.435333248381</v>
      </c>
      <c r="E99" s="63">
        <f>+[6]Result!$C$38</f>
        <v>-43470.514270396518</v>
      </c>
      <c r="F99" s="62">
        <f>+[7]Result!$C$38</f>
        <v>-44926.935473877536</v>
      </c>
      <c r="G99" s="62">
        <f>+[8]Result!$C$38</f>
        <v>-43159.777006377728</v>
      </c>
      <c r="H99" s="63">
        <f>+[9]Result!$C$38</f>
        <v>-43466.015749504208</v>
      </c>
      <c r="I99" s="62">
        <f>+[10]Result!$C$38</f>
        <v>-42632.32246988533</v>
      </c>
      <c r="J99" s="62">
        <f>+[11]Result!$C$38</f>
        <v>-41652.234118102715</v>
      </c>
      <c r="K99" s="63">
        <f>+[12]Result!$C$38</f>
        <v>-43771.077745306437</v>
      </c>
      <c r="L99" s="62">
        <f>+[13]Result!$C$38</f>
        <v>-43756.843736239534</v>
      </c>
      <c r="M99" s="62">
        <f>+[14]Result!$C$38</f>
        <v>-41749.308371231928</v>
      </c>
      <c r="N99" s="39"/>
    </row>
    <row r="100" spans="2:14" hidden="1" outlineLevel="2" x14ac:dyDescent="0.25">
      <c r="B100" s="17" t="s">
        <v>41</v>
      </c>
      <c r="C100" s="62">
        <f>+[1]Result!$C$39</f>
        <v>-35182.757918298477</v>
      </c>
      <c r="D100" s="62">
        <f>+[5]Result!$C$39</f>
        <v>-36454.295703688709</v>
      </c>
      <c r="E100" s="63">
        <f>+[6]Result!$C$39</f>
        <v>-33762.457129006609</v>
      </c>
      <c r="F100" s="62">
        <f>+[7]Result!$C$39</f>
        <v>-34892.650337022744</v>
      </c>
      <c r="G100" s="62">
        <f>+[8]Result!$C$39</f>
        <v>-33513.963522848491</v>
      </c>
      <c r="H100" s="63">
        <f>+[9]Result!$C$39</f>
        <v>-33341.908925090589</v>
      </c>
      <c r="I100" s="62">
        <f>+[10]Result!$C$39</f>
        <v>-32694.503444548398</v>
      </c>
      <c r="J100" s="62">
        <f>+[11]Result!$C$39</f>
        <v>-31936.791611657038</v>
      </c>
      <c r="K100" s="63">
        <f>+[12]Result!$C$39</f>
        <v>-32887.039771196309</v>
      </c>
      <c r="L100" s="62">
        <f>+[13]Result!$C$39</f>
        <v>-32876.02666078831</v>
      </c>
      <c r="M100" s="62">
        <f>+[14]Result!$C$39</f>
        <v>-31355.283189987345</v>
      </c>
      <c r="N100" s="39"/>
    </row>
    <row r="101" spans="2:14" hidden="1" outlineLevel="2" x14ac:dyDescent="0.25">
      <c r="B101" s="17" t="s">
        <v>42</v>
      </c>
      <c r="C101" s="62">
        <f>+[1]Result!$C$40</f>
        <v>-23681.107489436574</v>
      </c>
      <c r="D101" s="62">
        <f>+[5]Result!$C$40</f>
        <v>-24549.337244879298</v>
      </c>
      <c r="E101" s="63">
        <f>+[6]Result!$C$40</f>
        <v>-22915.227676036942</v>
      </c>
      <c r="F101" s="62">
        <f>+[7]Result!$C$40</f>
        <v>-23676.168784817593</v>
      </c>
      <c r="G101" s="62">
        <f>+[8]Result!$C$40</f>
        <v>-22737.796116739199</v>
      </c>
      <c r="H101" s="63">
        <f>+[9]Result!$C$40</f>
        <v>-22905.605933961695</v>
      </c>
      <c r="I101" s="62">
        <f>+[10]Result!$C$40</f>
        <v>-22455.855371807866</v>
      </c>
      <c r="J101" s="62">
        <f>+[11]Result!$C$40</f>
        <v>-21931.896189929277</v>
      </c>
      <c r="K101" s="63">
        <f>+[12]Result!$C$40</f>
        <v>-23257.061642207878</v>
      </c>
      <c r="L101" s="62">
        <f>+[13]Result!$C$40</f>
        <v>-23245.049617543849</v>
      </c>
      <c r="M101" s="62">
        <f>+[14]Result!$C$40</f>
        <v>-22162.323436659557</v>
      </c>
      <c r="N101" s="39"/>
    </row>
    <row r="102" spans="2:14" hidden="1" outlineLevel="2" x14ac:dyDescent="0.25">
      <c r="B102" s="17" t="s">
        <v>43</v>
      </c>
      <c r="C102" s="62">
        <f>+[1]Result!$C$41</f>
        <v>-16900.495060827616</v>
      </c>
      <c r="D102" s="62">
        <f>+[5]Result!$C$41</f>
        <v>-17525.322778278623</v>
      </c>
      <c r="E102" s="63">
        <f>+[6]Result!$C$41</f>
        <v>-16624.525991813585</v>
      </c>
      <c r="F102" s="62">
        <f>+[7]Result!$C$41</f>
        <v>-17174.003835760748</v>
      </c>
      <c r="G102" s="62">
        <f>+[8]Result!$C$41</f>
        <v>-16489.272428630797</v>
      </c>
      <c r="H102" s="63">
        <f>+[9]Result!$C$41</f>
        <v>-16782.488887323627</v>
      </c>
      <c r="I102" s="62">
        <f>+[10]Result!$C$41</f>
        <v>-16452.541226222842</v>
      </c>
      <c r="J102" s="62">
        <f>+[11]Result!$C$41</f>
        <v>-16063.685920100548</v>
      </c>
      <c r="K102" s="63">
        <f>+[12]Result!$C$41</f>
        <v>-17581.257062822835</v>
      </c>
      <c r="L102" s="62">
        <f>+[13]Result!$C$41</f>
        <v>-17571.908799711855</v>
      </c>
      <c r="M102" s="62">
        <f>+[14]Result!$C$41</f>
        <v>-16745.792017299678</v>
      </c>
      <c r="N102" s="39"/>
    </row>
    <row r="103" spans="2:14" hidden="1" outlineLevel="2" x14ac:dyDescent="0.25">
      <c r="B103" s="17" t="s">
        <v>44</v>
      </c>
      <c r="C103" s="62">
        <f>+[1]Result!$C$42</f>
        <v>-12810.258105766356</v>
      </c>
      <c r="D103" s="62">
        <f>+[5]Result!$C$42</f>
        <v>-13287.290228230377</v>
      </c>
      <c r="E103" s="63">
        <f>+[6]Result!$C$42</f>
        <v>-12944.009450476451</v>
      </c>
      <c r="F103" s="62">
        <f>+[7]Result!$C$42</f>
        <v>-13371.493293004283</v>
      </c>
      <c r="G103" s="62">
        <f>+[8]Result!$C$42</f>
        <v>-12835.837744550927</v>
      </c>
      <c r="H103" s="63">
        <f>+[9]Result!$C$42</f>
        <v>-13274.818056217662</v>
      </c>
      <c r="I103" s="62">
        <f>+[10]Result!$C$42</f>
        <v>-13013.885560498849</v>
      </c>
      <c r="J103" s="62">
        <f>+[11]Result!$C$42</f>
        <v>-12702.619443787788</v>
      </c>
      <c r="K103" s="63">
        <f>+[12]Result!$C$42</f>
        <v>-14299.462165032886</v>
      </c>
      <c r="L103" s="62">
        <f>+[13]Result!$C$42</f>
        <v>-14291.663859530921</v>
      </c>
      <c r="M103" s="62">
        <f>+[14]Result!$C$42</f>
        <v>-13614.203203977981</v>
      </c>
      <c r="N103" s="39"/>
    </row>
    <row r="104" spans="2:14" hidden="1" outlineLevel="2" x14ac:dyDescent="0.25">
      <c r="B104" s="17" t="s">
        <v>45</v>
      </c>
      <c r="C104" s="62">
        <f>+[1]Result!$C$43</f>
        <v>-11349.910045817098</v>
      </c>
      <c r="D104" s="62">
        <f>+[5]Result!$C$43</f>
        <v>-11775.137846018008</v>
      </c>
      <c r="E104" s="63">
        <f>+[6]Result!$C$43</f>
        <v>-11543.509577092174</v>
      </c>
      <c r="F104" s="62">
        <f>+[7]Result!$C$43</f>
        <v>-11926.09261054456</v>
      </c>
      <c r="G104" s="62">
        <f>+[8]Result!$C$43</f>
        <v>-11444.490444317467</v>
      </c>
      <c r="H104" s="63">
        <f>+[9]Result!$C$43</f>
        <v>-11639.546903360228</v>
      </c>
      <c r="I104" s="62">
        <f>+[10]Result!$C$43</f>
        <v>-11408.998952801972</v>
      </c>
      <c r="J104" s="62">
        <f>+[11]Result!$C$43</f>
        <v>-11133.106925567132</v>
      </c>
      <c r="K104" s="63">
        <f>+[12]Result!$C$43</f>
        <v>-11578.044086596425</v>
      </c>
      <c r="L104" s="62">
        <f>+[13]Result!$C$43</f>
        <v>-11569.394351119518</v>
      </c>
      <c r="M104" s="62">
        <f>+[14]Result!$C$43</f>
        <v>-11019.072361133489</v>
      </c>
      <c r="N104" s="39"/>
    </row>
    <row r="105" spans="2:14" hidden="1" outlineLevel="2" x14ac:dyDescent="0.25">
      <c r="B105" s="17" t="s">
        <v>46</v>
      </c>
      <c r="C105" s="62">
        <f>+[1]Result!$C$44</f>
        <v>-9015.8098610350626</v>
      </c>
      <c r="D105" s="62">
        <f>+[5]Result!$C$44</f>
        <v>-9355.273440356219</v>
      </c>
      <c r="E105" s="63">
        <f>+[6]Result!$C$44</f>
        <v>-8356.0246217555286</v>
      </c>
      <c r="F105" s="62">
        <f>+[7]Result!$C$44</f>
        <v>-8633.6078883792361</v>
      </c>
      <c r="G105" s="62">
        <f>+[8]Result!$C$44</f>
        <v>-8282.5014577977818</v>
      </c>
      <c r="H105" s="63">
        <f>+[9]Result!$C$44</f>
        <v>-8589.1401774371661</v>
      </c>
      <c r="I105" s="62">
        <f>+[10]Result!$C$44</f>
        <v>-8419.4878055018507</v>
      </c>
      <c r="J105" s="62">
        <f>+[11]Result!$C$44</f>
        <v>-8213.8247651199999</v>
      </c>
      <c r="K105" s="63">
        <f>+[12]Result!$C$44</f>
        <v>-7725.7987717303322</v>
      </c>
      <c r="L105" s="62">
        <f>+[13]Result!$C$44</f>
        <v>-7719.8774338240355</v>
      </c>
      <c r="M105" s="62">
        <f>+[14]Result!$C$44</f>
        <v>-7350.4195387663731</v>
      </c>
      <c r="N105" s="39"/>
    </row>
    <row r="106" spans="2:14" hidden="1" outlineLevel="2" x14ac:dyDescent="0.25">
      <c r="B106" s="17" t="s">
        <v>47</v>
      </c>
      <c r="C106" s="62">
        <f>+[1]Result!$C$45</f>
        <v>-3594.6423084808293</v>
      </c>
      <c r="D106" s="62">
        <f>+[5]Result!$C$45</f>
        <v>-3730.5142435092393</v>
      </c>
      <c r="E106" s="63">
        <f>+[6]Result!$C$45</f>
        <v>-3397.4935582154299</v>
      </c>
      <c r="F106" s="62">
        <f>+[7]Result!$C$45</f>
        <v>-3509.7920038803227</v>
      </c>
      <c r="G106" s="62">
        <f>+[8]Result!$C$45</f>
        <v>-3366.8491670607127</v>
      </c>
      <c r="H106" s="63">
        <f>+[9]Result!$C$45</f>
        <v>-3508.3161114082377</v>
      </c>
      <c r="I106" s="62">
        <f>+[10]Result!$C$45</f>
        <v>-3439.3186067921106</v>
      </c>
      <c r="J106" s="62">
        <f>+[11]Result!$C$45</f>
        <v>-3355.1857467322429</v>
      </c>
      <c r="K106" s="63">
        <f>+[12]Result!$C$45</f>
        <v>-3146.6201734623305</v>
      </c>
      <c r="L106" s="62">
        <f>+[13]Result!$C$45</f>
        <v>-3144.1475713760697</v>
      </c>
      <c r="M106" s="62">
        <f>+[14]Result!$C$45</f>
        <v>-2992.3157077310866</v>
      </c>
      <c r="N106" s="39"/>
    </row>
    <row r="107" spans="2:14" hidden="1" outlineLevel="2" x14ac:dyDescent="0.25">
      <c r="B107" s="17" t="s">
        <v>48</v>
      </c>
      <c r="C107" s="62">
        <f>+[1]Result!$C$46</f>
        <v>-1464.9813747000192</v>
      </c>
      <c r="D107" s="62">
        <f>+[5]Result!$C$46</f>
        <v>-1520.8170415163149</v>
      </c>
      <c r="E107" s="63">
        <f>+[6]Result!$C$46</f>
        <v>-1405.0568874677729</v>
      </c>
      <c r="F107" s="62">
        <f>+[7]Result!$C$46</f>
        <v>-1451.4846589889933</v>
      </c>
      <c r="G107" s="62">
        <f>+[8]Result!$C$46</f>
        <v>-1392.3533461107775</v>
      </c>
      <c r="H107" s="63">
        <f>+[9]Result!$C$46</f>
        <v>-1451.8746519511105</v>
      </c>
      <c r="I107" s="62">
        <f>+[10]Result!$C$46</f>
        <v>-1423.1981432006091</v>
      </c>
      <c r="J107" s="62">
        <f>+[11]Result!$C$46</f>
        <v>-1388.3763093988366</v>
      </c>
      <c r="K107" s="63">
        <f>+[12]Result!$C$46</f>
        <v>-1319.8167416793956</v>
      </c>
      <c r="L107" s="62">
        <f>+[13]Result!$C$46</f>
        <v>-1318.7540923617296</v>
      </c>
      <c r="M107" s="62">
        <f>+[14]Result!$C$46</f>
        <v>-1254.8013116791237</v>
      </c>
      <c r="N107" s="39"/>
    </row>
    <row r="108" spans="2:14" hidden="1" outlineLevel="2" x14ac:dyDescent="0.25">
      <c r="B108" s="17" t="s">
        <v>49</v>
      </c>
      <c r="C108" s="62">
        <f>+[1]Result!$C$47</f>
        <v>-734.02009441733412</v>
      </c>
      <c r="D108" s="62">
        <f>+[5]Result!$C$47</f>
        <v>-762.20655947521732</v>
      </c>
      <c r="E108" s="63">
        <f>+[6]Result!$C$47</f>
        <v>-717.1686574862033</v>
      </c>
      <c r="F108" s="62">
        <f>+[7]Result!$C$47</f>
        <v>-740.98522236402164</v>
      </c>
      <c r="G108" s="62">
        <f>+[8]Result!$C$47</f>
        <v>-710.67705710689381</v>
      </c>
      <c r="H108" s="63">
        <f>+[9]Result!$C$47</f>
        <v>-733.85117762261257</v>
      </c>
      <c r="I108" s="62">
        <f>+[10]Result!$C$47</f>
        <v>-719.3085068504829</v>
      </c>
      <c r="J108" s="62">
        <f>+[11]Result!$C$47</f>
        <v>-701.58037888906301</v>
      </c>
      <c r="K108" s="63">
        <f>+[12]Result!$C$47</f>
        <v>-674.52510735679948</v>
      </c>
      <c r="L108" s="62">
        <f>+[13]Result!$C$47</f>
        <v>-673.96895901960465</v>
      </c>
      <c r="M108" s="62">
        <f>+[14]Result!$C$47</f>
        <v>-641.17925075802316</v>
      </c>
      <c r="N108" s="39"/>
    </row>
    <row r="109" spans="2:14" hidden="1" outlineLevel="2" x14ac:dyDescent="0.25">
      <c r="B109" s="17" t="s">
        <v>50</v>
      </c>
      <c r="C109" s="62">
        <f>+[1]Result!$C$48</f>
        <v>-433.60480575988703</v>
      </c>
      <c r="D109" s="62">
        <f>+[5]Result!$C$48</f>
        <v>-450.27065814168861</v>
      </c>
      <c r="E109" s="63">
        <f>+[6]Result!$C$48</f>
        <v>-418.86153913100105</v>
      </c>
      <c r="F109" s="62">
        <f>+[7]Result!$C$48</f>
        <v>-432.6453907831733</v>
      </c>
      <c r="G109" s="62">
        <f>+[8]Result!$C$48</f>
        <v>-414.98166718759001</v>
      </c>
      <c r="H109" s="63">
        <f>+[9]Result!$C$48</f>
        <v>-424.7262790563737</v>
      </c>
      <c r="I109" s="62">
        <f>+[10]Result!$C$48</f>
        <v>-416.28975964644741</v>
      </c>
      <c r="J109" s="62">
        <f>+[11]Result!$C$48</f>
        <v>-405.96333992240579</v>
      </c>
      <c r="K109" s="63">
        <f>+[12]Result!$C$48</f>
        <v>-390.10817240548039</v>
      </c>
      <c r="L109" s="62">
        <f>+[13]Result!$C$48</f>
        <v>-389.77897662979115</v>
      </c>
      <c r="M109" s="62">
        <f>+[14]Result!$C$48</f>
        <v>-370.69391561263546</v>
      </c>
      <c r="N109" s="39"/>
    </row>
    <row r="110" spans="2:14" hidden="1" outlineLevel="2" x14ac:dyDescent="0.25">
      <c r="B110" s="17" t="s">
        <v>51</v>
      </c>
      <c r="C110" s="62">
        <f>+[1]Result!$C$49</f>
        <v>-239.91696043602747</v>
      </c>
      <c r="D110" s="62">
        <f>+[5]Result!$C$49</f>
        <v>-249.13714918360404</v>
      </c>
      <c r="E110" s="63">
        <f>+[6]Result!$C$49</f>
        <v>-234.44133614261602</v>
      </c>
      <c r="F110" s="62">
        <f>+[7]Result!$C$49</f>
        <v>-242.12565540178153</v>
      </c>
      <c r="G110" s="62">
        <f>+[8]Result!$C$49</f>
        <v>-232.27024342031686</v>
      </c>
      <c r="H110" s="63">
        <f>+[9]Result!$C$49</f>
        <v>-239.42481726623197</v>
      </c>
      <c r="I110" s="62">
        <f>+[10]Result!$C$49</f>
        <v>-234.66244431270346</v>
      </c>
      <c r="J110" s="62">
        <f>+[11]Result!$C$49</f>
        <v>-228.85755787552719</v>
      </c>
      <c r="K110" s="63">
        <f>+[12]Result!$C$49</f>
        <v>-220.50922881407544</v>
      </c>
      <c r="L110" s="62">
        <f>+[13]Result!$C$49</f>
        <v>-220.31888313946703</v>
      </c>
      <c r="M110" s="62">
        <f>+[14]Result!$C$49</f>
        <v>-209.5155732986502</v>
      </c>
      <c r="N110" s="39"/>
    </row>
    <row r="111" spans="2:14" hidden="1" outlineLevel="2" x14ac:dyDescent="0.25">
      <c r="B111" s="17" t="s">
        <v>52</v>
      </c>
      <c r="C111" s="62">
        <f>+[1]Result!$C$50</f>
        <v>-130.43166426832892</v>
      </c>
      <c r="D111" s="62">
        <f>+[5]Result!$C$50</f>
        <v>-135.46824290135481</v>
      </c>
      <c r="E111" s="63">
        <f>+[6]Result!$C$50</f>
        <v>-127.06038352212131</v>
      </c>
      <c r="F111" s="62">
        <f>+[7]Result!$C$50</f>
        <v>-131.23278981539545</v>
      </c>
      <c r="G111" s="62">
        <f>+[8]Result!$C$50</f>
        <v>-125.88547559526197</v>
      </c>
      <c r="H111" s="63">
        <f>+[9]Result!$C$50</f>
        <v>-129.91352749926313</v>
      </c>
      <c r="I111" s="62">
        <f>+[10]Result!$C$50</f>
        <v>-127.3563138183583</v>
      </c>
      <c r="J111" s="62">
        <f>+[11]Result!$C$50</f>
        <v>-124.19121100697478</v>
      </c>
      <c r="K111" s="63">
        <f>+[12]Result!$C$50</f>
        <v>-118.42927000741241</v>
      </c>
      <c r="L111" s="62">
        <f>+[13]Result!$C$50</f>
        <v>-118.32474916638043</v>
      </c>
      <c r="M111" s="62">
        <f>+[14]Result!$C$50</f>
        <v>-112.51999273152317</v>
      </c>
      <c r="N111" s="39"/>
    </row>
    <row r="112" spans="2:14" hidden="1" outlineLevel="2" x14ac:dyDescent="0.25">
      <c r="B112" s="17" t="s">
        <v>53</v>
      </c>
      <c r="C112" s="62">
        <f>+[1]Result!$C$51</f>
        <v>-67.32722304544771</v>
      </c>
      <c r="D112" s="62">
        <f>+[5]Result!$C$51</f>
        <v>-69.9217967858267</v>
      </c>
      <c r="E112" s="63">
        <f>+[6]Result!$C$51</f>
        <v>-65.736038593704549</v>
      </c>
      <c r="F112" s="62">
        <f>+[7]Result!$C$51</f>
        <v>-67.896553540079339</v>
      </c>
      <c r="G112" s="62">
        <f>+[8]Result!$C$51</f>
        <v>-65.114943789328123</v>
      </c>
      <c r="H112" s="63">
        <f>+[9]Result!$C$51</f>
        <v>-67.942105529876073</v>
      </c>
      <c r="I112" s="62">
        <f>+[10]Result!$C$51</f>
        <v>-66.605927366946844</v>
      </c>
      <c r="J112" s="62">
        <f>+[11]Result!$C$51</f>
        <v>-64.943913309976637</v>
      </c>
      <c r="K112" s="63">
        <f>+[12]Result!$C$51</f>
        <v>-60.985110015968452</v>
      </c>
      <c r="L112" s="62">
        <f>+[13]Result!$C$51</f>
        <v>-60.930107144340816</v>
      </c>
      <c r="M112" s="62">
        <f>+[14]Result!$C$51</f>
        <v>-57.929303163601375</v>
      </c>
      <c r="N112" s="39"/>
    </row>
    <row r="113" spans="2:26" hidden="1" outlineLevel="2" x14ac:dyDescent="0.25">
      <c r="B113" s="17" t="s">
        <v>54</v>
      </c>
      <c r="C113" s="62">
        <f>+[1]Result!$C$52</f>
        <v>-30.26901506262417</v>
      </c>
      <c r="D113" s="62">
        <f>+[5]Result!$C$52</f>
        <v>-31.431757877249865</v>
      </c>
      <c r="E113" s="63">
        <f>+[6]Result!$C$52</f>
        <v>-28.611671900662198</v>
      </c>
      <c r="F113" s="62">
        <f>+[7]Result!$C$52</f>
        <v>-29.558853574156629</v>
      </c>
      <c r="G113" s="62">
        <f>+[8]Result!$C$52</f>
        <v>-28.342082992628704</v>
      </c>
      <c r="H113" s="63">
        <f>+[9]Result!$C$52</f>
        <v>-30.498578520610582</v>
      </c>
      <c r="I113" s="62">
        <f>+[10]Result!$C$52</f>
        <v>-29.892896310891057</v>
      </c>
      <c r="J113" s="62">
        <f>+[11]Result!$C$52</f>
        <v>-29.151357941436604</v>
      </c>
      <c r="K113" s="63">
        <f>+[12]Result!$C$52</f>
        <v>-27.094693400393304</v>
      </c>
      <c r="L113" s="62">
        <f>+[13]Result!$C$52</f>
        <v>-27.069732367978688</v>
      </c>
      <c r="M113" s="62">
        <f>+[14]Result!$C$52</f>
        <v>-25.738239382260431</v>
      </c>
      <c r="N113" s="39"/>
    </row>
    <row r="114" spans="2:26" hidden="1" outlineLevel="2" x14ac:dyDescent="0.25">
      <c r="B114" s="17" t="s">
        <v>55</v>
      </c>
      <c r="C114" s="62">
        <f>+[1]Result!$C$53</f>
        <v>-11.104792968254637</v>
      </c>
      <c r="D114" s="62">
        <f>+[5]Result!$C$53</f>
        <v>-11.532319100248507</v>
      </c>
      <c r="E114" s="63">
        <f>+[6]Result!$C$53</f>
        <v>-10.224619289912912</v>
      </c>
      <c r="F114" s="62">
        <f>+[7]Result!$C$53</f>
        <v>-10.56285685043842</v>
      </c>
      <c r="G114" s="62">
        <f>+[8]Result!$C$53</f>
        <v>-10.128668926561344</v>
      </c>
      <c r="H114" s="63">
        <f>+[9]Result!$C$53</f>
        <v>-10.394934532652972</v>
      </c>
      <c r="I114" s="62">
        <f>+[10]Result!$C$53</f>
        <v>-10.189001697201844</v>
      </c>
      <c r="J114" s="62">
        <f>+[11]Result!$C$53</f>
        <v>-9.9333560317748777</v>
      </c>
      <c r="K114" s="63">
        <f>+[12]Result!$C$53</f>
        <v>-9.0403147166375497</v>
      </c>
      <c r="L114" s="62">
        <f>+[13]Result!$C$53</f>
        <v>-9.0318113838463692</v>
      </c>
      <c r="M114" s="62">
        <f>+[14]Result!$C$53</f>
        <v>-8.586553006107577</v>
      </c>
      <c r="N114" s="39"/>
    </row>
    <row r="115" spans="2:26" hidden="1" outlineLevel="2" x14ac:dyDescent="0.25">
      <c r="B115" s="17" t="s">
        <v>56</v>
      </c>
      <c r="C115" s="62">
        <f>+[1]Result!$C$54</f>
        <v>-2.8759704124216965</v>
      </c>
      <c r="D115" s="62">
        <f>+[5]Result!$C$54</f>
        <v>-2.9868438242360571</v>
      </c>
      <c r="E115" s="63">
        <f>+[6]Result!$C$54</f>
        <v>-2.471653368288818</v>
      </c>
      <c r="F115" s="62">
        <f>+[7]Result!$C$54</f>
        <v>-2.5526660912688182</v>
      </c>
      <c r="G115" s="62">
        <f>+[8]Result!$C$54</f>
        <v>-2.4479845896867496</v>
      </c>
      <c r="H115" s="63">
        <f>+[9]Result!$C$54</f>
        <v>-2.6486363873841596</v>
      </c>
      <c r="I115" s="62">
        <f>+[10]Result!$C$54</f>
        <v>-2.5963433544970855</v>
      </c>
      <c r="J115" s="62">
        <f>+[11]Result!$C$54</f>
        <v>-2.5310849370841759</v>
      </c>
      <c r="K115" s="63">
        <f>+[12]Result!$C$54</f>
        <v>-2.2825179220663596</v>
      </c>
      <c r="L115" s="62">
        <f>+[13]Result!$C$54</f>
        <v>-2.2803268154882406</v>
      </c>
      <c r="M115" s="62">
        <f>+[14]Result!$C$54</f>
        <v>-2.1672101544603186</v>
      </c>
      <c r="N115" s="39"/>
    </row>
    <row r="116" spans="2:26" collapsed="1" x14ac:dyDescent="0.25">
      <c r="B116" s="13" t="s">
        <v>58</v>
      </c>
      <c r="C116" s="62">
        <f>+SUM([1]Result!$K$5:$K$54)</f>
        <v>-1005995626.2494037</v>
      </c>
      <c r="D116" s="62">
        <f>+SUM([5]Result!$K$5:$K$54)</f>
        <v>-1007668268.5658641</v>
      </c>
      <c r="E116" s="63">
        <f>+SUM([6]Result!$K$5:$K$54)</f>
        <v>-1040078008.9905136</v>
      </c>
      <c r="F116" s="62">
        <f>+SUM([7]Result!$K$5:$K$54)</f>
        <v>-1043862042.1697321</v>
      </c>
      <c r="G116" s="62">
        <f>+SUM([8]Result!$K$5:$K$54)</f>
        <v>-1042616555.1299289</v>
      </c>
      <c r="H116" s="63">
        <f>+SUM([9]Result!$K$5:$K$54)</f>
        <v>-1010312613.0500355</v>
      </c>
      <c r="I116" s="62">
        <f>+SUM([10]Result!$K$5:$K$54)</f>
        <v>-1009039881.9394641</v>
      </c>
      <c r="J116" s="62">
        <f>+SUM([11]Result!$K$5:$K$54)</f>
        <v>-1009168166.4567928</v>
      </c>
      <c r="K116" s="63">
        <f>+SUM([12]Result!$K$5:$K$54)</f>
        <v>-1012288829.5180184</v>
      </c>
      <c r="L116" s="62">
        <f>+SUM([13]Result!$K$5:$K$54)</f>
        <v>-1012780210.0728967</v>
      </c>
      <c r="M116" s="62">
        <f>+SUM([14]Result!$K$5:$K$54)</f>
        <v>-1011230393.9710463</v>
      </c>
      <c r="N116" s="39"/>
      <c r="O116" s="14">
        <f>+C116-(C117+C123+C129+C140+C151)</f>
        <v>0</v>
      </c>
      <c r="P116" s="14">
        <f t="shared" ref="P116:R116" si="36">+D116-(D117+D123+D129+D140+D151)</f>
        <v>0</v>
      </c>
      <c r="Q116" s="14">
        <f t="shared" si="36"/>
        <v>0</v>
      </c>
      <c r="R116" s="14">
        <f t="shared" si="36"/>
        <v>0</v>
      </c>
      <c r="S116" s="14">
        <f t="shared" ref="S116" si="37">+G116-(G117+G123+G129+G140+G151)</f>
        <v>0</v>
      </c>
      <c r="T116" s="14">
        <f t="shared" ref="T116:Z116" si="38">+H116-(H117+H123+H129+H140+H151)</f>
        <v>0</v>
      </c>
      <c r="U116" s="14">
        <f t="shared" si="38"/>
        <v>0</v>
      </c>
      <c r="V116" s="14">
        <f t="shared" si="38"/>
        <v>0</v>
      </c>
      <c r="W116" s="14">
        <f t="shared" si="38"/>
        <v>0</v>
      </c>
      <c r="X116" s="14">
        <f t="shared" si="38"/>
        <v>0</v>
      </c>
      <c r="Y116" s="14">
        <f t="shared" si="38"/>
        <v>0</v>
      </c>
      <c r="Z116" s="14">
        <f t="shared" si="38"/>
        <v>0</v>
      </c>
    </row>
    <row r="117" spans="2:26" hidden="1" outlineLevel="1" x14ac:dyDescent="0.25">
      <c r="B117" s="16" t="s">
        <v>2</v>
      </c>
      <c r="C117" s="62" cm="1">
        <f t="array" ref="C117">+[1]!PV_DOWN_1_5</f>
        <v>-838463820.93176723</v>
      </c>
      <c r="D117" s="62" cm="1">
        <f t="array" ref="D117">+[5]!PV_DOWN_1_5</f>
        <v>-839087327.38156056</v>
      </c>
      <c r="E117" s="63" cm="1">
        <f t="array" ref="E117">+[6]!PV_DOWN_1_5</f>
        <v>-881784615.63763845</v>
      </c>
      <c r="F117" s="62" cm="1">
        <f t="array" ref="F117">+[7]!PV_DOWN_1_5</f>
        <v>-883219636.72303915</v>
      </c>
      <c r="G117" s="62" cm="1">
        <f t="array" ref="G117">+[8]!PV_DOWN_1_5</f>
        <v>-882957320.36307836</v>
      </c>
      <c r="H117" s="63" cm="1">
        <f t="array" ref="H117">+[9]!PV_DOWN_1_5</f>
        <v>-851076752.51706946</v>
      </c>
      <c r="I117" s="62" cm="1">
        <f t="array" ref="I117">+[10]!PV_DOWN_1_5</f>
        <v>-850620959.52129579</v>
      </c>
      <c r="J117" s="62" cm="1">
        <f t="array" ref="J117">+[11]!PV_DOWN_1_5</f>
        <v>-850826280.04868865</v>
      </c>
      <c r="K117" s="63" cm="1">
        <f t="array" ref="K117">+[12]!PV_DOWN_1_5</f>
        <v>-852722080.76408589</v>
      </c>
      <c r="L117" s="62" cm="1">
        <f t="array" ref="L117">+[13]!PV_DOWN_1_5</f>
        <v>-852887446.66636693</v>
      </c>
      <c r="M117" s="62" cm="1">
        <f t="array" ref="M117">+[14]!PV_DOWN_1_5</f>
        <v>-852642455.30969322</v>
      </c>
      <c r="N117" s="39"/>
      <c r="O117" s="14">
        <f>+C117-SUM(C118:C122)</f>
        <v>0</v>
      </c>
      <c r="P117" s="14">
        <f t="shared" ref="P117:R117" si="39">+D117-SUM(D118:D122)</f>
        <v>0</v>
      </c>
      <c r="Q117" s="14">
        <f t="shared" si="39"/>
        <v>0</v>
      </c>
      <c r="R117" s="14">
        <f t="shared" si="39"/>
        <v>0</v>
      </c>
      <c r="S117" s="14">
        <f t="shared" ref="S117" si="40">+G117-SUM(G118:G122)</f>
        <v>0</v>
      </c>
      <c r="T117" s="14">
        <f t="shared" ref="T117:Z117" si="41">+H117-SUM(H118:H122)</f>
        <v>0</v>
      </c>
      <c r="U117" s="14">
        <f t="shared" si="41"/>
        <v>0</v>
      </c>
      <c r="V117" s="14">
        <f t="shared" si="41"/>
        <v>0</v>
      </c>
      <c r="W117" s="14">
        <f t="shared" si="41"/>
        <v>0</v>
      </c>
      <c r="X117" s="14">
        <f t="shared" si="41"/>
        <v>0</v>
      </c>
      <c r="Y117" s="14">
        <f t="shared" si="41"/>
        <v>0</v>
      </c>
      <c r="Z117" s="14">
        <f t="shared" si="41"/>
        <v>0</v>
      </c>
    </row>
    <row r="118" spans="2:26" hidden="1" outlineLevel="2" x14ac:dyDescent="0.25">
      <c r="B118" s="17" t="s">
        <v>3</v>
      </c>
      <c r="C118" s="62">
        <f>+[1]Result!$K$5</f>
        <v>-409591315.18106455</v>
      </c>
      <c r="D118" s="62">
        <f>+[5]Result!$K$5</f>
        <v>-409668502.25602406</v>
      </c>
      <c r="E118" s="63">
        <f>+[6]Result!$K$5</f>
        <v>-410680227.98102021</v>
      </c>
      <c r="F118" s="62">
        <f>+[7]Result!$K$5</f>
        <v>-410824956.79612827</v>
      </c>
      <c r="G118" s="62">
        <f>+[8]Result!$K$5</f>
        <v>-410816797.62256449</v>
      </c>
      <c r="H118" s="63">
        <f>+[9]Result!$K$5</f>
        <v>-373326520.93648678</v>
      </c>
      <c r="I118" s="62">
        <f>+[10]Result!$K$5</f>
        <v>-373295018.8322162</v>
      </c>
      <c r="J118" s="62">
        <f>+[11]Result!$K$5</f>
        <v>-373300577.25259525</v>
      </c>
      <c r="K118" s="63">
        <f>+[12]Result!$K$5</f>
        <v>-353359788.63315421</v>
      </c>
      <c r="L118" s="62">
        <f>+[13]Result!$K$5</f>
        <v>-353358035.18292451</v>
      </c>
      <c r="M118" s="62">
        <f>+[14]Result!$K$5</f>
        <v>-353352775.04158163</v>
      </c>
      <c r="N118" s="39"/>
    </row>
    <row r="119" spans="2:26" hidden="1" outlineLevel="2" x14ac:dyDescent="0.25">
      <c r="B119" s="17" t="s">
        <v>4</v>
      </c>
      <c r="C119" s="62">
        <f>+[1]Result!$K$6</f>
        <v>-219175282.754287</v>
      </c>
      <c r="D119" s="62">
        <f>+[5]Result!$K$6</f>
        <v>-219312225.13753405</v>
      </c>
      <c r="E119" s="63">
        <f>+[6]Result!$K$6</f>
        <v>-259313701.13443306</v>
      </c>
      <c r="F119" s="62">
        <f>+[7]Result!$K$6</f>
        <v>-259680368.93439272</v>
      </c>
      <c r="G119" s="62">
        <f>+[8]Result!$K$6</f>
        <v>-259626352.13247922</v>
      </c>
      <c r="H119" s="63">
        <f>+[9]Result!$K$6</f>
        <v>-265649535.92466536</v>
      </c>
      <c r="I119" s="62">
        <f>+[10]Result!$K$6</f>
        <v>-265537675.18478703</v>
      </c>
      <c r="J119" s="62">
        <f>+[11]Result!$K$6</f>
        <v>-265575788.44777539</v>
      </c>
      <c r="K119" s="63">
        <f>+[12]Result!$K$6</f>
        <v>-275133521.31068218</v>
      </c>
      <c r="L119" s="62">
        <f>+[13]Result!$K$6</f>
        <v>-275162059.10654783</v>
      </c>
      <c r="M119" s="62">
        <f>+[14]Result!$K$6</f>
        <v>-275117146.05700254</v>
      </c>
      <c r="N119" s="39"/>
    </row>
    <row r="120" spans="2:26" hidden="1" outlineLevel="2" x14ac:dyDescent="0.25">
      <c r="B120" s="17" t="s">
        <v>5</v>
      </c>
      <c r="C120" s="62">
        <f>+[1]Result!$K$7</f>
        <v>-107909055.56440555</v>
      </c>
      <c r="D120" s="62">
        <f>+[5]Result!$K$7</f>
        <v>-108058577.55110247</v>
      </c>
      <c r="E120" s="63">
        <f>+[6]Result!$K$7</f>
        <v>-108913358.93339667</v>
      </c>
      <c r="F120" s="62">
        <f>+[7]Result!$K$7</f>
        <v>-109242735.66114226</v>
      </c>
      <c r="G120" s="62">
        <f>+[8]Result!$K$7</f>
        <v>-109178392.65490758</v>
      </c>
      <c r="H120" s="63">
        <f>+[9]Result!$K$7</f>
        <v>-108600084.99793562</v>
      </c>
      <c r="I120" s="62">
        <f>+[10]Result!$K$7</f>
        <v>-108487851.38391623</v>
      </c>
      <c r="J120" s="62">
        <f>+[11]Result!$K$7</f>
        <v>-108543612.61121885</v>
      </c>
      <c r="K120" s="63">
        <f>+[12]Result!$K$7</f>
        <v>-117155367.48964781</v>
      </c>
      <c r="L120" s="62">
        <f>+[13]Result!$K$7</f>
        <v>-117199384.73799925</v>
      </c>
      <c r="M120" s="62">
        <f>+[14]Result!$K$7</f>
        <v>-117142039.17749999</v>
      </c>
      <c r="N120" s="39"/>
    </row>
    <row r="121" spans="2:26" hidden="1" outlineLevel="2" x14ac:dyDescent="0.25">
      <c r="B121" s="17" t="s">
        <v>6</v>
      </c>
      <c r="C121" s="62">
        <f>+[1]Result!$K$8</f>
        <v>-59394731.426200487</v>
      </c>
      <c r="D121" s="62">
        <f>+[5]Result!$K$8</f>
        <v>-59526465.471630722</v>
      </c>
      <c r="E121" s="63">
        <f>+[6]Result!$K$8</f>
        <v>-60752526.474339604</v>
      </c>
      <c r="F121" s="62">
        <f>+[7]Result!$K$8</f>
        <v>-61052408.874852911</v>
      </c>
      <c r="G121" s="62">
        <f>+[8]Result!$K$8</f>
        <v>-60985732.903801881</v>
      </c>
      <c r="H121" s="63">
        <f>+[9]Result!$K$8</f>
        <v>-61035400.21805653</v>
      </c>
      <c r="I121" s="62">
        <f>+[10]Result!$K$8</f>
        <v>-60932591.930353567</v>
      </c>
      <c r="J121" s="62">
        <f>+[11]Result!$K$8</f>
        <v>-60988646.618008211</v>
      </c>
      <c r="K121" s="63">
        <f>+[12]Result!$K$8</f>
        <v>-63671508.903889768</v>
      </c>
      <c r="L121" s="62">
        <f>+[13]Result!$K$8</f>
        <v>-63717434.476009876</v>
      </c>
      <c r="M121" s="62">
        <f>+[14]Result!$K$8</f>
        <v>-63654249.900979929</v>
      </c>
      <c r="N121" s="39"/>
    </row>
    <row r="122" spans="2:26" hidden="1" outlineLevel="2" x14ac:dyDescent="0.25">
      <c r="B122" s="17" t="s">
        <v>7</v>
      </c>
      <c r="C122" s="62">
        <f>+[1]Result!$K$9</f>
        <v>-42393436.00580956</v>
      </c>
      <c r="D122" s="62">
        <f>+[5]Result!$K$9</f>
        <v>-42521556.965269253</v>
      </c>
      <c r="E122" s="63">
        <f>+[6]Result!$K$9</f>
        <v>-42124801.114448957</v>
      </c>
      <c r="F122" s="62">
        <f>+[7]Result!$K$9</f>
        <v>-42419166.456523091</v>
      </c>
      <c r="G122" s="62">
        <f>+[8]Result!$K$9</f>
        <v>-42350045.049325161</v>
      </c>
      <c r="H122" s="63">
        <f>+[9]Result!$K$9</f>
        <v>-42465210.439925097</v>
      </c>
      <c r="I122" s="62">
        <f>+[10]Result!$K$9</f>
        <v>-42367822.190022685</v>
      </c>
      <c r="J122" s="62">
        <f>+[11]Result!$K$9</f>
        <v>-42417655.119090937</v>
      </c>
      <c r="K122" s="63">
        <f>+[12]Result!$K$9</f>
        <v>-43401894.426711813</v>
      </c>
      <c r="L122" s="62">
        <f>+[13]Result!$K$9</f>
        <v>-43450533.162885509</v>
      </c>
      <c r="M122" s="62">
        <f>+[14]Result!$K$9</f>
        <v>-43376245.132629208</v>
      </c>
      <c r="N122" s="39"/>
    </row>
    <row r="123" spans="2:26" hidden="1" outlineLevel="1" collapsed="1" x14ac:dyDescent="0.25">
      <c r="B123" s="16" t="s">
        <v>8</v>
      </c>
      <c r="C123" s="62" cm="1">
        <f t="array" ref="C123">+[1]!PV_DOWN_6_10</f>
        <v>-107317350.04528131</v>
      </c>
      <c r="D123" s="62" cm="1">
        <f t="array" ref="D123">+[5]!PV_DOWN_6_10</f>
        <v>-107835913.99983661</v>
      </c>
      <c r="E123" s="63" cm="1">
        <f t="array" ref="E123">+[6]!PV_DOWN_6_10</f>
        <v>-104058765.6619495</v>
      </c>
      <c r="F123" s="62" cm="1">
        <f t="array" ref="F123">+[7]!PV_DOWN_6_10</f>
        <v>-105238011.51752402</v>
      </c>
      <c r="G123" s="62" cm="1">
        <f t="array" ref="G123">+[8]!PV_DOWN_6_10</f>
        <v>-104908419.6925336</v>
      </c>
      <c r="H123" s="63" cm="1">
        <f t="array" ref="H123">+[9]!PV_DOWN_6_10</f>
        <v>-105180265.26413938</v>
      </c>
      <c r="I123" s="62" cm="1">
        <f t="array" ref="I123">+[10]!PV_DOWN_6_10</f>
        <v>-104803292.44605707</v>
      </c>
      <c r="J123" s="62" cm="1">
        <f t="array" ref="J123">+[11]!PV_DOWN_6_10</f>
        <v>-104942418.86835527</v>
      </c>
      <c r="K123" s="63" cm="1">
        <f t="array" ref="K123">+[12]!PV_DOWN_6_10</f>
        <v>-105271269.62048636</v>
      </c>
      <c r="L123" s="62" cm="1">
        <f t="array" ref="L123">+[13]!PV_DOWN_6_10</f>
        <v>-105475268.37712587</v>
      </c>
      <c r="M123" s="62" cm="1">
        <f t="array" ref="M123">+[14]!PV_DOWN_6_10</f>
        <v>-105024529.14411536</v>
      </c>
      <c r="N123" s="39"/>
      <c r="O123" s="14">
        <f>+C123-SUM(C124:C128)</f>
        <v>0</v>
      </c>
      <c r="P123" s="14">
        <f t="shared" ref="P123:R123" si="42">+D123-SUM(D124:D128)</f>
        <v>0</v>
      </c>
      <c r="Q123" s="14">
        <f t="shared" si="42"/>
        <v>0</v>
      </c>
      <c r="R123" s="14">
        <f t="shared" si="42"/>
        <v>0</v>
      </c>
      <c r="S123" s="14">
        <f t="shared" ref="S123" si="43">+G123-SUM(G124:G128)</f>
        <v>0</v>
      </c>
      <c r="T123" s="14">
        <f t="shared" ref="T123:Z123" si="44">+H123-SUM(H124:H128)</f>
        <v>0</v>
      </c>
      <c r="U123" s="14">
        <f t="shared" si="44"/>
        <v>0</v>
      </c>
      <c r="V123" s="14">
        <f t="shared" si="44"/>
        <v>0</v>
      </c>
      <c r="W123" s="14">
        <f t="shared" si="44"/>
        <v>0</v>
      </c>
      <c r="X123" s="14">
        <f t="shared" si="44"/>
        <v>0</v>
      </c>
      <c r="Y123" s="14">
        <f t="shared" si="44"/>
        <v>0</v>
      </c>
      <c r="Z123" s="14">
        <f t="shared" si="44"/>
        <v>0</v>
      </c>
    </row>
    <row r="124" spans="2:26" hidden="1" outlineLevel="2" x14ac:dyDescent="0.25">
      <c r="B124" s="17" t="s">
        <v>9</v>
      </c>
      <c r="C124" s="62">
        <f>+[1]Result!$K$10</f>
        <v>-33022617.83627509</v>
      </c>
      <c r="D124" s="62">
        <f>+[5]Result!$K$10</f>
        <v>-33152122.649020441</v>
      </c>
      <c r="E124" s="63">
        <f>+[6]Result!$K$10</f>
        <v>-32463929.08966646</v>
      </c>
      <c r="F124" s="62">
        <f>+[7]Result!$K$10</f>
        <v>-32754497.179564428</v>
      </c>
      <c r="G124" s="62">
        <f>+[8]Result!$K$10</f>
        <v>-32683124.695696812</v>
      </c>
      <c r="H124" s="63">
        <f>+[9]Result!$K$10</f>
        <v>-32629677.85170345</v>
      </c>
      <c r="I124" s="62">
        <f>+[10]Result!$K$10</f>
        <v>-32535976.282515075</v>
      </c>
      <c r="J124" s="62">
        <f>+[11]Result!$K$10</f>
        <v>-32580948.066117778</v>
      </c>
      <c r="K124" s="63">
        <f>+[12]Result!$K$10</f>
        <v>-32853128.942626461</v>
      </c>
      <c r="L124" s="62">
        <f>+[13]Result!$K$10</f>
        <v>-32903212.938845661</v>
      </c>
      <c r="M124" s="62">
        <f>+[14]Result!$K$10</f>
        <v>-32815981.474493019</v>
      </c>
      <c r="N124" s="39"/>
    </row>
    <row r="125" spans="2:26" hidden="1" outlineLevel="2" x14ac:dyDescent="0.25">
      <c r="B125" s="17" t="s">
        <v>10</v>
      </c>
      <c r="C125" s="62">
        <f>+[1]Result!$K$11</f>
        <v>-25553607.733288974</v>
      </c>
      <c r="D125" s="62">
        <f>+[5]Result!$K$11</f>
        <v>-25669109.448420282</v>
      </c>
      <c r="E125" s="63">
        <f>+[6]Result!$K$11</f>
        <v>-25043909.174875207</v>
      </c>
      <c r="F125" s="62">
        <f>+[7]Result!$K$11</f>
        <v>-25310871.19519116</v>
      </c>
      <c r="G125" s="62">
        <f>+[8]Result!$K$11</f>
        <v>-25241072.076671153</v>
      </c>
      <c r="H125" s="63">
        <f>+[9]Result!$K$11</f>
        <v>-25317064.067437947</v>
      </c>
      <c r="I125" s="62">
        <f>+[10]Result!$K$11</f>
        <v>-25232984.34162667</v>
      </c>
      <c r="J125" s="62">
        <f>+[11]Result!$K$11</f>
        <v>-25270830.176370457</v>
      </c>
      <c r="K125" s="63">
        <f>+[12]Result!$K$11</f>
        <v>-25404212.240333915</v>
      </c>
      <c r="L125" s="62">
        <f>+[13]Result!$K$11</f>
        <v>-25450568.805704717</v>
      </c>
      <c r="M125" s="62">
        <f>+[14]Result!$K$11</f>
        <v>-25357527.703061771</v>
      </c>
      <c r="N125" s="39"/>
    </row>
    <row r="126" spans="2:26" hidden="1" outlineLevel="2" x14ac:dyDescent="0.25">
      <c r="B126" s="17" t="s">
        <v>11</v>
      </c>
      <c r="C126" s="62">
        <f>+[1]Result!$K$12</f>
        <v>-19954769.816460222</v>
      </c>
      <c r="D126" s="62">
        <f>+[5]Result!$K$12</f>
        <v>-20053774.027692568</v>
      </c>
      <c r="E126" s="63">
        <f>+[6]Result!$K$12</f>
        <v>-19452316.810035195</v>
      </c>
      <c r="F126" s="62">
        <f>+[7]Result!$K$12</f>
        <v>-19689310.521064464</v>
      </c>
      <c r="G126" s="62">
        <f>+[8]Result!$K$12</f>
        <v>-19623089.9276205</v>
      </c>
      <c r="H126" s="63">
        <f>+[9]Result!$K$12</f>
        <v>-19754146.350089859</v>
      </c>
      <c r="I126" s="62">
        <f>+[10]Result!$K$12</f>
        <v>-19680673.629669435</v>
      </c>
      <c r="J126" s="62">
        <f>+[11]Result!$K$12</f>
        <v>-19708825.196826626</v>
      </c>
      <c r="K126" s="63">
        <f>+[12]Result!$K$12</f>
        <v>-19775198.43722181</v>
      </c>
      <c r="L126" s="62">
        <f>+[13]Result!$K$12</f>
        <v>-19816113.035228971</v>
      </c>
      <c r="M126" s="62">
        <f>+[14]Result!$K$12</f>
        <v>-19723187.436824698</v>
      </c>
      <c r="N126" s="39"/>
    </row>
    <row r="127" spans="2:26" hidden="1" outlineLevel="2" x14ac:dyDescent="0.25">
      <c r="B127" s="17" t="s">
        <v>12</v>
      </c>
      <c r="C127" s="62">
        <f>+[1]Result!$K$13</f>
        <v>-15590374.304888655</v>
      </c>
      <c r="D127" s="62">
        <f>+[5]Result!$K$13</f>
        <v>-15676071.194383131</v>
      </c>
      <c r="E127" s="63">
        <f>+[6]Result!$K$13</f>
        <v>-14592751.473241407</v>
      </c>
      <c r="F127" s="62">
        <f>+[7]Result!$K$13</f>
        <v>-14792382.62062004</v>
      </c>
      <c r="G127" s="62">
        <f>+[8]Result!$K$13</f>
        <v>-14731743.441062931</v>
      </c>
      <c r="H127" s="63">
        <f>+[9]Result!$K$13</f>
        <v>-14713881.369652154</v>
      </c>
      <c r="I127" s="62">
        <f>+[10]Result!$K$13</f>
        <v>-14652521.432114251</v>
      </c>
      <c r="J127" s="62">
        <f>+[11]Result!$K$13</f>
        <v>-14670147.599363357</v>
      </c>
      <c r="K127" s="63">
        <f>+[12]Result!$K$13</f>
        <v>-14637436.880737089</v>
      </c>
      <c r="L127" s="62">
        <f>+[13]Result!$K$13</f>
        <v>-14671726.296233401</v>
      </c>
      <c r="M127" s="62">
        <f>+[14]Result!$K$13</f>
        <v>-14586006.947572242</v>
      </c>
      <c r="N127" s="39"/>
    </row>
    <row r="128" spans="2:26" hidden="1" outlineLevel="2" x14ac:dyDescent="0.25">
      <c r="B128" s="17" t="s">
        <v>13</v>
      </c>
      <c r="C128" s="62">
        <f>+[1]Result!$K$14</f>
        <v>-13195980.354368376</v>
      </c>
      <c r="D128" s="62">
        <f>+[5]Result!$K$14</f>
        <v>-13284836.680320194</v>
      </c>
      <c r="E128" s="63">
        <f>+[6]Result!$K$14</f>
        <v>-12505859.114131227</v>
      </c>
      <c r="F128" s="62">
        <f>+[7]Result!$K$14</f>
        <v>-12690950.001083922</v>
      </c>
      <c r="G128" s="62">
        <f>+[8]Result!$K$14</f>
        <v>-12629389.551482195</v>
      </c>
      <c r="H128" s="63">
        <f>+[9]Result!$K$14</f>
        <v>-12765495.62525597</v>
      </c>
      <c r="I128" s="62">
        <f>+[10]Result!$K$14</f>
        <v>-12701136.760131648</v>
      </c>
      <c r="J128" s="62">
        <f>+[11]Result!$K$14</f>
        <v>-12711667.829677053</v>
      </c>
      <c r="K128" s="63">
        <f>+[12]Result!$K$14</f>
        <v>-12601293.119567085</v>
      </c>
      <c r="L128" s="62">
        <f>+[13]Result!$K$14</f>
        <v>-12633647.301113134</v>
      </c>
      <c r="M128" s="62">
        <f>+[14]Result!$K$14</f>
        <v>-12541825.582163638</v>
      </c>
      <c r="N128" s="39"/>
    </row>
    <row r="129" spans="2:26" hidden="1" outlineLevel="1" collapsed="1" x14ac:dyDescent="0.25">
      <c r="B129" s="16" t="s">
        <v>14</v>
      </c>
      <c r="C129" s="62" cm="1">
        <f t="array" ref="C129">+[1]!PV_DOWN_11_20</f>
        <v>-50691409.367879264</v>
      </c>
      <c r="D129" s="62" cm="1">
        <f t="array" ref="D129">+[5]!PV_DOWN_11_20</f>
        <v>-51067286.903747573</v>
      </c>
      <c r="E129" s="63" cm="1">
        <f t="array" ref="E129">+[6]!PV_DOWN_11_20</f>
        <v>-45451104.74807509</v>
      </c>
      <c r="F129" s="62" cm="1">
        <f t="array" ref="F129">+[7]!PV_DOWN_11_20</f>
        <v>-46389640.515242636</v>
      </c>
      <c r="G129" s="62" cm="1">
        <f t="array" ref="G129">+[8]!PV_DOWN_11_20</f>
        <v>-45945295.448779486</v>
      </c>
      <c r="H129" s="63" cm="1">
        <f t="array" ref="H129">+[9]!PV_DOWN_11_20</f>
        <v>-45459156.252508886</v>
      </c>
      <c r="I129" s="62" cm="1">
        <f t="array" ref="I129">+[10]!PV_DOWN_11_20</f>
        <v>-45128061.575251095</v>
      </c>
      <c r="J129" s="62" cm="1">
        <f t="array" ref="J129">+[11]!PV_DOWN_11_20</f>
        <v>-45014909.299826607</v>
      </c>
      <c r="K129" s="63" cm="1">
        <f t="array" ref="K129">+[12]!PV_DOWN_11_20</f>
        <v>-45386471.233052768</v>
      </c>
      <c r="L129" s="62" cm="1">
        <f t="array" ref="L129">+[13]!PV_DOWN_11_20</f>
        <v>-45502523.220274962</v>
      </c>
      <c r="M129" s="62" cm="1">
        <f t="array" ref="M129">+[14]!PV_DOWN_11_20</f>
        <v>-44893195.745162956</v>
      </c>
      <c r="N129" s="39"/>
      <c r="O129" s="14">
        <f>+C129-SUM(C130:C139)</f>
        <v>0</v>
      </c>
      <c r="P129" s="14">
        <f t="shared" ref="P129:R129" si="45">+D129-SUM(D130:D139)</f>
        <v>0</v>
      </c>
      <c r="Q129" s="14">
        <f t="shared" si="45"/>
        <v>0</v>
      </c>
      <c r="R129" s="14">
        <f t="shared" si="45"/>
        <v>0</v>
      </c>
      <c r="S129" s="14">
        <f t="shared" ref="S129" si="46">+G129-SUM(G130:G139)</f>
        <v>0</v>
      </c>
      <c r="T129" s="14">
        <f t="shared" ref="T129:Z129" si="47">+H129-SUM(H130:H139)</f>
        <v>0</v>
      </c>
      <c r="U129" s="14">
        <f t="shared" si="47"/>
        <v>0</v>
      </c>
      <c r="V129" s="14">
        <f t="shared" si="47"/>
        <v>0</v>
      </c>
      <c r="W129" s="14">
        <f t="shared" si="47"/>
        <v>0</v>
      </c>
      <c r="X129" s="14">
        <f t="shared" si="47"/>
        <v>0</v>
      </c>
      <c r="Y129" s="14">
        <f t="shared" si="47"/>
        <v>0</v>
      </c>
      <c r="Z129" s="14">
        <f t="shared" si="47"/>
        <v>0</v>
      </c>
    </row>
    <row r="130" spans="2:26" hidden="1" outlineLevel="2" x14ac:dyDescent="0.25">
      <c r="B130" s="17" t="s">
        <v>15</v>
      </c>
      <c r="C130" s="62">
        <f>+[1]Result!$K$15</f>
        <v>-10463832.466175595</v>
      </c>
      <c r="D130" s="62">
        <f>+[5]Result!$K$15</f>
        <v>-10538318.934051093</v>
      </c>
      <c r="E130" s="63">
        <f>+[6]Result!$K$15</f>
        <v>-9659581.4156151898</v>
      </c>
      <c r="F130" s="62">
        <f>+[7]Result!$K$15</f>
        <v>-9815351.4060959555</v>
      </c>
      <c r="G130" s="62">
        <f>+[8]Result!$K$15</f>
        <v>-9759717.6821691003</v>
      </c>
      <c r="H130" s="63">
        <f>+[9]Result!$K$15</f>
        <v>-9832022.1734768935</v>
      </c>
      <c r="I130" s="62">
        <f>+[10]Result!$K$15</f>
        <v>-9775498.4674829859</v>
      </c>
      <c r="J130" s="62">
        <f>+[11]Result!$K$15</f>
        <v>-9776850.4718770199</v>
      </c>
      <c r="K130" s="63">
        <f>+[12]Result!$K$15</f>
        <v>-9763280.03507437</v>
      </c>
      <c r="L130" s="62">
        <f>+[13]Result!$K$15</f>
        <v>-9789964.7245861273</v>
      </c>
      <c r="M130" s="62">
        <f>+[14]Result!$K$15</f>
        <v>-9706080.5715054143</v>
      </c>
      <c r="N130" s="39"/>
    </row>
    <row r="131" spans="2:26" hidden="1" outlineLevel="2" x14ac:dyDescent="0.25">
      <c r="B131" s="17" t="s">
        <v>16</v>
      </c>
      <c r="C131" s="62">
        <f>+[1]Result!$K$16</f>
        <v>-7725236.0389682846</v>
      </c>
      <c r="D131" s="62">
        <f>+[5]Result!$K$16</f>
        <v>-7777389.1879304564</v>
      </c>
      <c r="E131" s="63">
        <f>+[6]Result!$K$16</f>
        <v>-6825500.2941064071</v>
      </c>
      <c r="F131" s="62">
        <f>+[7]Result!$K$16</f>
        <v>-6947597.0797675224</v>
      </c>
      <c r="G131" s="62">
        <f>+[8]Result!$K$16</f>
        <v>-6900985.6399222612</v>
      </c>
      <c r="H131" s="63">
        <f>+[9]Result!$K$16</f>
        <v>-6858908.8884085789</v>
      </c>
      <c r="I131" s="62">
        <f>+[10]Result!$K$16</f>
        <v>-6819621.4001841955</v>
      </c>
      <c r="J131" s="62">
        <f>+[11]Result!$K$16</f>
        <v>-6815729.4522130303</v>
      </c>
      <c r="K131" s="63">
        <f>+[12]Result!$K$16</f>
        <v>-6865521.6073225727</v>
      </c>
      <c r="L131" s="62">
        <f>+[13]Result!$K$16</f>
        <v>-6884888.8985440535</v>
      </c>
      <c r="M131" s="62">
        <f>+[14]Result!$K$16</f>
        <v>-6816408.9677507672</v>
      </c>
      <c r="N131" s="39"/>
    </row>
    <row r="132" spans="2:26" hidden="1" outlineLevel="2" x14ac:dyDescent="0.25">
      <c r="B132" s="17" t="s">
        <v>17</v>
      </c>
      <c r="C132" s="62">
        <f>+[1]Result!$K$17</f>
        <v>-6535081.8952837754</v>
      </c>
      <c r="D132" s="62">
        <f>+[5]Result!$K$17</f>
        <v>-6580977.8532077502</v>
      </c>
      <c r="E132" s="63">
        <f>+[6]Result!$K$17</f>
        <v>-5771090.2267179117</v>
      </c>
      <c r="F132" s="62">
        <f>+[7]Result!$K$17</f>
        <v>-5882598.2304029856</v>
      </c>
      <c r="G132" s="62">
        <f>+[8]Result!$K$17</f>
        <v>-5836523.9467426566</v>
      </c>
      <c r="H132" s="63">
        <f>+[9]Result!$K$17</f>
        <v>-5769884.996428486</v>
      </c>
      <c r="I132" s="62">
        <f>+[10]Result!$K$17</f>
        <v>-5736756.2513767257</v>
      </c>
      <c r="J132" s="62">
        <f>+[11]Result!$K$17</f>
        <v>-5728592.7138403645</v>
      </c>
      <c r="K132" s="63">
        <f>+[12]Result!$K$17</f>
        <v>-5762896.7321954388</v>
      </c>
      <c r="L132" s="62">
        <f>+[13]Result!$K$17</f>
        <v>-5778782.0787405567</v>
      </c>
      <c r="M132" s="62">
        <f>+[14]Result!$K$17</f>
        <v>-5713312.8109327136</v>
      </c>
      <c r="N132" s="39"/>
    </row>
    <row r="133" spans="2:26" hidden="1" outlineLevel="2" x14ac:dyDescent="0.25">
      <c r="B133" s="17" t="s">
        <v>18</v>
      </c>
      <c r="C133" s="62">
        <f>+[1]Result!$K$18</f>
        <v>-5629741.4494565362</v>
      </c>
      <c r="D133" s="62">
        <f>+[5]Result!$K$18</f>
        <v>-5672920.2522131437</v>
      </c>
      <c r="E133" s="63">
        <f>+[6]Result!$K$18</f>
        <v>-4995983.3258505156</v>
      </c>
      <c r="F133" s="62">
        <f>+[7]Result!$K$18</f>
        <v>-5097907.6954934914</v>
      </c>
      <c r="G133" s="62">
        <f>+[8]Result!$K$18</f>
        <v>-5051786.7232829304</v>
      </c>
      <c r="H133" s="63">
        <f>+[9]Result!$K$18</f>
        <v>-5016014.6608093018</v>
      </c>
      <c r="I133" s="62">
        <f>+[10]Result!$K$18</f>
        <v>-4984214.3709649602</v>
      </c>
      <c r="J133" s="62">
        <f>+[11]Result!$K$18</f>
        <v>-4971987.610737321</v>
      </c>
      <c r="K133" s="63">
        <f>+[12]Result!$K$18</f>
        <v>-5010801.4393820316</v>
      </c>
      <c r="L133" s="62">
        <f>+[13]Result!$K$18</f>
        <v>-5024403.7001960529</v>
      </c>
      <c r="M133" s="62">
        <f>+[14]Result!$K$18</f>
        <v>-4961294.5634304108</v>
      </c>
      <c r="N133" s="39"/>
    </row>
    <row r="134" spans="2:26" hidden="1" outlineLevel="2" x14ac:dyDescent="0.25">
      <c r="B134" s="17" t="s">
        <v>19</v>
      </c>
      <c r="C134" s="62">
        <f>+[1]Result!$K$19</f>
        <v>-5002594.1524562472</v>
      </c>
      <c r="D134" s="62">
        <f>+[5]Result!$K$19</f>
        <v>-5047026.8135027634</v>
      </c>
      <c r="E134" s="63">
        <f>+[6]Result!$K$19</f>
        <v>-4460969.4073235551</v>
      </c>
      <c r="F134" s="62">
        <f>+[7]Result!$K$19</f>
        <v>-4556195.46980571</v>
      </c>
      <c r="G134" s="62">
        <f>+[8]Result!$K$19</f>
        <v>-4508748.0709397402</v>
      </c>
      <c r="H134" s="63">
        <f>+[9]Result!$K$19</f>
        <v>-4439054.9251965238</v>
      </c>
      <c r="I134" s="62">
        <f>+[10]Result!$K$19</f>
        <v>-4405387.3738962607</v>
      </c>
      <c r="J134" s="62">
        <f>+[11]Result!$K$19</f>
        <v>-4391310.1740288651</v>
      </c>
      <c r="K134" s="63">
        <f>+[12]Result!$K$19</f>
        <v>-4394505.3456105795</v>
      </c>
      <c r="L134" s="62">
        <f>+[13]Result!$K$19</f>
        <v>-4406370.1089452533</v>
      </c>
      <c r="M134" s="62">
        <f>+[14]Result!$K$19</f>
        <v>-4342328.2970209494</v>
      </c>
      <c r="N134" s="39"/>
    </row>
    <row r="135" spans="2:26" hidden="1" outlineLevel="2" x14ac:dyDescent="0.25">
      <c r="B135" s="17" t="s">
        <v>20</v>
      </c>
      <c r="C135" s="62">
        <f>+[1]Result!$K$20</f>
        <v>-4207438.6789795216</v>
      </c>
      <c r="D135" s="62">
        <f>+[5]Result!$K$20</f>
        <v>-4245680.2411745302</v>
      </c>
      <c r="E135" s="63">
        <f>+[6]Result!$K$20</f>
        <v>-3749871.9419608228</v>
      </c>
      <c r="F135" s="62">
        <f>+[7]Result!$K$20</f>
        <v>-3834953.1751663727</v>
      </c>
      <c r="G135" s="62">
        <f>+[8]Result!$K$20</f>
        <v>-3789683.2412266405</v>
      </c>
      <c r="H135" s="63">
        <f>+[9]Result!$K$20</f>
        <v>-3706033.0738172047</v>
      </c>
      <c r="I135" s="62">
        <f>+[10]Result!$K$20</f>
        <v>-3673509.5855277581</v>
      </c>
      <c r="J135" s="62">
        <f>+[11]Result!$K$20</f>
        <v>-3659009.1676451475</v>
      </c>
      <c r="K135" s="63">
        <f>+[12]Result!$K$20</f>
        <v>-3681186.7577624666</v>
      </c>
      <c r="L135" s="62">
        <f>+[13]Result!$K$20</f>
        <v>-3690402.8308282741</v>
      </c>
      <c r="M135" s="62">
        <f>+[14]Result!$K$20</f>
        <v>-3628989.9251566636</v>
      </c>
      <c r="N135" s="39"/>
    </row>
    <row r="136" spans="2:26" hidden="1" outlineLevel="2" x14ac:dyDescent="0.25">
      <c r="B136" s="17" t="s">
        <v>21</v>
      </c>
      <c r="C136" s="62">
        <f>+[1]Result!$K$21</f>
        <v>-3544935.549320844</v>
      </c>
      <c r="D136" s="62">
        <f>+[5]Result!$K$21</f>
        <v>-3572850.1333792554</v>
      </c>
      <c r="E136" s="63">
        <f>+[6]Result!$K$21</f>
        <v>-3156965.7755602277</v>
      </c>
      <c r="F136" s="62">
        <f>+[7]Result!$K$21</f>
        <v>-3235133.5665141679</v>
      </c>
      <c r="G136" s="62">
        <f>+[8]Result!$K$21</f>
        <v>-3192165.0373523417</v>
      </c>
      <c r="H136" s="63">
        <f>+[9]Result!$K$21</f>
        <v>-3113694.2080651554</v>
      </c>
      <c r="I136" s="62">
        <f>+[10]Result!$K$21</f>
        <v>-3083364.1716700019</v>
      </c>
      <c r="J136" s="62">
        <f>+[11]Result!$K$21</f>
        <v>-3068429.2184248441</v>
      </c>
      <c r="K136" s="63">
        <f>+[12]Result!$K$21</f>
        <v>-3103361.919550885</v>
      </c>
      <c r="L136" s="62">
        <f>+[13]Result!$K$21</f>
        <v>-3110383.5546998298</v>
      </c>
      <c r="M136" s="62">
        <f>+[14]Result!$K$21</f>
        <v>-3052854.5114213126</v>
      </c>
      <c r="N136" s="39"/>
    </row>
    <row r="137" spans="2:26" hidden="1" outlineLevel="2" x14ac:dyDescent="0.25">
      <c r="B137" s="17" t="s">
        <v>22</v>
      </c>
      <c r="C137" s="62">
        <f>+[1]Result!$K$22</f>
        <v>-2944980.2766460376</v>
      </c>
      <c r="D137" s="62">
        <f>+[5]Result!$K$22</f>
        <v>-2963995.5613024058</v>
      </c>
      <c r="E137" s="63">
        <f>+[6]Result!$K$22</f>
        <v>-2634151.5145020373</v>
      </c>
      <c r="F137" s="62">
        <f>+[7]Result!$K$22</f>
        <v>-2704981.5218755412</v>
      </c>
      <c r="G137" s="62">
        <f>+[8]Result!$K$22</f>
        <v>-2664837.0181965292</v>
      </c>
      <c r="H137" s="63">
        <f>+[9]Result!$K$22</f>
        <v>-2593292.036627912</v>
      </c>
      <c r="I137" s="62">
        <f>+[10]Result!$K$22</f>
        <v>-2565861.6041851765</v>
      </c>
      <c r="J137" s="62">
        <f>+[11]Result!$K$22</f>
        <v>-2550489.0543941278</v>
      </c>
      <c r="K137" s="63">
        <f>+[12]Result!$K$22</f>
        <v>-2611258.5492063048</v>
      </c>
      <c r="L137" s="62">
        <f>+[13]Result!$K$22</f>
        <v>-2616628.187724662</v>
      </c>
      <c r="M137" s="62">
        <f>+[14]Result!$K$22</f>
        <v>-2563807.4580689752</v>
      </c>
      <c r="N137" s="39"/>
    </row>
    <row r="138" spans="2:26" hidden="1" outlineLevel="2" x14ac:dyDescent="0.25">
      <c r="B138" s="17" t="s">
        <v>23</v>
      </c>
      <c r="C138" s="62">
        <f>+[1]Result!$K$23</f>
        <v>-2461601.6677279645</v>
      </c>
      <c r="D138" s="62">
        <f>+[5]Result!$K$23</f>
        <v>-2476196.1552298288</v>
      </c>
      <c r="E138" s="63">
        <f>+[6]Result!$K$23</f>
        <v>-2229292.6823960459</v>
      </c>
      <c r="F138" s="62">
        <f>+[7]Result!$K$23</f>
        <v>-2291869.8571867114</v>
      </c>
      <c r="G138" s="62">
        <f>+[8]Result!$K$23</f>
        <v>-2254279.3927715612</v>
      </c>
      <c r="H138" s="63">
        <f>+[9]Result!$K$23</f>
        <v>-2203130.5793786836</v>
      </c>
      <c r="I138" s="62">
        <f>+[10]Result!$K$23</f>
        <v>-2178699.4291339004</v>
      </c>
      <c r="J138" s="62">
        <f>+[11]Result!$K$23</f>
        <v>-2163144.9665714442</v>
      </c>
      <c r="K138" s="63">
        <f>+[12]Result!$K$23</f>
        <v>-2244112.7548571611</v>
      </c>
      <c r="L138" s="62">
        <f>+[13]Result!$K$23</f>
        <v>-2248176.4318340383</v>
      </c>
      <c r="M138" s="62">
        <f>+[14]Result!$K$23</f>
        <v>-2199829.332257113</v>
      </c>
      <c r="N138" s="39"/>
    </row>
    <row r="139" spans="2:26" hidden="1" outlineLevel="2" x14ac:dyDescent="0.25">
      <c r="B139" s="17" t="s">
        <v>24</v>
      </c>
      <c r="C139" s="62">
        <f>+[1]Result!$K$24</f>
        <v>-2175967.1928644544</v>
      </c>
      <c r="D139" s="62">
        <f>+[5]Result!$K$24</f>
        <v>-2191931.7717563366</v>
      </c>
      <c r="E139" s="63">
        <f>+[6]Result!$K$24</f>
        <v>-1967698.1640423869</v>
      </c>
      <c r="F139" s="62">
        <f>+[7]Result!$K$24</f>
        <v>-2023052.5129341797</v>
      </c>
      <c r="G139" s="62">
        <f>+[8]Result!$K$24</f>
        <v>-1986568.6961757252</v>
      </c>
      <c r="H139" s="63">
        <f>+[9]Result!$K$24</f>
        <v>-1927120.7103001459</v>
      </c>
      <c r="I139" s="62">
        <f>+[10]Result!$K$24</f>
        <v>-1905148.9208291247</v>
      </c>
      <c r="J139" s="62">
        <f>+[11]Result!$K$24</f>
        <v>-1889366.4700944473</v>
      </c>
      <c r="K139" s="63">
        <f>+[12]Result!$K$24</f>
        <v>-1949546.0920909555</v>
      </c>
      <c r="L139" s="62">
        <f>+[13]Result!$K$24</f>
        <v>-1952522.7041761021</v>
      </c>
      <c r="M139" s="62">
        <f>+[14]Result!$K$24</f>
        <v>-1908289.3076186324</v>
      </c>
      <c r="N139" s="39"/>
    </row>
    <row r="140" spans="2:26" hidden="1" outlineLevel="1" collapsed="1" x14ac:dyDescent="0.25">
      <c r="B140" s="16" t="s">
        <v>25</v>
      </c>
      <c r="C140" s="62" cm="1">
        <f t="array" ref="C140">+[1]!PV_DOWN_21_30</f>
        <v>-8990856.2600816898</v>
      </c>
      <c r="D140" s="62" cm="1">
        <f t="array" ref="D140">+[5]!PV_DOWN_21_30</f>
        <v>-9131950.9826059993</v>
      </c>
      <c r="E140" s="63" cm="1">
        <f t="array" ref="E140">+[6]!PV_DOWN_21_30</f>
        <v>-8255004.1339985142</v>
      </c>
      <c r="F140" s="62" cm="1">
        <f t="array" ref="F140">+[7]!PV_DOWN_21_30</f>
        <v>-8473281.8081699628</v>
      </c>
      <c r="G140" s="62" cm="1">
        <f t="array" ref="G140">+[8]!PV_DOWN_21_30</f>
        <v>-8279579.1061920933</v>
      </c>
      <c r="H140" s="63" cm="1">
        <f t="array" ref="H140">+[9]!PV_DOWN_21_30</f>
        <v>-8057339.7738901759</v>
      </c>
      <c r="I140" s="62" cm="1">
        <f t="array" ref="I140">+[10]!PV_DOWN_21_30</f>
        <v>-7956138.896050713</v>
      </c>
      <c r="J140" s="62" cm="1">
        <f t="array" ref="J140">+[11]!PV_DOWN_21_30</f>
        <v>-7861932.3463222329</v>
      </c>
      <c r="K140" s="63" cm="1">
        <f t="array" ref="K140">+[12]!PV_DOWN_21_30</f>
        <v>-8364272.0807373896</v>
      </c>
      <c r="L140" s="62" cm="1">
        <f t="array" ref="L140">+[13]!PV_DOWN_21_30</f>
        <v>-8370364.1696143877</v>
      </c>
      <c r="M140" s="62" cm="1">
        <f t="array" ref="M140">+[14]!PV_DOWN_21_30</f>
        <v>-8143818.8778592683</v>
      </c>
      <c r="N140" s="39"/>
      <c r="O140" s="14">
        <f>+C140-SUM(C141:C150)</f>
        <v>0</v>
      </c>
      <c r="P140" s="14">
        <f t="shared" ref="P140:R140" si="48">+D140-SUM(D141:D150)</f>
        <v>0</v>
      </c>
      <c r="Q140" s="14">
        <f t="shared" si="48"/>
        <v>0</v>
      </c>
      <c r="R140" s="14">
        <f t="shared" si="48"/>
        <v>0</v>
      </c>
      <c r="S140" s="14">
        <f t="shared" ref="S140" si="49">+G140-SUM(G141:G150)</f>
        <v>0</v>
      </c>
      <c r="T140" s="14">
        <f t="shared" ref="T140:Z140" si="50">+H140-SUM(H141:H150)</f>
        <v>0</v>
      </c>
      <c r="U140" s="14">
        <f t="shared" si="50"/>
        <v>0</v>
      </c>
      <c r="V140" s="14">
        <f t="shared" si="50"/>
        <v>0</v>
      </c>
      <c r="W140" s="14">
        <f t="shared" si="50"/>
        <v>0</v>
      </c>
      <c r="X140" s="14">
        <f t="shared" si="50"/>
        <v>0</v>
      </c>
      <c r="Y140" s="14">
        <f t="shared" si="50"/>
        <v>0</v>
      </c>
      <c r="Z140" s="14">
        <f t="shared" si="50"/>
        <v>0</v>
      </c>
    </row>
    <row r="141" spans="2:26" hidden="1" outlineLevel="2" x14ac:dyDescent="0.25">
      <c r="B141" s="17" t="s">
        <v>26</v>
      </c>
      <c r="C141" s="62">
        <f>+[1]Result!$K$25</f>
        <v>-1849098.1766750126</v>
      </c>
      <c r="D141" s="62">
        <f>+[5]Result!$K$25</f>
        <v>-1867682.1609113482</v>
      </c>
      <c r="E141" s="63">
        <f>+[6]Result!$K$25</f>
        <v>-1670652.5691941474</v>
      </c>
      <c r="F141" s="62">
        <f>+[7]Result!$K$25</f>
        <v>-1716820.7862810614</v>
      </c>
      <c r="G141" s="62">
        <f>+[8]Result!$K$25</f>
        <v>-1683275.3651094141</v>
      </c>
      <c r="H141" s="63">
        <f>+[9]Result!$K$25</f>
        <v>-1625153.9814948142</v>
      </c>
      <c r="I141" s="62">
        <f>+[10]Result!$K$25</f>
        <v>-1606162.7362024677</v>
      </c>
      <c r="J141" s="62">
        <f>+[11]Result!$K$25</f>
        <v>-1591067.5223841474</v>
      </c>
      <c r="K141" s="63">
        <f>+[12]Result!$K$25</f>
        <v>-1651828.1783901053</v>
      </c>
      <c r="L141" s="62">
        <f>+[13]Result!$K$25</f>
        <v>-1653815.5565822874</v>
      </c>
      <c r="M141" s="62">
        <f>+[14]Result!$K$25</f>
        <v>-1614289.9990214186</v>
      </c>
      <c r="N141" s="39"/>
    </row>
    <row r="142" spans="2:26" hidden="1" outlineLevel="2" x14ac:dyDescent="0.25">
      <c r="B142" s="17" t="s">
        <v>27</v>
      </c>
      <c r="C142" s="62">
        <f>+[1]Result!$K$26</f>
        <v>-1559254.1160882623</v>
      </c>
      <c r="D142" s="62">
        <f>+[5]Result!$K$26</f>
        <v>-1579021.0940761236</v>
      </c>
      <c r="E142" s="63">
        <f>+[6]Result!$K$26</f>
        <v>-1408353.2504790484</v>
      </c>
      <c r="F142" s="62">
        <f>+[7]Result!$K$26</f>
        <v>-1446606.6688839907</v>
      </c>
      <c r="G142" s="62">
        <f>+[8]Result!$K$26</f>
        <v>-1416227.2164688297</v>
      </c>
      <c r="H142" s="63">
        <f>+[9]Result!$K$26</f>
        <v>-1362749.6406794924</v>
      </c>
      <c r="I142" s="62">
        <f>+[10]Result!$K$26</f>
        <v>-1346193.6391666019</v>
      </c>
      <c r="J142" s="62">
        <f>+[11]Result!$K$26</f>
        <v>-1332225.4500778678</v>
      </c>
      <c r="K142" s="63">
        <f>+[12]Result!$K$26</f>
        <v>-1394104.2336366868</v>
      </c>
      <c r="L142" s="62">
        <f>+[13]Result!$K$26</f>
        <v>-1395573.202143302</v>
      </c>
      <c r="M142" s="62">
        <f>+[14]Result!$K$26</f>
        <v>-1360330.0469104864</v>
      </c>
      <c r="N142" s="39"/>
    </row>
    <row r="143" spans="2:26" hidden="1" outlineLevel="2" x14ac:dyDescent="0.25">
      <c r="B143" s="17" t="s">
        <v>28</v>
      </c>
      <c r="C143" s="62">
        <f>+[1]Result!$K$27</f>
        <v>-1299787.6758530624</v>
      </c>
      <c r="D143" s="62">
        <f>+[5]Result!$K$27</f>
        <v>-1319068.1231175258</v>
      </c>
      <c r="E143" s="63">
        <f>+[6]Result!$K$27</f>
        <v>-1179127.285407111</v>
      </c>
      <c r="F143" s="62">
        <f>+[7]Result!$K$27</f>
        <v>-1210525.4238513422</v>
      </c>
      <c r="G143" s="62">
        <f>+[8]Result!$K$27</f>
        <v>-1183548.7508984983</v>
      </c>
      <c r="H143" s="63">
        <f>+[9]Result!$K$27</f>
        <v>-1139091.2022237508</v>
      </c>
      <c r="I143" s="62">
        <f>+[10]Result!$K$27</f>
        <v>-1124864.7708555926</v>
      </c>
      <c r="J143" s="62">
        <f>+[11]Result!$K$27</f>
        <v>-1112166.8300703908</v>
      </c>
      <c r="K143" s="63">
        <f>+[12]Result!$K$27</f>
        <v>-1179226.0067564612</v>
      </c>
      <c r="L143" s="62">
        <f>+[13]Result!$K$27</f>
        <v>-1180263.2689501741</v>
      </c>
      <c r="M143" s="62">
        <f>+[14]Result!$K$27</f>
        <v>-1149095.2777285068</v>
      </c>
      <c r="N143" s="39"/>
    </row>
    <row r="144" spans="2:26" hidden="1" outlineLevel="2" x14ac:dyDescent="0.25">
      <c r="B144" s="17" t="s">
        <v>29</v>
      </c>
      <c r="C144" s="62">
        <f>+[1]Result!$K$28</f>
        <v>-1086319.0222975302</v>
      </c>
      <c r="D144" s="62">
        <f>+[5]Result!$K$28</f>
        <v>-1104298.8250210232</v>
      </c>
      <c r="E144" s="63">
        <f>+[6]Result!$K$28</f>
        <v>-996298.95372076612</v>
      </c>
      <c r="F144" s="62">
        <f>+[7]Result!$K$28</f>
        <v>-1022374.5123212648</v>
      </c>
      <c r="G144" s="62">
        <f>+[8]Result!$K$28</f>
        <v>-998475.00256914762</v>
      </c>
      <c r="H144" s="63">
        <f>+[9]Result!$K$28</f>
        <v>-975864.76681213954</v>
      </c>
      <c r="I144" s="62">
        <f>+[10]Result!$K$28</f>
        <v>-963583.31676996476</v>
      </c>
      <c r="J144" s="62">
        <f>+[11]Result!$K$28</f>
        <v>-951896.58205437334</v>
      </c>
      <c r="K144" s="63">
        <f>+[12]Result!$K$28</f>
        <v>-1020227.7136158746</v>
      </c>
      <c r="L144" s="62">
        <f>+[13]Result!$K$28</f>
        <v>-1020932.4699890675</v>
      </c>
      <c r="M144" s="62">
        <f>+[14]Result!$K$28</f>
        <v>-993021.16731506609</v>
      </c>
      <c r="N144" s="39"/>
    </row>
    <row r="145" spans="2:26" hidden="1" outlineLevel="2" x14ac:dyDescent="0.25">
      <c r="B145" s="17" t="s">
        <v>30</v>
      </c>
      <c r="C145" s="62">
        <f>+[1]Result!$K$29</f>
        <v>-936418.72210763302</v>
      </c>
      <c r="D145" s="62">
        <f>+[5]Result!$K$29</f>
        <v>-953498.87715667265</v>
      </c>
      <c r="E145" s="63">
        <f>+[6]Result!$K$29</f>
        <v>-861797.89076052164</v>
      </c>
      <c r="F145" s="62">
        <f>+[7]Result!$K$29</f>
        <v>-884048.65250644484</v>
      </c>
      <c r="G145" s="62">
        <f>+[8]Result!$K$29</f>
        <v>-862518.07754276658</v>
      </c>
      <c r="H145" s="63">
        <f>+[9]Result!$K$29</f>
        <v>-838966.10241826426</v>
      </c>
      <c r="I145" s="62">
        <f>+[10]Result!$K$29</f>
        <v>-828259.24852046277</v>
      </c>
      <c r="J145" s="62">
        <f>+[11]Result!$K$29</f>
        <v>-817496.66505078622</v>
      </c>
      <c r="K145" s="63">
        <f>+[12]Result!$K$29</f>
        <v>-866225.58022387885</v>
      </c>
      <c r="L145" s="62">
        <f>+[13]Result!$K$29</f>
        <v>-866639.54455674498</v>
      </c>
      <c r="M145" s="62">
        <f>+[14]Result!$K$29</f>
        <v>-842156.81115283445</v>
      </c>
      <c r="N145" s="39"/>
    </row>
    <row r="146" spans="2:26" hidden="1" outlineLevel="2" x14ac:dyDescent="0.25">
      <c r="B146" s="17" t="s">
        <v>31</v>
      </c>
      <c r="C146" s="62">
        <f>+[1]Result!$K$30</f>
        <v>-731279.9354130039</v>
      </c>
      <c r="D146" s="62">
        <f>+[5]Result!$K$30</f>
        <v>-745724.69314421504</v>
      </c>
      <c r="E146" s="63">
        <f>+[6]Result!$K$30</f>
        <v>-671923.77626391465</v>
      </c>
      <c r="F146" s="62">
        <f>+[7]Result!$K$30</f>
        <v>-689127.41674012411</v>
      </c>
      <c r="G146" s="62">
        <f>+[8]Result!$K$30</f>
        <v>-671837.3691754652</v>
      </c>
      <c r="H146" s="63">
        <f>+[9]Result!$K$30</f>
        <v>-648179.88695850328</v>
      </c>
      <c r="I146" s="62">
        <f>+[10]Result!$K$30</f>
        <v>-639732.9540596439</v>
      </c>
      <c r="J146" s="62">
        <f>+[11]Result!$K$30</f>
        <v>-631005.73918777902</v>
      </c>
      <c r="K146" s="63">
        <f>+[12]Result!$K$30</f>
        <v>-677796.46397798136</v>
      </c>
      <c r="L146" s="62">
        <f>+[13]Result!$K$30</f>
        <v>-677965.74881716876</v>
      </c>
      <c r="M146" s="62">
        <f>+[14]Result!$K$30</f>
        <v>-658208.86087875674</v>
      </c>
      <c r="N146" s="39"/>
    </row>
    <row r="147" spans="2:26" hidden="1" outlineLevel="2" x14ac:dyDescent="0.25">
      <c r="B147" s="17" t="s">
        <v>32</v>
      </c>
      <c r="C147" s="62">
        <f>+[1]Result!$K$31</f>
        <v>-552069.01802407636</v>
      </c>
      <c r="D147" s="62">
        <f>+[5]Result!$K$31</f>
        <v>-563697.88345953729</v>
      </c>
      <c r="E147" s="63">
        <f>+[6]Result!$K$31</f>
        <v>-510701.44923995523</v>
      </c>
      <c r="F147" s="62">
        <f>+[7]Result!$K$31</f>
        <v>-523681.88930947095</v>
      </c>
      <c r="G147" s="62">
        <f>+[8]Result!$K$31</f>
        <v>-510101.50430518994</v>
      </c>
      <c r="H147" s="63">
        <f>+[9]Result!$K$31</f>
        <v>-491802.86673666973</v>
      </c>
      <c r="I147" s="62">
        <f>+[10]Result!$K$31</f>
        <v>-485270.72131952178</v>
      </c>
      <c r="J147" s="62">
        <f>+[11]Result!$K$31</f>
        <v>-478456.02302891755</v>
      </c>
      <c r="K147" s="63">
        <f>+[12]Result!$K$31</f>
        <v>-523659.31799865857</v>
      </c>
      <c r="L147" s="62">
        <f>+[13]Result!$K$31</f>
        <v>-523863.67958795262</v>
      </c>
      <c r="M147" s="62">
        <f>+[14]Result!$K$31</f>
        <v>-508140.97397977806</v>
      </c>
      <c r="N147" s="39"/>
    </row>
    <row r="148" spans="2:26" hidden="1" outlineLevel="2" x14ac:dyDescent="0.25">
      <c r="B148" s="17" t="s">
        <v>33</v>
      </c>
      <c r="C148" s="62">
        <f>+[1]Result!$K$32</f>
        <v>-396395.418166216</v>
      </c>
      <c r="D148" s="62">
        <f>+[5]Result!$K$32</f>
        <v>-405171.00101688859</v>
      </c>
      <c r="E148" s="63">
        <f>+[6]Result!$K$32</f>
        <v>-369412.54644298513</v>
      </c>
      <c r="F148" s="62">
        <f>+[7]Result!$K$32</f>
        <v>-378700.1666709967</v>
      </c>
      <c r="G148" s="62">
        <f>+[8]Result!$K$32</f>
        <v>-368615.30452908325</v>
      </c>
      <c r="H148" s="63">
        <f>+[9]Result!$K$32</f>
        <v>-356246.08771079389</v>
      </c>
      <c r="I148" s="62">
        <f>+[10]Result!$K$32</f>
        <v>-351432.17195626168</v>
      </c>
      <c r="J148" s="62">
        <f>+[11]Result!$K$32</f>
        <v>-346311.91123678291</v>
      </c>
      <c r="K148" s="63">
        <f>+[12]Result!$K$32</f>
        <v>-396551.88950204733</v>
      </c>
      <c r="L148" s="62">
        <f>+[13]Result!$K$32</f>
        <v>-396658.00235199463</v>
      </c>
      <c r="M148" s="62">
        <f>+[14]Result!$K$32</f>
        <v>-384519.45288792608</v>
      </c>
      <c r="N148" s="39"/>
    </row>
    <row r="149" spans="2:26" hidden="1" outlineLevel="2" x14ac:dyDescent="0.25">
      <c r="B149" s="17" t="s">
        <v>34</v>
      </c>
      <c r="C149" s="62">
        <f>+[1]Result!$K$33</f>
        <v>-286461.70565674466</v>
      </c>
      <c r="D149" s="62">
        <f>+[5]Result!$K$33</f>
        <v>-293035.76197054697</v>
      </c>
      <c r="E149" s="63">
        <f>+[6]Result!$K$33</f>
        <v>-290296.51690831187</v>
      </c>
      <c r="F149" s="62">
        <f>+[7]Result!$K$33</f>
        <v>-297571.97834164294</v>
      </c>
      <c r="G149" s="62">
        <f>+[8]Result!$K$33</f>
        <v>-289526.20476595784</v>
      </c>
      <c r="H149" s="63">
        <f>+[9]Result!$K$33</f>
        <v>-307560.96856166556</v>
      </c>
      <c r="I149" s="62">
        <f>+[10]Result!$K$33</f>
        <v>-303297.30569357245</v>
      </c>
      <c r="J149" s="62">
        <f>+[11]Result!$K$33</f>
        <v>-298719.7896462853</v>
      </c>
      <c r="K149" s="63">
        <f>+[12]Result!$K$33</f>
        <v>-348437.35858078307</v>
      </c>
      <c r="L149" s="62">
        <f>+[13]Result!$K$33</f>
        <v>-348437.35858078307</v>
      </c>
      <c r="M149" s="62">
        <f>+[14]Result!$K$33</f>
        <v>-337581.4210386065</v>
      </c>
      <c r="N149" s="39"/>
    </row>
    <row r="150" spans="2:26" hidden="1" outlineLevel="2" x14ac:dyDescent="0.25">
      <c r="B150" s="17" t="s">
        <v>35</v>
      </c>
      <c r="C150" s="62">
        <f>+[1]Result!$K$34</f>
        <v>-293772.46980014793</v>
      </c>
      <c r="D150" s="62">
        <f>+[5]Result!$K$34</f>
        <v>-300752.56273211929</v>
      </c>
      <c r="E150" s="63">
        <f>+[6]Result!$K$34</f>
        <v>-296439.89558175183</v>
      </c>
      <c r="F150" s="62">
        <f>+[7]Result!$K$34</f>
        <v>-303824.31326362607</v>
      </c>
      <c r="G150" s="62">
        <f>+[8]Result!$K$34</f>
        <v>-295454.31082774146</v>
      </c>
      <c r="H150" s="63">
        <f>+[9]Result!$K$34</f>
        <v>-311724.27029408264</v>
      </c>
      <c r="I150" s="62">
        <f>+[10]Result!$K$34</f>
        <v>-307342.0315066239</v>
      </c>
      <c r="J150" s="62">
        <f>+[11]Result!$K$34</f>
        <v>-302585.83358490322</v>
      </c>
      <c r="K150" s="63">
        <f>+[12]Result!$K$34</f>
        <v>-306215.33805491251</v>
      </c>
      <c r="L150" s="62">
        <f>+[13]Result!$K$34</f>
        <v>-306215.33805491251</v>
      </c>
      <c r="M150" s="62">
        <f>+[14]Result!$K$34</f>
        <v>-296474.86694588838</v>
      </c>
      <c r="N150" s="39"/>
    </row>
    <row r="151" spans="2:26" hidden="1" outlineLevel="1" collapsed="1" x14ac:dyDescent="0.25">
      <c r="B151" s="16" t="s">
        <v>36</v>
      </c>
      <c r="C151" s="62" cm="1">
        <f t="array" ref="C151">+[1]!PV_DOWN_31_50</f>
        <v>-532189.64439438516</v>
      </c>
      <c r="D151" s="62" cm="1">
        <f t="array" ref="D151">+[5]!PV_DOWN_31_50</f>
        <v>-545789.29811326554</v>
      </c>
      <c r="E151" s="63" cm="1">
        <f t="array" ref="E151">+[6]!PV_DOWN_31_50</f>
        <v>-528518.80885149038</v>
      </c>
      <c r="F151" s="62" cm="1">
        <f t="array" ref="F151">+[7]!PV_DOWN_31_50</f>
        <v>-541471.60575636895</v>
      </c>
      <c r="G151" s="62" cm="1">
        <f t="array" ref="G151">+[8]!PV_DOWN_31_50</f>
        <v>-525940.51934556186</v>
      </c>
      <c r="H151" s="63" cm="1">
        <f t="array" ref="H151">+[9]!PV_DOWN_31_50</f>
        <v>-539099.24242758728</v>
      </c>
      <c r="I151" s="62" cm="1">
        <f t="array" ref="I151">+[10]!PV_DOWN_31_50</f>
        <v>-531429.50080943294</v>
      </c>
      <c r="J151" s="62" cm="1">
        <f t="array" ref="J151">+[11]!PV_DOWN_31_50</f>
        <v>-522625.89360028284</v>
      </c>
      <c r="K151" s="63" cm="1">
        <f t="array" ref="K151">+[12]!PV_DOWN_31_50</f>
        <v>-544735.81965557509</v>
      </c>
      <c r="L151" s="62" cm="1">
        <f t="array" ref="L151">+[13]!PV_DOWN_31_50</f>
        <v>-544607.63951438444</v>
      </c>
      <c r="M151" s="62" cm="1">
        <f t="array" ref="M151">+[14]!PV_DOWN_31_50</f>
        <v>-526394.89421509381</v>
      </c>
      <c r="N151" s="39"/>
      <c r="O151" s="14">
        <f>+C151-SUM(C152:C171)</f>
        <v>0</v>
      </c>
      <c r="P151" s="14">
        <f t="shared" ref="P151:R151" si="51">+D151-SUM(D152:D171)</f>
        <v>0</v>
      </c>
      <c r="Q151" s="14">
        <f t="shared" si="51"/>
        <v>0</v>
      </c>
      <c r="R151" s="14">
        <f t="shared" si="51"/>
        <v>0</v>
      </c>
      <c r="S151" s="14">
        <f t="shared" ref="S151" si="52">+G151-SUM(G152:G171)</f>
        <v>0</v>
      </c>
      <c r="T151" s="14">
        <f t="shared" ref="T151:Z151" si="53">+H151-SUM(H152:H171)</f>
        <v>0</v>
      </c>
      <c r="U151" s="14">
        <f t="shared" si="53"/>
        <v>0</v>
      </c>
      <c r="V151" s="14">
        <f t="shared" si="53"/>
        <v>0</v>
      </c>
      <c r="W151" s="14">
        <f t="shared" si="53"/>
        <v>0</v>
      </c>
      <c r="X151" s="14">
        <f t="shared" si="53"/>
        <v>0</v>
      </c>
      <c r="Y151" s="14">
        <f t="shared" si="53"/>
        <v>0</v>
      </c>
      <c r="Z151" s="14">
        <f t="shared" si="53"/>
        <v>0</v>
      </c>
    </row>
    <row r="152" spans="2:26" hidden="1" outlineLevel="2" x14ac:dyDescent="0.25">
      <c r="B152" s="17" t="s">
        <v>37</v>
      </c>
      <c r="C152" s="62">
        <f>+[1]Result!$K$35</f>
        <v>-163506.35767880586</v>
      </c>
      <c r="D152" s="62">
        <f>+[5]Result!$K$35</f>
        <v>-167498.73035777104</v>
      </c>
      <c r="E152" s="63">
        <f>+[6]Result!$K$35</f>
        <v>-163633.96585479501</v>
      </c>
      <c r="F152" s="62">
        <f>+[7]Result!$K$35</f>
        <v>-167674.05334450991</v>
      </c>
      <c r="G152" s="62">
        <f>+[8]Result!$K$35</f>
        <v>-162974.33367965225</v>
      </c>
      <c r="H152" s="63">
        <f>+[9]Result!$K$35</f>
        <v>-168445.08728168288</v>
      </c>
      <c r="I152" s="62">
        <f>+[10]Result!$K$35</f>
        <v>-166071.87774927841</v>
      </c>
      <c r="J152" s="62">
        <f>+[11]Result!$K$35</f>
        <v>-163440.18805191072</v>
      </c>
      <c r="K152" s="63">
        <f>+[12]Result!$K$35</f>
        <v>-166647.8016960508</v>
      </c>
      <c r="L152" s="62">
        <f>+[13]Result!$K$35</f>
        <v>-166647.8016960508</v>
      </c>
      <c r="M152" s="62">
        <f>+[14]Result!$K$35</f>
        <v>-161242.61039061076</v>
      </c>
      <c r="N152" s="39"/>
    </row>
    <row r="153" spans="2:26" hidden="1" outlineLevel="2" x14ac:dyDescent="0.25">
      <c r="B153" s="17" t="s">
        <v>38</v>
      </c>
      <c r="C153" s="62">
        <f>+[1]Result!$K$36</f>
        <v>-97393.937164757546</v>
      </c>
      <c r="D153" s="62">
        <f>+[5]Result!$K$36</f>
        <v>-99835.217890677261</v>
      </c>
      <c r="E153" s="63">
        <f>+[6]Result!$K$36</f>
        <v>-96109.939378647541</v>
      </c>
      <c r="F153" s="62">
        <f>+[7]Result!$K$36</f>
        <v>-98470.049108259598</v>
      </c>
      <c r="G153" s="62">
        <f>+[8]Result!$K$36</f>
        <v>-95680.320142417884</v>
      </c>
      <c r="H153" s="63">
        <f>+[9]Result!$K$36</f>
        <v>-97287.914305177081</v>
      </c>
      <c r="I153" s="62">
        <f>+[10]Result!$K$36</f>
        <v>-95902.322678244615</v>
      </c>
      <c r="J153" s="62">
        <f>+[11]Result!$K$36</f>
        <v>-94347.783151887692</v>
      </c>
      <c r="K153" s="63">
        <f>+[12]Result!$K$36</f>
        <v>-98840.887742355597</v>
      </c>
      <c r="L153" s="62">
        <f>+[13]Result!$K$36</f>
        <v>-98825.594325646962</v>
      </c>
      <c r="M153" s="62">
        <f>+[14]Result!$K$36</f>
        <v>-95576.127862254012</v>
      </c>
      <c r="N153" s="39"/>
    </row>
    <row r="154" spans="2:26" hidden="1" outlineLevel="2" x14ac:dyDescent="0.25">
      <c r="B154" s="17" t="s">
        <v>39</v>
      </c>
      <c r="C154" s="62">
        <f>+[1]Result!$K$37</f>
        <v>-67753.776444225572</v>
      </c>
      <c r="D154" s="62">
        <f>+[5]Result!$K$37</f>
        <v>-69484.156572641077</v>
      </c>
      <c r="E154" s="63">
        <f>+[6]Result!$K$37</f>
        <v>-67191.244531712</v>
      </c>
      <c r="F154" s="62">
        <f>+[7]Result!$K$37</f>
        <v>-68828.202746136711</v>
      </c>
      <c r="G154" s="62">
        <f>+[8]Result!$K$37</f>
        <v>-66860.109784034546</v>
      </c>
      <c r="H154" s="63">
        <f>+[9]Result!$K$37</f>
        <v>-67955.050690870048</v>
      </c>
      <c r="I154" s="62">
        <f>+[10]Result!$K$37</f>
        <v>-66988.817731676274</v>
      </c>
      <c r="J154" s="62">
        <f>+[11]Result!$K$37</f>
        <v>-65879.374579456198</v>
      </c>
      <c r="K154" s="63">
        <f>+[12]Result!$K$37</f>
        <v>-71337.252207704267</v>
      </c>
      <c r="L154" s="62">
        <f>+[13]Result!$K$37</f>
        <v>-71314.564522829009</v>
      </c>
      <c r="M154" s="62">
        <f>+[14]Result!$K$37</f>
        <v>-68940.440044239818</v>
      </c>
      <c r="N154" s="39"/>
    </row>
    <row r="155" spans="2:26" hidden="1" outlineLevel="2" x14ac:dyDescent="0.25">
      <c r="B155" s="17" t="s">
        <v>40</v>
      </c>
      <c r="C155" s="62">
        <f>+[1]Result!$K$38</f>
        <v>-55364.616442192644</v>
      </c>
      <c r="D155" s="62">
        <f>+[5]Result!$K$38</f>
        <v>-56794.435584132523</v>
      </c>
      <c r="E155" s="63">
        <f>+[6]Result!$K$38</f>
        <v>-55311.398994276664</v>
      </c>
      <c r="F155" s="62">
        <f>+[7]Result!$K$38</f>
        <v>-56663.568226145937</v>
      </c>
      <c r="G155" s="62">
        <f>+[8]Result!$K$38</f>
        <v>-55021.473821771004</v>
      </c>
      <c r="H155" s="63">
        <f>+[9]Result!$K$38</f>
        <v>-56124.025155942829</v>
      </c>
      <c r="I155" s="62">
        <f>+[10]Result!$K$38</f>
        <v>-55337.999758270736</v>
      </c>
      <c r="J155" s="62">
        <f>+[11]Result!$K$38</f>
        <v>-54402.520491052688</v>
      </c>
      <c r="K155" s="63">
        <f>+[12]Result!$K$38</f>
        <v>-57042.653090216554</v>
      </c>
      <c r="L155" s="62">
        <f>+[13]Result!$K$38</f>
        <v>-57023.955034918268</v>
      </c>
      <c r="M155" s="62">
        <f>+[14]Result!$K$38</f>
        <v>-55095.416080783514</v>
      </c>
      <c r="N155" s="39"/>
    </row>
    <row r="156" spans="2:26" hidden="1" outlineLevel="2" x14ac:dyDescent="0.25">
      <c r="B156" s="17" t="s">
        <v>41</v>
      </c>
      <c r="C156" s="62">
        <f>+[1]Result!$K$39</f>
        <v>-44430.860452541041</v>
      </c>
      <c r="D156" s="62">
        <f>+[5]Result!$K$39</f>
        <v>-45605.126453188423</v>
      </c>
      <c r="E156" s="63">
        <f>+[6]Result!$K$39</f>
        <v>-43260.531279917384</v>
      </c>
      <c r="F156" s="62">
        <f>+[7]Result!$K$39</f>
        <v>-44319.886267130387</v>
      </c>
      <c r="G156" s="62">
        <f>+[8]Result!$K$39</f>
        <v>-43027.049018947626</v>
      </c>
      <c r="H156" s="63">
        <f>+[9]Result!$K$39</f>
        <v>-43358.424070816014</v>
      </c>
      <c r="I156" s="62">
        <f>+[10]Result!$K$39</f>
        <v>-42747.642506727498</v>
      </c>
      <c r="J156" s="62">
        <f>+[11]Result!$K$39</f>
        <v>-42017.896151358691</v>
      </c>
      <c r="K156" s="63">
        <f>+[12]Result!$K$39</f>
        <v>-43168.783524728351</v>
      </c>
      <c r="L156" s="62">
        <f>+[13]Result!$K$39</f>
        <v>-43154.212094160619</v>
      </c>
      <c r="M156" s="62">
        <f>+[14]Result!$K$39</f>
        <v>-41680.167019364977</v>
      </c>
      <c r="N156" s="39"/>
    </row>
    <row r="157" spans="2:26" hidden="1" outlineLevel="2" x14ac:dyDescent="0.25">
      <c r="B157" s="17" t="s">
        <v>42</v>
      </c>
      <c r="C157" s="62">
        <f>+[1]Result!$K$40</f>
        <v>-30123.508451261267</v>
      </c>
      <c r="D157" s="62">
        <f>+[5]Result!$K$40</f>
        <v>-30932.101922478159</v>
      </c>
      <c r="E157" s="63">
        <f>+[6]Result!$K$40</f>
        <v>-29567.572116214218</v>
      </c>
      <c r="F157" s="62">
        <f>+[7]Result!$K$40</f>
        <v>-30286.42116325154</v>
      </c>
      <c r="G157" s="62">
        <f>+[8]Result!$K$40</f>
        <v>-29398.271155175662</v>
      </c>
      <c r="H157" s="63">
        <f>+[9]Result!$K$40</f>
        <v>-30003.484502221105</v>
      </c>
      <c r="I157" s="62">
        <f>+[10]Result!$K$40</f>
        <v>-29568.707236171431</v>
      </c>
      <c r="J157" s="62">
        <f>+[11]Result!$K$40</f>
        <v>-29059.551297470978</v>
      </c>
      <c r="K157" s="63">
        <f>+[12]Result!$K$40</f>
        <v>-30747.928528292265</v>
      </c>
      <c r="L157" s="62">
        <f>+[13]Result!$K$40</f>
        <v>-30731.902317011019</v>
      </c>
      <c r="M157" s="62">
        <f>+[14]Result!$K$40</f>
        <v>-29672.958213534032</v>
      </c>
      <c r="N157" s="39"/>
    </row>
    <row r="158" spans="2:26" hidden="1" outlineLevel="2" x14ac:dyDescent="0.25">
      <c r="B158" s="17" t="s">
        <v>43</v>
      </c>
      <c r="C158" s="62">
        <f>+[1]Result!$K$41</f>
        <v>-21651.375108193057</v>
      </c>
      <c r="D158" s="62">
        <f>+[5]Result!$K$41</f>
        <v>-22237.11286100759</v>
      </c>
      <c r="E158" s="63">
        <f>+[6]Result!$K$41</f>
        <v>-21600.768606838188</v>
      </c>
      <c r="F158" s="62">
        <f>+[7]Result!$K$41</f>
        <v>-22125.000366326207</v>
      </c>
      <c r="G158" s="62">
        <f>+[8]Result!$K$41</f>
        <v>-21469.792755970007</v>
      </c>
      <c r="H158" s="63">
        <f>+[9]Result!$K$41</f>
        <v>-22138.382563290768</v>
      </c>
      <c r="I158" s="62">
        <f>+[10]Result!$K$41</f>
        <v>-21816.442380537861</v>
      </c>
      <c r="J158" s="62">
        <f>+[11]Result!$K$41</f>
        <v>-21434.151270262311</v>
      </c>
      <c r="K158" s="63">
        <f>+[12]Result!$K$41</f>
        <v>-23410.409546587387</v>
      </c>
      <c r="L158" s="62">
        <f>+[13]Result!$K$41</f>
        <v>-23397.877999912067</v>
      </c>
      <c r="M158" s="62">
        <f>+[14]Result!$K$41</f>
        <v>-22581.478776234504</v>
      </c>
      <c r="N158" s="39"/>
    </row>
    <row r="159" spans="2:26" hidden="1" outlineLevel="2" x14ac:dyDescent="0.25">
      <c r="B159" s="17" t="s">
        <v>44</v>
      </c>
      <c r="C159" s="62">
        <f>+[1]Result!$K$42</f>
        <v>-16525.527948962204</v>
      </c>
      <c r="D159" s="62">
        <f>+[5]Result!$K$42</f>
        <v>-16978.695032559182</v>
      </c>
      <c r="E159" s="63">
        <f>+[6]Result!$K$42</f>
        <v>-16936.066707798676</v>
      </c>
      <c r="F159" s="62">
        <f>+[7]Result!$K$42</f>
        <v>-17345.682478117425</v>
      </c>
      <c r="G159" s="62">
        <f>+[8]Result!$K$42</f>
        <v>-16830.581794718015</v>
      </c>
      <c r="H159" s="63">
        <f>+[9]Result!$K$42</f>
        <v>-17634.583378007374</v>
      </c>
      <c r="I159" s="62">
        <f>+[10]Result!$K$42</f>
        <v>-17377.557080019127</v>
      </c>
      <c r="J159" s="62">
        <f>+[11]Result!$K$42</f>
        <v>-17071.06726645241</v>
      </c>
      <c r="K159" s="63">
        <f>+[12]Result!$K$42</f>
        <v>-19176.088380194054</v>
      </c>
      <c r="L159" s="62">
        <f>+[13]Result!$K$42</f>
        <v>-19165.535532362406</v>
      </c>
      <c r="M159" s="62">
        <f>+[14]Result!$K$42</f>
        <v>-18489.039248657064</v>
      </c>
      <c r="N159" s="39"/>
    </row>
    <row r="160" spans="2:26" hidden="1" outlineLevel="2" x14ac:dyDescent="0.25">
      <c r="B160" s="17" t="s">
        <v>45</v>
      </c>
      <c r="C160" s="62">
        <f>+[1]Result!$K$43</f>
        <v>-14746.427453755485</v>
      </c>
      <c r="D160" s="62">
        <f>+[5]Result!$K$43</f>
        <v>-15153.090102750364</v>
      </c>
      <c r="E160" s="63">
        <f>+[6]Result!$K$43</f>
        <v>-15208.987509046176</v>
      </c>
      <c r="F160" s="62">
        <f>+[7]Result!$K$43</f>
        <v>-15577.900325591254</v>
      </c>
      <c r="G160" s="62">
        <f>+[8]Result!$K$43</f>
        <v>-15111.752478052091</v>
      </c>
      <c r="H160" s="63">
        <f>+[9]Result!$K$43</f>
        <v>-15570.650053561394</v>
      </c>
      <c r="I160" s="62">
        <f>+[10]Result!$K$43</f>
        <v>-15340.611411138019</v>
      </c>
      <c r="J160" s="62">
        <f>+[11]Result!$K$43</f>
        <v>-15065.755560766815</v>
      </c>
      <c r="K160" s="63">
        <f>+[12]Result!$K$43</f>
        <v>-15633.561186681067</v>
      </c>
      <c r="L160" s="62">
        <f>+[13]Result!$K$43</f>
        <v>-15624.732973132786</v>
      </c>
      <c r="M160" s="62">
        <f>+[14]Result!$K$43</f>
        <v>-15070.158962666766</v>
      </c>
      <c r="N160" s="39"/>
    </row>
    <row r="161" spans="2:26" hidden="1" outlineLevel="2" x14ac:dyDescent="0.25">
      <c r="B161" s="17" t="s">
        <v>46</v>
      </c>
      <c r="C161" s="62">
        <f>+[1]Result!$K$44</f>
        <v>-11795.609776244748</v>
      </c>
      <c r="D161" s="62">
        <f>+[5]Result!$K$44</f>
        <v>-12122.370133162016</v>
      </c>
      <c r="E161" s="63">
        <f>+[6]Result!$K$44</f>
        <v>-11083.884461962331</v>
      </c>
      <c r="F161" s="62">
        <f>+[7]Result!$K$44</f>
        <v>-11355.377161059558</v>
      </c>
      <c r="G161" s="62">
        <f>+[8]Result!$K$44</f>
        <v>-11011.196099200195</v>
      </c>
      <c r="H161" s="63">
        <f>+[9]Result!$K$44</f>
        <v>-11570.210876181978</v>
      </c>
      <c r="I161" s="62">
        <f>+[10]Result!$K$44</f>
        <v>-11399.287741051137</v>
      </c>
      <c r="J161" s="62">
        <f>+[11]Result!$K$44</f>
        <v>-11191.970245867022</v>
      </c>
      <c r="K161" s="63">
        <f>+[12]Result!$K$44</f>
        <v>-10503.329717698356</v>
      </c>
      <c r="L161" s="62">
        <f>+[13]Result!$K$44</f>
        <v>-10499.272253419995</v>
      </c>
      <c r="M161" s="62">
        <f>+[14]Result!$K$44</f>
        <v>-10123.0033806396</v>
      </c>
      <c r="N161" s="39"/>
    </row>
    <row r="162" spans="2:26" hidden="1" outlineLevel="2" x14ac:dyDescent="0.25">
      <c r="B162" s="17" t="s">
        <v>47</v>
      </c>
      <c r="C162" s="62">
        <f>+[1]Result!$K$45</f>
        <v>-4734.8923212031232</v>
      </c>
      <c r="D162" s="62">
        <f>+[5]Result!$K$45</f>
        <v>-4867.471886858656</v>
      </c>
      <c r="E162" s="63">
        <f>+[6]Result!$K$45</f>
        <v>-4537.0391788752149</v>
      </c>
      <c r="F162" s="62">
        <f>+[7]Result!$K$45</f>
        <v>-4648.2380507719909</v>
      </c>
      <c r="G162" s="62">
        <f>+[8]Result!$K$45</f>
        <v>-4506.5377222674097</v>
      </c>
      <c r="H162" s="63">
        <f>+[9]Result!$K$45</f>
        <v>-4758.8056491300931</v>
      </c>
      <c r="I162" s="62">
        <f>+[10]Result!$K$45</f>
        <v>-4688.6026189219101</v>
      </c>
      <c r="J162" s="62">
        <f>+[11]Result!$K$45</f>
        <v>-4603.0224066045239</v>
      </c>
      <c r="K162" s="63">
        <f>+[12]Result!$K$45</f>
        <v>-4307.7866596723734</v>
      </c>
      <c r="L162" s="62">
        <f>+[13]Result!$K$45</f>
        <v>-4305.2278960788481</v>
      </c>
      <c r="M162" s="62">
        <f>+[14]Result!$K$45</f>
        <v>-4149.5790042960498</v>
      </c>
      <c r="N162" s="39"/>
    </row>
    <row r="163" spans="2:26" hidden="1" outlineLevel="2" x14ac:dyDescent="0.25">
      <c r="B163" s="17" t="s">
        <v>48</v>
      </c>
      <c r="C163" s="62">
        <f>+[1]Result!$K$46</f>
        <v>-1943.1790861788966</v>
      </c>
      <c r="D163" s="62">
        <f>+[5]Result!$K$46</f>
        <v>-1998.1306794905502</v>
      </c>
      <c r="E163" s="63">
        <f>+[6]Result!$K$46</f>
        <v>-1889.3306288251406</v>
      </c>
      <c r="F163" s="62">
        <f>+[7]Result!$K$46</f>
        <v>-1935.6076276175963</v>
      </c>
      <c r="G163" s="62">
        <f>+[8]Result!$K$46</f>
        <v>-1876.3179307294258</v>
      </c>
      <c r="H163" s="63">
        <f>+[9]Result!$K$46</f>
        <v>-1982.6022642810985</v>
      </c>
      <c r="I163" s="62">
        <f>+[10]Result!$K$46</f>
        <v>-1953.4332341160987</v>
      </c>
      <c r="J163" s="62">
        <f>+[11]Result!$K$46</f>
        <v>-1917.6862956131106</v>
      </c>
      <c r="K163" s="63">
        <f>+[12]Result!$K$46</f>
        <v>-1819.0464271714236</v>
      </c>
      <c r="L163" s="62">
        <f>+[13]Result!$K$46</f>
        <v>-1817.9390150048318</v>
      </c>
      <c r="M163" s="62">
        <f>+[14]Result!$K$46</f>
        <v>-1752.0469021922356</v>
      </c>
      <c r="N163" s="39"/>
    </row>
    <row r="164" spans="2:26" hidden="1" outlineLevel="2" x14ac:dyDescent="0.25">
      <c r="B164" s="17" t="s">
        <v>49</v>
      </c>
      <c r="C164" s="62">
        <f>+[1]Result!$K$47</f>
        <v>-980.43635597584523</v>
      </c>
      <c r="D164" s="62">
        <f>+[5]Result!$K$47</f>
        <v>-1008.2058165910148</v>
      </c>
      <c r="E164" s="63">
        <f>+[6]Result!$K$47</f>
        <v>-971.02706755381894</v>
      </c>
      <c r="F164" s="62">
        <f>+[7]Result!$K$47</f>
        <v>-994.76737919614447</v>
      </c>
      <c r="G164" s="62">
        <f>+[8]Result!$K$47</f>
        <v>-964.17928772613243</v>
      </c>
      <c r="H164" s="63">
        <f>+[9]Result!$K$47</f>
        <v>-1008.7990553054171</v>
      </c>
      <c r="I164" s="62">
        <f>+[10]Result!$K$47</f>
        <v>-993.81015265542976</v>
      </c>
      <c r="J164" s="62">
        <f>+[11]Result!$K$47</f>
        <v>-975.59654174719321</v>
      </c>
      <c r="K164" s="63">
        <f>+[12]Result!$K$47</f>
        <v>-935.8957718685482</v>
      </c>
      <c r="L164" s="62">
        <f>+[13]Result!$K$47</f>
        <v>-935.31264987964732</v>
      </c>
      <c r="M164" s="62">
        <f>+[14]Result!$K$47</f>
        <v>-901.17403201742911</v>
      </c>
      <c r="N164" s="39"/>
    </row>
    <row r="165" spans="2:26" hidden="1" outlineLevel="2" x14ac:dyDescent="0.25">
      <c r="B165" s="17" t="s">
        <v>50</v>
      </c>
      <c r="C165" s="62">
        <f>+[1]Result!$K$48</f>
        <v>-583.10588489486179</v>
      </c>
      <c r="D165" s="62">
        <f>+[5]Result!$K$48</f>
        <v>-599.62954873080309</v>
      </c>
      <c r="E165" s="63">
        <f>+[6]Result!$K$48</f>
        <v>-570.80526287158148</v>
      </c>
      <c r="F165" s="62">
        <f>+[7]Result!$K$48</f>
        <v>-584.71750167116681</v>
      </c>
      <c r="G165" s="62">
        <f>+[8]Result!$K$48</f>
        <v>-566.80653003519092</v>
      </c>
      <c r="H165" s="63">
        <f>+[9]Result!$K$48</f>
        <v>-587.73102108174169</v>
      </c>
      <c r="I165" s="62">
        <f>+[10]Result!$K$48</f>
        <v>-578.91826077090639</v>
      </c>
      <c r="J165" s="62">
        <f>+[11]Result!$K$48</f>
        <v>-568.18290654142663</v>
      </c>
      <c r="K165" s="63">
        <f>+[12]Result!$K$48</f>
        <v>-544.8697319847638</v>
      </c>
      <c r="L165" s="62">
        <f>+[13]Result!$K$48</f>
        <v>-544.52203403901842</v>
      </c>
      <c r="M165" s="62">
        <f>+[14]Result!$K$48</f>
        <v>-524.41252574915802</v>
      </c>
      <c r="N165" s="39"/>
    </row>
    <row r="166" spans="2:26" hidden="1" outlineLevel="2" x14ac:dyDescent="0.25">
      <c r="B166" s="17" t="s">
        <v>51</v>
      </c>
      <c r="C166" s="62">
        <f>+[1]Result!$K$49</f>
        <v>-324.75944909262262</v>
      </c>
      <c r="D166" s="62">
        <f>+[5]Result!$K$49</f>
        <v>-334.02985352503492</v>
      </c>
      <c r="E166" s="63">
        <f>+[6]Result!$K$49</f>
        <v>-321.54742481031695</v>
      </c>
      <c r="F166" s="62">
        <f>+[7]Result!$K$49</f>
        <v>-329.4223767821764</v>
      </c>
      <c r="G166" s="62">
        <f>+[8]Result!$K$49</f>
        <v>-319.38261459865174</v>
      </c>
      <c r="H166" s="63">
        <f>+[9]Result!$K$49</f>
        <v>-333.49864386998144</v>
      </c>
      <c r="I166" s="62">
        <f>+[10]Result!$K$49</f>
        <v>-328.52728054990649</v>
      </c>
      <c r="J166" s="62">
        <f>+[11]Result!$K$49</f>
        <v>-322.43691927907889</v>
      </c>
      <c r="K166" s="63">
        <f>+[12]Result!$K$49</f>
        <v>-309.95354068397859</v>
      </c>
      <c r="L166" s="62">
        <f>+[13]Result!$K$49</f>
        <v>-309.81870127571017</v>
      </c>
      <c r="M166" s="62">
        <f>+[14]Result!$K$49</f>
        <v>-298.37883663967756</v>
      </c>
      <c r="N166" s="39"/>
    </row>
    <row r="167" spans="2:26" hidden="1" outlineLevel="2" x14ac:dyDescent="0.25">
      <c r="B167" s="17" t="s">
        <v>52</v>
      </c>
      <c r="C167" s="62">
        <f>+[1]Result!$K$50</f>
        <v>-177.71599327278076</v>
      </c>
      <c r="D167" s="62">
        <f>+[5]Result!$K$50</f>
        <v>-182.82240367615668</v>
      </c>
      <c r="E167" s="63">
        <f>+[6]Result!$K$50</f>
        <v>-175.42786449407686</v>
      </c>
      <c r="F167" s="62">
        <f>+[7]Result!$K$50</f>
        <v>-179.74139524840189</v>
      </c>
      <c r="G167" s="62">
        <f>+[8]Result!$K$50</f>
        <v>-174.2206009281357</v>
      </c>
      <c r="H167" s="63">
        <f>+[9]Result!$K$50</f>
        <v>-182.14503210237442</v>
      </c>
      <c r="I167" s="62">
        <f>+[10]Result!$K$50</f>
        <v>-179.44936219080464</v>
      </c>
      <c r="J167" s="62">
        <f>+[11]Result!$K$50</f>
        <v>-176.12732027195148</v>
      </c>
      <c r="K167" s="63">
        <f>+[12]Result!$K$50</f>
        <v>-167.55668807225578</v>
      </c>
      <c r="L167" s="62">
        <f>+[13]Result!$K$50</f>
        <v>-167.44498433926998</v>
      </c>
      <c r="M167" s="62">
        <f>+[14]Result!$K$50</f>
        <v>-161.26977850739416</v>
      </c>
      <c r="N167" s="39"/>
    </row>
    <row r="168" spans="2:26" hidden="1" outlineLevel="2" x14ac:dyDescent="0.25">
      <c r="B168" s="17" t="s">
        <v>53</v>
      </c>
      <c r="C168" s="62">
        <f>+[1]Result!$K$51</f>
        <v>-92.336460148256975</v>
      </c>
      <c r="D168" s="62">
        <f>+[5]Result!$K$51</f>
        <v>-94.983516032547954</v>
      </c>
      <c r="E168" s="63">
        <f>+[6]Result!$K$51</f>
        <v>-91.361004134959643</v>
      </c>
      <c r="F168" s="62">
        <f>+[7]Result!$K$51</f>
        <v>-93.614559523645838</v>
      </c>
      <c r="G168" s="62">
        <f>+[8]Result!$K$51</f>
        <v>-90.697879223168101</v>
      </c>
      <c r="H168" s="63">
        <f>+[9]Result!$K$51</f>
        <v>-95.879040097177992</v>
      </c>
      <c r="I168" s="62">
        <f>+[10]Result!$K$51</f>
        <v>-94.450750023038253</v>
      </c>
      <c r="J168" s="62">
        <f>+[11]Result!$K$51</f>
        <v>-92.685324352601043</v>
      </c>
      <c r="K168" s="63">
        <f>+[12]Result!$K$51</f>
        <v>-86.843692551285244</v>
      </c>
      <c r="L168" s="62">
        <f>+[13]Result!$K$51</f>
        <v>-86.784448237945355</v>
      </c>
      <c r="M168" s="62">
        <f>+[14]Result!$K$51</f>
        <v>-83.553086970428268</v>
      </c>
      <c r="N168" s="39"/>
    </row>
    <row r="169" spans="2:26" hidden="1" outlineLevel="2" x14ac:dyDescent="0.25">
      <c r="B169" s="17" t="s">
        <v>54</v>
      </c>
      <c r="C169" s="62">
        <f>+[1]Result!$K$52</f>
        <v>-41.774772349199452</v>
      </c>
      <c r="D169" s="62">
        <f>+[5]Result!$K$52</f>
        <v>-42.97827333419837</v>
      </c>
      <c r="E169" s="63">
        <f>+[6]Result!$K$52</f>
        <v>-40.018401959583464</v>
      </c>
      <c r="F169" s="62">
        <f>+[7]Result!$K$52</f>
        <v>-41.01734139743585</v>
      </c>
      <c r="G169" s="62">
        <f>+[8]Result!$K$52</f>
        <v>-39.73095701639032</v>
      </c>
      <c r="H169" s="63">
        <f>+[9]Result!$K$52</f>
        <v>-43.308031144815267</v>
      </c>
      <c r="I169" s="62">
        <f>+[10]Result!$K$52</f>
        <v>-42.659047033582844</v>
      </c>
      <c r="J169" s="62">
        <f>+[11]Result!$K$52</f>
        <v>-41.864194240012992</v>
      </c>
      <c r="K169" s="63">
        <f>+[12]Result!$K$52</f>
        <v>-38.822898327829122</v>
      </c>
      <c r="L169" s="62">
        <f>+[13]Result!$K$52</f>
        <v>-38.804874762408012</v>
      </c>
      <c r="M169" s="62">
        <f>+[14]Result!$K$52</f>
        <v>-37.355594636553342</v>
      </c>
      <c r="N169" s="39"/>
    </row>
    <row r="170" spans="2:26" hidden="1" outlineLevel="2" x14ac:dyDescent="0.25">
      <c r="B170" s="17" t="s">
        <v>55</v>
      </c>
      <c r="C170" s="62">
        <f>+[1]Result!$K$53</f>
        <v>-15.426001829346049</v>
      </c>
      <c r="D170" s="62">
        <f>+[5]Result!$K$53</f>
        <v>-15.872325395534803</v>
      </c>
      <c r="E170" s="63">
        <f>+[6]Result!$K$53</f>
        <v>-14.391635515658445</v>
      </c>
      <c r="F170" s="62">
        <f>+[7]Result!$K$53</f>
        <v>-14.751511381835584</v>
      </c>
      <c r="G170" s="62">
        <f>+[8]Result!$K$53</f>
        <v>-14.289504506600366</v>
      </c>
      <c r="H170" s="63">
        <f>+[9]Result!$K$53</f>
        <v>-14.852266273648276</v>
      </c>
      <c r="I170" s="62">
        <f>+[10]Result!$K$53</f>
        <v>-14.632005752816795</v>
      </c>
      <c r="J170" s="62">
        <f>+[11]Result!$K$53</f>
        <v>-14.353724886648809</v>
      </c>
      <c r="K170" s="63">
        <f>+[12]Result!$K$53</f>
        <v>-13.036306460889575</v>
      </c>
      <c r="L170" s="62">
        <f>+[13]Result!$K$53</f>
        <v>-13.027046813897439</v>
      </c>
      <c r="M170" s="62">
        <f>+[14]Result!$K$53</f>
        <v>-12.539417481698031</v>
      </c>
      <c r="N170" s="39"/>
    </row>
    <row r="171" spans="2:26" hidden="1" outlineLevel="2" x14ac:dyDescent="0.25">
      <c r="B171" s="17" t="s">
        <v>56</v>
      </c>
      <c r="C171" s="62">
        <f>+[1]Result!$K$54</f>
        <v>-4.0211485008046095</v>
      </c>
      <c r="D171" s="62">
        <f>+[5]Result!$K$54</f>
        <v>-4.1368992634428796</v>
      </c>
      <c r="E171" s="63">
        <f>+[6]Result!$K$54</f>
        <v>-3.5009412417624013</v>
      </c>
      <c r="F171" s="62">
        <f>+[7]Result!$K$54</f>
        <v>-3.586826250020672</v>
      </c>
      <c r="G171" s="62">
        <f>+[8]Result!$K$54</f>
        <v>-3.4755885913918227</v>
      </c>
      <c r="H171" s="63">
        <f>+[9]Result!$K$54</f>
        <v>-3.808546549413196</v>
      </c>
      <c r="I171" s="62">
        <f>+[10]Result!$K$54</f>
        <v>-3.7518243033562082</v>
      </c>
      <c r="J171" s="62">
        <f>+[11]Result!$K$54</f>
        <v>-3.6799002607601237</v>
      </c>
      <c r="K171" s="63">
        <f>+[12]Result!$K$54</f>
        <v>-3.3123182729635485</v>
      </c>
      <c r="L171" s="62">
        <f>+[13]Result!$K$54</f>
        <v>-3.3091145090052221</v>
      </c>
      <c r="M171" s="62">
        <f>+[14]Result!$K$54</f>
        <v>-3.1850576182024133</v>
      </c>
      <c r="N171" s="39"/>
    </row>
    <row r="172" spans="2:26" collapsed="1" x14ac:dyDescent="0.25">
      <c r="B172" s="13" t="s">
        <v>59</v>
      </c>
      <c r="C172" s="62">
        <f>+SUM([1]Result!$L$5:$L$54)</f>
        <v>-27823639.285867769</v>
      </c>
      <c r="D172" s="62">
        <f>+SUM([5]Result!$L$5:$L$54)</f>
        <v>-26467839.074952826</v>
      </c>
      <c r="E172" s="63">
        <f>+SUM([6]Result!$L$5:$L$54)</f>
        <v>-28664126.559251688</v>
      </c>
      <c r="F172" s="62">
        <f>+SUM([7]Result!$L$5:$L$54)</f>
        <v>-25603578.95829761</v>
      </c>
      <c r="G172" s="62">
        <f>+SUM([8]Result!$L$5:$L$54)</f>
        <v>-26261534.219619103</v>
      </c>
      <c r="H172" s="63">
        <f>+SUM([9]Result!$L$5:$L$54)</f>
        <v>-26934066.114564087</v>
      </c>
      <c r="I172" s="62">
        <f>+SUM([10]Result!$L$5:$L$54)</f>
        <v>-27884341.190012556</v>
      </c>
      <c r="J172" s="62">
        <f>+SUM([11]Result!$L$5:$L$54)</f>
        <v>-27588440.31238737</v>
      </c>
      <c r="K172" s="63">
        <f>+SUM([12]Result!$L$5:$L$54)</f>
        <v>-28896113.813767809</v>
      </c>
      <c r="L172" s="62">
        <f>+SUM([13]Result!$L$5:$L$54)</f>
        <v>-28573621.057020888</v>
      </c>
      <c r="M172" s="62">
        <f>+SUM([14]Result!$L$5:$L$54)</f>
        <v>-29271629.041810144</v>
      </c>
      <c r="N172" s="39"/>
      <c r="O172" s="14">
        <f>+C172-(C173+C179+C185+C196+C207)</f>
        <v>0</v>
      </c>
      <c r="P172" s="14">
        <f t="shared" ref="P172:R172" si="54">+D172-(D173+D179+D185+D196+D207)</f>
        <v>0</v>
      </c>
      <c r="Q172" s="14">
        <f t="shared" si="54"/>
        <v>0</v>
      </c>
      <c r="R172" s="14">
        <f t="shared" si="54"/>
        <v>0</v>
      </c>
      <c r="S172" s="14">
        <f t="shared" ref="S172" si="55">+G172-(G173+G179+G185+G196+G207)</f>
        <v>0</v>
      </c>
      <c r="T172" s="14">
        <f t="shared" ref="T172:Z172" si="56">+H172-(H173+H179+H185+H196+H207)</f>
        <v>0</v>
      </c>
      <c r="U172" s="14">
        <f t="shared" si="56"/>
        <v>0</v>
      </c>
      <c r="V172" s="14">
        <f t="shared" si="56"/>
        <v>0</v>
      </c>
      <c r="W172" s="14">
        <f t="shared" si="56"/>
        <v>0</v>
      </c>
      <c r="X172" s="14">
        <f t="shared" si="56"/>
        <v>0</v>
      </c>
      <c r="Y172" s="14">
        <f t="shared" si="56"/>
        <v>0</v>
      </c>
      <c r="Z172" s="14">
        <f t="shared" si="56"/>
        <v>0</v>
      </c>
    </row>
    <row r="173" spans="2:26" hidden="1" outlineLevel="1" x14ac:dyDescent="0.25">
      <c r="B173" s="16" t="s">
        <v>2</v>
      </c>
      <c r="C173" s="62" cm="1">
        <f t="array" ref="C173">+[1]!DELTA_DOWN_1_5</f>
        <v>-15858517.583357528</v>
      </c>
      <c r="D173" s="62" cm="1">
        <f t="array" ref="D173">+[5]!DELTA_DOWN_1_5</f>
        <v>-14902278.631737009</v>
      </c>
      <c r="E173" s="63" cm="1">
        <f t="array" ref="E173">+[6]!DELTA_DOWN_1_5</f>
        <v>-16386295.103140369</v>
      </c>
      <c r="F173" s="62" cm="1">
        <f t="array" ref="F173">+[7]!DELTA_DOWN_1_5</f>
        <v>-14219485.850820296</v>
      </c>
      <c r="G173" s="62" cm="1">
        <f t="array" ref="G173">+[8]!DELTA_DOWN_1_5</f>
        <v>-14561651.292428292</v>
      </c>
      <c r="H173" s="63" cm="1">
        <f t="array" ref="H173">+[9]!DELTA_DOWN_1_5</f>
        <v>-14827974.48847536</v>
      </c>
      <c r="I173" s="62" cm="1">
        <f t="array" ref="I173">+[10]!DELTA_DOWN_1_5</f>
        <v>-15482699.152650446</v>
      </c>
      <c r="J173" s="62" cm="1">
        <f t="array" ref="J173">+[11]!DELTA_DOWN_1_5</f>
        <v>-15224766.489166856</v>
      </c>
      <c r="K173" s="63" cm="1">
        <f t="array" ref="K173">+[12]!DELTA_DOWN_1_5</f>
        <v>-16291570.904679701</v>
      </c>
      <c r="L173" s="62" cm="1">
        <f t="array" ref="L173">+[13]!DELTA_DOWN_1_5</f>
        <v>-16106904.149108313</v>
      </c>
      <c r="M173" s="62" cm="1">
        <f t="array" ref="M173">+[14]!DELTA_DOWN_1_5</f>
        <v>-16404524.903807066</v>
      </c>
      <c r="N173" s="39"/>
      <c r="O173" s="14">
        <f>+C173-SUM(C174:C178)</f>
        <v>0</v>
      </c>
      <c r="P173" s="14">
        <f t="shared" ref="P173:R173" si="57">+D173-SUM(D174:D178)</f>
        <v>0</v>
      </c>
      <c r="Q173" s="14">
        <f t="shared" si="57"/>
        <v>0</v>
      </c>
      <c r="R173" s="14">
        <f t="shared" si="57"/>
        <v>0</v>
      </c>
      <c r="S173" s="14">
        <f t="shared" ref="S173" si="58">+G173-SUM(G174:G178)</f>
        <v>0</v>
      </c>
      <c r="T173" s="14">
        <f t="shared" ref="T173:Z173" si="59">+H173-SUM(H174:H178)</f>
        <v>0</v>
      </c>
      <c r="U173" s="14">
        <f t="shared" si="59"/>
        <v>0</v>
      </c>
      <c r="V173" s="14">
        <f t="shared" si="59"/>
        <v>0</v>
      </c>
      <c r="W173" s="14">
        <f t="shared" si="59"/>
        <v>0</v>
      </c>
      <c r="X173" s="14">
        <f t="shared" si="59"/>
        <v>0</v>
      </c>
      <c r="Y173" s="14">
        <f t="shared" si="59"/>
        <v>0</v>
      </c>
      <c r="Z173" s="14">
        <f t="shared" si="59"/>
        <v>0</v>
      </c>
    </row>
    <row r="174" spans="2:26" hidden="1" outlineLevel="2" x14ac:dyDescent="0.25">
      <c r="B174" s="17" t="s">
        <v>3</v>
      </c>
      <c r="C174" s="62">
        <f>+[1]Result!$L$5</f>
        <v>-3433687.7605449557</v>
      </c>
      <c r="D174" s="62">
        <f>+[5]Result!$L$5</f>
        <v>-3208153.6066150665</v>
      </c>
      <c r="E174" s="63">
        <f>+[6]Result!$L$5</f>
        <v>-3223922.7716908455</v>
      </c>
      <c r="F174" s="62">
        <f>+[7]Result!$L$5</f>
        <v>-2804669.072511971</v>
      </c>
      <c r="G174" s="62">
        <f>+[8]Result!$L$5</f>
        <v>-2828255.678873837</v>
      </c>
      <c r="H174" s="63">
        <f>+[9]Result!$L$5</f>
        <v>-2605933.1603066325</v>
      </c>
      <c r="I174" s="62">
        <f>+[10]Result!$L$5</f>
        <v>-2696876.4851128459</v>
      </c>
      <c r="J174" s="62">
        <f>+[11]Result!$L$5</f>
        <v>-2686238.2704716921</v>
      </c>
      <c r="K174" s="63">
        <f>+[12]Result!$L$5</f>
        <v>-2620458.2470477223</v>
      </c>
      <c r="L174" s="62">
        <f>+[13]Result!$L$5</f>
        <v>-2627212.9300752282</v>
      </c>
      <c r="M174" s="62">
        <f>+[14]Result!$L$5</f>
        <v>-2642368.9066303968</v>
      </c>
      <c r="N174" s="39"/>
    </row>
    <row r="175" spans="2:26" hidden="1" outlineLevel="2" x14ac:dyDescent="0.25">
      <c r="B175" s="17" t="s">
        <v>4</v>
      </c>
      <c r="C175" s="62">
        <f>+[1]Result!$L$6</f>
        <v>-4832858.7340381742</v>
      </c>
      <c r="D175" s="62">
        <f>+[5]Result!$L$6</f>
        <v>-4542324.9149913788</v>
      </c>
      <c r="E175" s="63">
        <f>+[6]Result!$L$6</f>
        <v>-5463627.1464482546</v>
      </c>
      <c r="F175" s="62">
        <f>+[7]Result!$L$6</f>
        <v>-4714981.9976521134</v>
      </c>
      <c r="G175" s="62">
        <f>+[8]Result!$L$6</f>
        <v>-4817649.2765429914</v>
      </c>
      <c r="H175" s="63">
        <f>+[9]Result!$L$6</f>
        <v>-5058133.6228739619</v>
      </c>
      <c r="I175" s="62">
        <f>+[10]Result!$L$6</f>
        <v>-5281871.1201460063</v>
      </c>
      <c r="J175" s="62">
        <f>+[11]Result!$L$6</f>
        <v>-5209818.3118720055</v>
      </c>
      <c r="K175" s="63">
        <f>+[12]Result!$L$6</f>
        <v>-5624327.183190763</v>
      </c>
      <c r="L175" s="62">
        <f>+[13]Result!$L$6</f>
        <v>-5578488.2953406572</v>
      </c>
      <c r="M175" s="62">
        <f>+[14]Result!$L$6</f>
        <v>-5661989.1626092792</v>
      </c>
      <c r="N175" s="39"/>
    </row>
    <row r="176" spans="2:26" hidden="1" outlineLevel="2" x14ac:dyDescent="0.25">
      <c r="B176" s="17" t="s">
        <v>5</v>
      </c>
      <c r="C176" s="62">
        <f>+[1]Result!$L$7</f>
        <v>-3377075.601060465</v>
      </c>
      <c r="D176" s="62">
        <f>+[5]Result!$L$7</f>
        <v>-3172736.8936640471</v>
      </c>
      <c r="E176" s="63">
        <f>+[6]Result!$L$7</f>
        <v>-3347537.1781870872</v>
      </c>
      <c r="F176" s="62">
        <f>+[7]Result!$L$7</f>
        <v>-2891469.3963588625</v>
      </c>
      <c r="G176" s="62">
        <f>+[8]Result!$L$7</f>
        <v>-2982685.9761784971</v>
      </c>
      <c r="H176" s="63">
        <f>+[9]Result!$L$7</f>
        <v>-3071890.8173443824</v>
      </c>
      <c r="I176" s="62">
        <f>+[10]Result!$L$7</f>
        <v>-3226015.5337226689</v>
      </c>
      <c r="J176" s="62">
        <f>+[11]Result!$L$7</f>
        <v>-3150744.211242035</v>
      </c>
      <c r="K176" s="63">
        <f>+[12]Result!$L$7</f>
        <v>-3562195.9889165312</v>
      </c>
      <c r="L176" s="62">
        <f>+[13]Result!$L$7</f>
        <v>-3503630.2985126674</v>
      </c>
      <c r="M176" s="62">
        <f>+[14]Result!$L$7</f>
        <v>-3580510.57846421</v>
      </c>
      <c r="N176" s="39"/>
    </row>
    <row r="177" spans="2:26" hidden="1" outlineLevel="2" x14ac:dyDescent="0.25">
      <c r="B177" s="17" t="s">
        <v>6</v>
      </c>
      <c r="C177" s="62">
        <f>+[1]Result!$L$8</f>
        <v>-2295252.5437206328</v>
      </c>
      <c r="D177" s="62">
        <f>+[5]Result!$L$8</f>
        <v>-2162086.1673977673</v>
      </c>
      <c r="E177" s="63">
        <f>+[6]Result!$L$8</f>
        <v>-2371980.1185781509</v>
      </c>
      <c r="F177" s="62">
        <f>+[7]Result!$L$8</f>
        <v>-2068224.7929533496</v>
      </c>
      <c r="G177" s="62">
        <f>+[8]Result!$L$8</f>
        <v>-2136789.8048847318</v>
      </c>
      <c r="H177" s="63">
        <f>+[9]Result!$L$8</f>
        <v>-2220325.05672694</v>
      </c>
      <c r="I177" s="62">
        <f>+[10]Result!$L$8</f>
        <v>-2325681.5556898788</v>
      </c>
      <c r="J177" s="62">
        <f>+[11]Result!$L$8</f>
        <v>-2267858.1504822075</v>
      </c>
      <c r="K177" s="63">
        <f>+[12]Result!$L$8</f>
        <v>-2465279.7153320238</v>
      </c>
      <c r="L177" s="62">
        <f>+[13]Result!$L$8</f>
        <v>-2418208.1978164911</v>
      </c>
      <c r="M177" s="62">
        <f>+[14]Result!$L$8</f>
        <v>-2480493.4813642725</v>
      </c>
      <c r="N177" s="39"/>
    </row>
    <row r="178" spans="2:26" hidden="1" outlineLevel="2" x14ac:dyDescent="0.25">
      <c r="B178" s="17" t="s">
        <v>7</v>
      </c>
      <c r="C178" s="62">
        <f>+[1]Result!$L$9</f>
        <v>-1919642.9439933002</v>
      </c>
      <c r="D178" s="62">
        <f>+[5]Result!$L$9</f>
        <v>-1816977.049068749</v>
      </c>
      <c r="E178" s="63">
        <f>+[6]Result!$L$9</f>
        <v>-1979227.8882360309</v>
      </c>
      <c r="F178" s="62">
        <f>+[7]Result!$L$9</f>
        <v>-1740140.5913439989</v>
      </c>
      <c r="G178" s="62">
        <f>+[8]Result!$L$9</f>
        <v>-1796270.5559482351</v>
      </c>
      <c r="H178" s="63">
        <f>+[9]Result!$L$9</f>
        <v>-1871691.8312234432</v>
      </c>
      <c r="I178" s="62">
        <f>+[10]Result!$L$9</f>
        <v>-1952254.4579790458</v>
      </c>
      <c r="J178" s="62">
        <f>+[11]Result!$L$9</f>
        <v>-1910107.5450989157</v>
      </c>
      <c r="K178" s="63">
        <f>+[12]Result!$L$9</f>
        <v>-2019309.7701926604</v>
      </c>
      <c r="L178" s="62">
        <f>+[13]Result!$L$9</f>
        <v>-1979364.427363269</v>
      </c>
      <c r="M178" s="62">
        <f>+[14]Result!$L$9</f>
        <v>-2039162.7747389078</v>
      </c>
      <c r="N178" s="39"/>
    </row>
    <row r="179" spans="2:26" hidden="1" outlineLevel="1" collapsed="1" x14ac:dyDescent="0.25">
      <c r="B179" s="16" t="s">
        <v>8</v>
      </c>
      <c r="C179" s="62" cm="1">
        <f t="array" ref="C179">+[1]!DELTA_6_10</f>
        <v>-6188442.1791779902</v>
      </c>
      <c r="D179" s="62" cm="1">
        <f t="array" ref="D179">+[5]!DELTA_6_10</f>
        <v>-5917334.9138725232</v>
      </c>
      <c r="E179" s="63" cm="1">
        <f t="array" ref="E179">+[6]!DELTA_6_10</f>
        <v>-6461930.2590997685</v>
      </c>
      <c r="F179" s="62" cm="1">
        <f t="array" ref="F179">+[7]!DELTA_6_10</f>
        <v>-5851488.4158910271</v>
      </c>
      <c r="G179" s="62" cm="1">
        <f t="array" ref="G179">+[8]!DELTA_6_10</f>
        <v>-6018256.4779358599</v>
      </c>
      <c r="H179" s="63" cm="1">
        <f t="array" ref="H179">+[9]!DELTA_6_10</f>
        <v>-6267778.5976012871</v>
      </c>
      <c r="I179" s="62" cm="1">
        <f t="array" ref="I179">+[10]!DELTA_6_10</f>
        <v>-6462892.5998109318</v>
      </c>
      <c r="J179" s="62" cm="1">
        <f t="array" ref="J179">+[11]!DELTA_6_10</f>
        <v>-6387674.6480938885</v>
      </c>
      <c r="K179" s="63" cm="1">
        <f t="array" ref="K179">+[12]!DELTA_6_10</f>
        <v>-6516421.7721496839</v>
      </c>
      <c r="L179" s="62" cm="1">
        <f t="array" ref="L179">+[13]!DELTA_6_10</f>
        <v>-6410416.7870126422</v>
      </c>
      <c r="M179" s="62" cm="1">
        <f t="array" ref="M179">+[14]!DELTA_6_10</f>
        <v>-6630908.6977948844</v>
      </c>
      <c r="N179" s="39"/>
      <c r="O179" s="14">
        <f>+C179-SUM(C180:C184)</f>
        <v>0</v>
      </c>
      <c r="P179" s="14">
        <f t="shared" ref="P179:R179" si="60">+D179-SUM(D180:D184)</f>
        <v>0</v>
      </c>
      <c r="Q179" s="14">
        <f t="shared" si="60"/>
        <v>0</v>
      </c>
      <c r="R179" s="14">
        <f t="shared" si="60"/>
        <v>0</v>
      </c>
      <c r="S179" s="14">
        <f t="shared" ref="S179" si="61">+G179-SUM(G180:G184)</f>
        <v>0</v>
      </c>
      <c r="T179" s="14">
        <f t="shared" ref="T179:Z179" si="62">+H179-SUM(H180:H184)</f>
        <v>0</v>
      </c>
      <c r="U179" s="14">
        <f t="shared" si="62"/>
        <v>0</v>
      </c>
      <c r="V179" s="14">
        <f t="shared" si="62"/>
        <v>0</v>
      </c>
      <c r="W179" s="14">
        <f t="shared" si="62"/>
        <v>0</v>
      </c>
      <c r="X179" s="14">
        <f t="shared" si="62"/>
        <v>0</v>
      </c>
      <c r="Y179" s="14">
        <f t="shared" si="62"/>
        <v>0</v>
      </c>
      <c r="Z179" s="14">
        <f t="shared" si="62"/>
        <v>0</v>
      </c>
    </row>
    <row r="180" spans="2:26" hidden="1" outlineLevel="2" x14ac:dyDescent="0.25">
      <c r="B180" s="17" t="s">
        <v>9</v>
      </c>
      <c r="C180" s="62">
        <f>+[1]Result!$L$10</f>
        <v>-1688016.9923435412</v>
      </c>
      <c r="D180" s="62">
        <f>+[5]Result!$L$10</f>
        <v>-1600541.3332118653</v>
      </c>
      <c r="E180" s="63">
        <f>+[6]Result!$L$10</f>
        <v>-1753835.3676911481</v>
      </c>
      <c r="F180" s="62">
        <f>+[7]Result!$L$10</f>
        <v>-1557827.0854626819</v>
      </c>
      <c r="G180" s="62">
        <f>+[8]Result!$L$10</f>
        <v>-1605548.646947246</v>
      </c>
      <c r="H180" s="63">
        <f>+[9]Result!$L$10</f>
        <v>-1665323.6952408552</v>
      </c>
      <c r="I180" s="62">
        <f>+[10]Result!$L$10</f>
        <v>-1729617.4190155603</v>
      </c>
      <c r="J180" s="62">
        <f>+[11]Result!$L$10</f>
        <v>-1698774.7684473656</v>
      </c>
      <c r="K180" s="63">
        <f>+[12]Result!$L$10</f>
        <v>-1758647.1222652979</v>
      </c>
      <c r="L180" s="62">
        <f>+[13]Result!$L$10</f>
        <v>-1725133.8651808724</v>
      </c>
      <c r="M180" s="62">
        <f>+[14]Result!$L$10</f>
        <v>-1783190.0995557681</v>
      </c>
      <c r="N180" s="39"/>
    </row>
    <row r="181" spans="2:26" hidden="1" outlineLevel="2" x14ac:dyDescent="0.25">
      <c r="B181" s="17" t="s">
        <v>10</v>
      </c>
      <c r="C181" s="62">
        <f>+[1]Result!$L$11</f>
        <v>-1432327.937820483</v>
      </c>
      <c r="D181" s="62">
        <f>+[5]Result!$L$11</f>
        <v>-1365405.9557199962</v>
      </c>
      <c r="E181" s="63">
        <f>+[6]Result!$L$11</f>
        <v>-1505308.5657754131</v>
      </c>
      <c r="F181" s="62">
        <f>+[7]Result!$L$11</f>
        <v>-1354691.8584266603</v>
      </c>
      <c r="G181" s="62">
        <f>+[8]Result!$L$11</f>
        <v>-1393461.0640949793</v>
      </c>
      <c r="H181" s="63">
        <f>+[9]Result!$L$11</f>
        <v>-1452225.9273911417</v>
      </c>
      <c r="I181" s="62">
        <f>+[10]Result!$L$11</f>
        <v>-1499842.6050516553</v>
      </c>
      <c r="J181" s="62">
        <f>+[11]Result!$L$11</f>
        <v>-1479282.1122725792</v>
      </c>
      <c r="K181" s="63">
        <f>+[12]Result!$L$11</f>
        <v>-1518207.4912130684</v>
      </c>
      <c r="L181" s="62">
        <f>+[13]Result!$L$11</f>
        <v>-1491922.8201114535</v>
      </c>
      <c r="M181" s="62">
        <f>+[14]Result!$L$11</f>
        <v>-1543767.6692111194</v>
      </c>
      <c r="N181" s="39"/>
    </row>
    <row r="182" spans="2:26" hidden="1" outlineLevel="2" x14ac:dyDescent="0.25">
      <c r="B182" s="17" t="s">
        <v>11</v>
      </c>
      <c r="C182" s="62">
        <f>+[1]Result!$L$12</f>
        <v>-1202947.7443003245</v>
      </c>
      <c r="D182" s="62">
        <f>+[5]Result!$L$12</f>
        <v>-1153169.420860935</v>
      </c>
      <c r="E182" s="63">
        <f>+[6]Result!$L$12</f>
        <v>-1274053.6332637556</v>
      </c>
      <c r="F182" s="62">
        <f>+[7]Result!$L$12</f>
        <v>-1159447.1491578445</v>
      </c>
      <c r="G182" s="62">
        <f>+[8]Result!$L$12</f>
        <v>-1191531.4513758197</v>
      </c>
      <c r="H182" s="63">
        <f>+[9]Result!$L$12</f>
        <v>-1245505.1556148008</v>
      </c>
      <c r="I182" s="62">
        <f>+[10]Result!$L$12</f>
        <v>-1281257.1404005773</v>
      </c>
      <c r="J182" s="62">
        <f>+[11]Result!$L$12</f>
        <v>-1267919.1897517964</v>
      </c>
      <c r="K182" s="63">
        <f>+[12]Result!$L$12</f>
        <v>-1291978.992894046</v>
      </c>
      <c r="L182" s="62">
        <f>+[13]Result!$L$12</f>
        <v>-1272024.6592766717</v>
      </c>
      <c r="M182" s="62">
        <f>+[14]Result!$L$12</f>
        <v>-1315763.4009241313</v>
      </c>
      <c r="N182" s="39"/>
    </row>
    <row r="183" spans="2:26" hidden="1" outlineLevel="2" x14ac:dyDescent="0.25">
      <c r="B183" s="17" t="s">
        <v>12</v>
      </c>
      <c r="C183" s="62">
        <f>+[1]Result!$L$13</f>
        <v>-987706.79346131533</v>
      </c>
      <c r="D183" s="62">
        <f>+[5]Result!$L$13</f>
        <v>-951799.16875234805</v>
      </c>
      <c r="E183" s="63">
        <f>+[6]Result!$L$13</f>
        <v>-1014635.0481305979</v>
      </c>
      <c r="F183" s="62">
        <f>+[7]Result!$L$13</f>
        <v>-931822.59279126115</v>
      </c>
      <c r="G183" s="62">
        <f>+[8]Result!$L$13</f>
        <v>-957265.27731539682</v>
      </c>
      <c r="H183" s="63">
        <f>+[9]Result!$L$13</f>
        <v>-992532.31261750311</v>
      </c>
      <c r="I183" s="62">
        <f>+[10]Result!$L$13</f>
        <v>-1017765.2783418074</v>
      </c>
      <c r="J183" s="62">
        <f>+[11]Result!$L$13</f>
        <v>-1010762.3301912323</v>
      </c>
      <c r="K183" s="63">
        <f>+[12]Result!$L$13</f>
        <v>-1018935.0358770471</v>
      </c>
      <c r="L183" s="62">
        <f>+[13]Result!$L$13</f>
        <v>-1004667.5566693842</v>
      </c>
      <c r="M183" s="62">
        <f>+[14]Result!$L$13</f>
        <v>-1039099.6742665954</v>
      </c>
      <c r="N183" s="39"/>
    </row>
    <row r="184" spans="2:26" hidden="1" outlineLevel="2" x14ac:dyDescent="0.25">
      <c r="B184" s="17" t="s">
        <v>13</v>
      </c>
      <c r="C184" s="62">
        <f>+[1]Result!$L$14</f>
        <v>-877442.71125232615</v>
      </c>
      <c r="D184" s="62">
        <f>+[5]Result!$L$14</f>
        <v>-846419.03532737866</v>
      </c>
      <c r="E184" s="63">
        <f>+[6]Result!$L$14</f>
        <v>-914097.64423885383</v>
      </c>
      <c r="F184" s="62">
        <f>+[7]Result!$L$14</f>
        <v>-847699.73005257919</v>
      </c>
      <c r="G184" s="62">
        <f>+[8]Result!$L$14</f>
        <v>-870450.03820241801</v>
      </c>
      <c r="H184" s="63">
        <f>+[9]Result!$L$14</f>
        <v>-912191.50673698634</v>
      </c>
      <c r="I184" s="62">
        <f>+[10]Result!$L$14</f>
        <v>-934410.15700133145</v>
      </c>
      <c r="J184" s="62">
        <f>+[11]Result!$L$14</f>
        <v>-930936.24743091501</v>
      </c>
      <c r="K184" s="63">
        <f>+[12]Result!$L$14</f>
        <v>-928653.12990022451</v>
      </c>
      <c r="L184" s="62">
        <f>+[13]Result!$L$14</f>
        <v>-916667.88577426039</v>
      </c>
      <c r="M184" s="62">
        <f>+[14]Result!$L$14</f>
        <v>-949087.85383727029</v>
      </c>
      <c r="N184" s="39"/>
    </row>
    <row r="185" spans="2:26" hidden="1" outlineLevel="1" collapsed="1" x14ac:dyDescent="0.25">
      <c r="B185" s="16" t="s">
        <v>14</v>
      </c>
      <c r="C185" s="62" cm="1">
        <f t="array" ref="C185">+[1]!DELTA_DOWN_11_20</f>
        <v>-4380197.0133195501</v>
      </c>
      <c r="D185" s="62" cm="1">
        <f t="array" ref="D185">+[5]!DELTA_DOWN_11_20</f>
        <v>-4279709.6587213427</v>
      </c>
      <c r="E185" s="63" cm="1">
        <f t="array" ref="E185">+[6]!DELTA_DOWN_11_20</f>
        <v>-4397797.9141550893</v>
      </c>
      <c r="F185" s="62" cm="1">
        <f t="array" ref="F185">+[7]!DELTA_DOWN_11_20</f>
        <v>-4153861.9588710601</v>
      </c>
      <c r="G185" s="62" cm="1">
        <f t="array" ref="G185">+[8]!DELTA_DOWN_11_20</f>
        <v>-4267899.2714472748</v>
      </c>
      <c r="H185" s="63" cm="1">
        <f t="array" ref="H185">+[9]!DELTA_DOWN_11_20</f>
        <v>-4382958.7803807538</v>
      </c>
      <c r="I185" s="62" cm="1">
        <f t="array" ref="I185">+[10]!DELTA_DOWN_11_20</f>
        <v>-4466926.9674744457</v>
      </c>
      <c r="J185" s="62" cm="1">
        <f t="array" ref="J185">+[11]!DELTA_DOWN_11_20</f>
        <v>-4489886.314213058</v>
      </c>
      <c r="K185" s="63" cm="1">
        <f t="array" ref="K185">+[12]!DELTA_DOWN_11_20</f>
        <v>-4520681.5955025293</v>
      </c>
      <c r="L185" s="62" cm="1">
        <f t="array" ref="L185">+[13]!DELTA_DOWN_11_20</f>
        <v>-4489810.5381436944</v>
      </c>
      <c r="M185" s="62" cm="1">
        <f t="array" ref="M185">+[14]!DELTA_DOWN_11_20</f>
        <v>-4637060.4581400231</v>
      </c>
      <c r="N185" s="39"/>
      <c r="O185" s="14">
        <f>+C185-SUM(C186:C195)</f>
        <v>0</v>
      </c>
      <c r="P185" s="14">
        <f t="shared" ref="P185:R185" si="63">+D185-SUM(D186:D195)</f>
        <v>0</v>
      </c>
      <c r="Q185" s="14">
        <f t="shared" si="63"/>
        <v>0</v>
      </c>
      <c r="R185" s="14">
        <f t="shared" si="63"/>
        <v>0</v>
      </c>
      <c r="S185" s="14">
        <f t="shared" ref="S185" si="64">+G185-SUM(G186:G195)</f>
        <v>0</v>
      </c>
      <c r="T185" s="14">
        <f t="shared" ref="T185:Z185" si="65">+H185-SUM(H186:H195)</f>
        <v>0</v>
      </c>
      <c r="U185" s="14">
        <f t="shared" si="65"/>
        <v>0</v>
      </c>
      <c r="V185" s="14">
        <f t="shared" si="65"/>
        <v>0</v>
      </c>
      <c r="W185" s="14">
        <f t="shared" si="65"/>
        <v>0</v>
      </c>
      <c r="X185" s="14">
        <f t="shared" si="65"/>
        <v>0</v>
      </c>
      <c r="Y185" s="14">
        <f t="shared" si="65"/>
        <v>0</v>
      </c>
      <c r="Z185" s="14">
        <f t="shared" si="65"/>
        <v>0</v>
      </c>
    </row>
    <row r="186" spans="2:26" hidden="1" outlineLevel="2" x14ac:dyDescent="0.25">
      <c r="B186" s="17" t="s">
        <v>15</v>
      </c>
      <c r="C186" s="62">
        <f>+[1]Result!$L$15</f>
        <v>-738375.52678863145</v>
      </c>
      <c r="D186" s="62">
        <f>+[5]Result!$L$15</f>
        <v>-714564.51848063432</v>
      </c>
      <c r="E186" s="63">
        <f>+[6]Result!$L$15</f>
        <v>-753774.06257969514</v>
      </c>
      <c r="F186" s="62">
        <f>+[7]Result!$L$15</f>
        <v>-703359.89253284223</v>
      </c>
      <c r="G186" s="62">
        <f>+[8]Result!$L$15</f>
        <v>-722168.99111289717</v>
      </c>
      <c r="H186" s="63">
        <f>+[9]Result!$L$15</f>
        <v>-753107.91626075841</v>
      </c>
      <c r="I186" s="62">
        <f>+[10]Result!$L$15</f>
        <v>-771399.15579395369</v>
      </c>
      <c r="J186" s="62">
        <f>+[11]Result!$L$15</f>
        <v>-770639.81759599783</v>
      </c>
      <c r="K186" s="63">
        <f>+[12]Result!$L$15</f>
        <v>-771791.42226696014</v>
      </c>
      <c r="L186" s="62">
        <f>+[13]Result!$L$15</f>
        <v>-763054.22056954354</v>
      </c>
      <c r="M186" s="62">
        <f>+[14]Result!$L$15</f>
        <v>-790119.10418636166</v>
      </c>
      <c r="N186" s="39"/>
    </row>
    <row r="187" spans="2:26" hidden="1" outlineLevel="2" x14ac:dyDescent="0.25">
      <c r="B187" s="17" t="s">
        <v>16</v>
      </c>
      <c r="C187" s="62">
        <f>+[1]Result!$L$16</f>
        <v>-578502.05832417123</v>
      </c>
      <c r="D187" s="62">
        <f>+[5]Result!$L$16</f>
        <v>-563331.79765155911</v>
      </c>
      <c r="E187" s="63">
        <f>+[6]Result!$L$16</f>
        <v>-571022.79022674356</v>
      </c>
      <c r="F187" s="62">
        <f>+[7]Result!$L$16</f>
        <v>-534842.03838473</v>
      </c>
      <c r="G187" s="62">
        <f>+[8]Result!$L$16</f>
        <v>-548779.65632485319</v>
      </c>
      <c r="H187" s="63">
        <f>+[9]Result!$L$16</f>
        <v>-566262.80925703142</v>
      </c>
      <c r="I187" s="62">
        <f>+[10]Result!$L$16</f>
        <v>-578104.08640667889</v>
      </c>
      <c r="J187" s="62">
        <f>+[11]Result!$L$16</f>
        <v>-579157.15498282667</v>
      </c>
      <c r="K187" s="63">
        <f>+[12]Result!$L$16</f>
        <v>-583370.52679814212</v>
      </c>
      <c r="L187" s="62">
        <f>+[13]Result!$L$16</f>
        <v>-578115.7374895392</v>
      </c>
      <c r="M187" s="62">
        <f>+[14]Result!$L$16</f>
        <v>-597659.02229384426</v>
      </c>
      <c r="N187" s="39"/>
    </row>
    <row r="188" spans="2:26" hidden="1" outlineLevel="2" x14ac:dyDescent="0.25">
      <c r="B188" s="17" t="s">
        <v>17</v>
      </c>
      <c r="C188" s="62">
        <f>+[1]Result!$L$17</f>
        <v>-516439.27793727629</v>
      </c>
      <c r="D188" s="62">
        <f>+[5]Result!$L$17</f>
        <v>-504058.92935440876</v>
      </c>
      <c r="E188" s="63">
        <f>+[6]Result!$L$17</f>
        <v>-511124.18733038101</v>
      </c>
      <c r="F188" s="62">
        <f>+[7]Result!$L$17</f>
        <v>-480791.60102442838</v>
      </c>
      <c r="G188" s="62">
        <f>+[8]Result!$L$17</f>
        <v>-493368.82344948873</v>
      </c>
      <c r="H188" s="63">
        <f>+[9]Result!$L$17</f>
        <v>-507895.97694915533</v>
      </c>
      <c r="I188" s="62">
        <f>+[10]Result!$L$17</f>
        <v>-516818.71870091278</v>
      </c>
      <c r="J188" s="62">
        <f>+[11]Result!$L$17</f>
        <v>-518893.12429841515</v>
      </c>
      <c r="K188" s="63">
        <f>+[12]Result!$L$17</f>
        <v>-521056.92748805415</v>
      </c>
      <c r="L188" s="62">
        <f>+[13]Result!$L$17</f>
        <v>-516844.25459575932</v>
      </c>
      <c r="M188" s="62">
        <f>+[14]Result!$L$17</f>
        <v>-533877.66454061773</v>
      </c>
      <c r="N188" s="39"/>
    </row>
    <row r="189" spans="2:26" hidden="1" outlineLevel="2" x14ac:dyDescent="0.25">
      <c r="B189" s="17" t="s">
        <v>18</v>
      </c>
      <c r="C189" s="62">
        <f>+[1]Result!$L$18</f>
        <v>-474658.20832519513</v>
      </c>
      <c r="D189" s="62">
        <f>+[5]Result!$L$18</f>
        <v>-463458.08029620629</v>
      </c>
      <c r="E189" s="63">
        <f>+[6]Result!$L$18</f>
        <v>-471471.6199772926</v>
      </c>
      <c r="F189" s="62">
        <f>+[7]Result!$L$18</f>
        <v>-445504.03567367233</v>
      </c>
      <c r="G189" s="62">
        <f>+[8]Result!$L$18</f>
        <v>-457542.08191260975</v>
      </c>
      <c r="H189" s="63">
        <f>+[9]Result!$L$18</f>
        <v>-473089.62870244496</v>
      </c>
      <c r="I189" s="62">
        <f>+[10]Result!$L$18</f>
        <v>-480831.53992060758</v>
      </c>
      <c r="J189" s="62">
        <f>+[11]Result!$L$18</f>
        <v>-483699.8018773254</v>
      </c>
      <c r="K189" s="63">
        <f>+[12]Result!$L$18</f>
        <v>-486019.02443959843</v>
      </c>
      <c r="L189" s="62">
        <f>+[13]Result!$L$18</f>
        <v>-482370.7552421866</v>
      </c>
      <c r="M189" s="62">
        <f>+[14]Result!$L$18</f>
        <v>-498188.16709424555</v>
      </c>
      <c r="N189" s="39"/>
    </row>
    <row r="190" spans="2:26" hidden="1" outlineLevel="2" x14ac:dyDescent="0.25">
      <c r="B190" s="17" t="s">
        <v>19</v>
      </c>
      <c r="C190" s="62">
        <f>+[1]Result!$L$19</f>
        <v>-446770.5803142963</v>
      </c>
      <c r="D190" s="62">
        <f>+[5]Result!$L$19</f>
        <v>-435673.04403827526</v>
      </c>
      <c r="E190" s="63">
        <f>+[6]Result!$L$19</f>
        <v>-444334.12693647575</v>
      </c>
      <c r="F190" s="62">
        <f>+[7]Result!$L$19</f>
        <v>-421572.74832396954</v>
      </c>
      <c r="G190" s="62">
        <f>+[8]Result!$L$19</f>
        <v>-433047.14541137964</v>
      </c>
      <c r="H190" s="63">
        <f>+[9]Result!$L$19</f>
        <v>-444101.41792278923</v>
      </c>
      <c r="I190" s="62">
        <f>+[10]Result!$L$19</f>
        <v>-451685.12000050209</v>
      </c>
      <c r="J190" s="62">
        <f>+[11]Result!$L$19</f>
        <v>-454587.03393219737</v>
      </c>
      <c r="K190" s="63">
        <f>+[12]Result!$L$19</f>
        <v>-453013.58250959218</v>
      </c>
      <c r="L190" s="62">
        <f>+[13]Result!$L$19</f>
        <v>-450139.38738096459</v>
      </c>
      <c r="M190" s="62">
        <f>+[14]Result!$L$19</f>
        <v>-464799.70597798377</v>
      </c>
      <c r="N190" s="39"/>
    </row>
    <row r="191" spans="2:26" hidden="1" outlineLevel="2" x14ac:dyDescent="0.25">
      <c r="B191" s="17" t="s">
        <v>20</v>
      </c>
      <c r="C191" s="62">
        <f>+[1]Result!$L$20</f>
        <v>-401002.40356953582</v>
      </c>
      <c r="D191" s="62">
        <f>+[5]Result!$L$20</f>
        <v>-391774.00802769559</v>
      </c>
      <c r="E191" s="63">
        <f>+[6]Result!$L$20</f>
        <v>-399666.83350579906</v>
      </c>
      <c r="F191" s="62">
        <f>+[7]Result!$L$20</f>
        <v>-379920.29194015823</v>
      </c>
      <c r="G191" s="62">
        <f>+[8]Result!$L$20</f>
        <v>-390342.87366635678</v>
      </c>
      <c r="H191" s="63">
        <f>+[9]Result!$L$20</f>
        <v>-397431.52136733197</v>
      </c>
      <c r="I191" s="62">
        <f>+[10]Result!$L$20</f>
        <v>-404840.35936944187</v>
      </c>
      <c r="J191" s="62">
        <f>+[11]Result!$L$20</f>
        <v>-407556.35973971896</v>
      </c>
      <c r="K191" s="63">
        <f>+[12]Result!$L$20</f>
        <v>-407861.21832266962</v>
      </c>
      <c r="L191" s="62">
        <f>+[13]Result!$L$20</f>
        <v>-405729.2763989591</v>
      </c>
      <c r="M191" s="62">
        <f>+[14]Result!$L$20</f>
        <v>-418678.3764624577</v>
      </c>
      <c r="N191" s="39"/>
    </row>
    <row r="192" spans="2:26" hidden="1" outlineLevel="2" x14ac:dyDescent="0.25">
      <c r="B192" s="17" t="s">
        <v>21</v>
      </c>
      <c r="C192" s="62">
        <f>+[1]Result!$L$21</f>
        <v>-362544.84963627392</v>
      </c>
      <c r="D192" s="62">
        <f>+[5]Result!$L$21</f>
        <v>-356002.46172140352</v>
      </c>
      <c r="E192" s="63">
        <f>+[6]Result!$L$21</f>
        <v>-363750.59114410495</v>
      </c>
      <c r="F192" s="62">
        <f>+[7]Result!$L$21</f>
        <v>-346225.71973573882</v>
      </c>
      <c r="G192" s="62">
        <f>+[8]Result!$L$21</f>
        <v>-355993.53131926339</v>
      </c>
      <c r="H192" s="63">
        <f>+[9]Result!$L$21</f>
        <v>-361148.95833494747</v>
      </c>
      <c r="I192" s="62">
        <f>+[10]Result!$L$21</f>
        <v>-367901.98135269992</v>
      </c>
      <c r="J192" s="62">
        <f>+[11]Result!$L$21</f>
        <v>-371002.56227775104</v>
      </c>
      <c r="K192" s="63">
        <f>+[12]Result!$L$21</f>
        <v>-372873.4469321603</v>
      </c>
      <c r="L192" s="62">
        <f>+[13]Result!$L$21</f>
        <v>-371351.86186495563</v>
      </c>
      <c r="M192" s="62">
        <f>+[14]Result!$L$21</f>
        <v>-382977.02150872536</v>
      </c>
      <c r="N192" s="39"/>
    </row>
    <row r="193" spans="2:26" hidden="1" outlineLevel="2" x14ac:dyDescent="0.25">
      <c r="B193" s="17" t="s">
        <v>22</v>
      </c>
      <c r="C193" s="62">
        <f>+[1]Result!$L$22</f>
        <v>-315991.73567600967</v>
      </c>
      <c r="D193" s="62">
        <f>+[5]Result!$L$22</f>
        <v>-311813.26178043662</v>
      </c>
      <c r="E193" s="63">
        <f>+[6]Result!$L$22</f>
        <v>-320938.67027466977</v>
      </c>
      <c r="F193" s="62">
        <f>+[7]Result!$L$22</f>
        <v>-305597.91554661794</v>
      </c>
      <c r="G193" s="62">
        <f>+[8]Result!$L$22</f>
        <v>-314485.89815908577</v>
      </c>
      <c r="H193" s="63">
        <f>+[9]Result!$L$22</f>
        <v>-318427.41705683433</v>
      </c>
      <c r="I193" s="62">
        <f>+[10]Result!$L$22</f>
        <v>-324244.52947559534</v>
      </c>
      <c r="J193" s="62">
        <f>+[11]Result!$L$22</f>
        <v>-327304.88624500809</v>
      </c>
      <c r="K193" s="63">
        <f>+[12]Result!$L$22</f>
        <v>-332638.31269910885</v>
      </c>
      <c r="L193" s="62">
        <f>+[13]Result!$L$22</f>
        <v>-331611.89440499386</v>
      </c>
      <c r="M193" s="62">
        <f>+[14]Result!$L$22</f>
        <v>-341992.33770492859</v>
      </c>
      <c r="N193" s="39"/>
    </row>
    <row r="194" spans="2:26" hidden="1" outlineLevel="2" x14ac:dyDescent="0.25">
      <c r="B194" s="17" t="s">
        <v>23</v>
      </c>
      <c r="C194" s="62">
        <f>+[1]Result!$L$23</f>
        <v>-281264.01022452023</v>
      </c>
      <c r="D194" s="62">
        <f>+[5]Result!$L$23</f>
        <v>-278052.26956997253</v>
      </c>
      <c r="E194" s="63">
        <f>+[6]Result!$L$23</f>
        <v>-290259.17101853061</v>
      </c>
      <c r="F194" s="62">
        <f>+[7]Result!$L$23</f>
        <v>-276588.2935262362</v>
      </c>
      <c r="G194" s="62">
        <f>+[8]Result!$L$23</f>
        <v>-284823.69683544082</v>
      </c>
      <c r="H194" s="63">
        <f>+[9]Result!$L$23</f>
        <v>-290228.67266515968</v>
      </c>
      <c r="I194" s="62">
        <f>+[10]Result!$L$23</f>
        <v>-295334.98079307261</v>
      </c>
      <c r="J194" s="62">
        <f>+[11]Result!$L$23</f>
        <v>-298324.77097806614</v>
      </c>
      <c r="K194" s="63">
        <f>+[12]Result!$L$23</f>
        <v>-306930.52558505163</v>
      </c>
      <c r="L194" s="62">
        <f>+[13]Result!$L$23</f>
        <v>-306116.07865097187</v>
      </c>
      <c r="M194" s="62">
        <f>+[14]Result!$L$23</f>
        <v>-315685.24356546602</v>
      </c>
      <c r="N194" s="39"/>
    </row>
    <row r="195" spans="2:26" hidden="1" outlineLevel="2" x14ac:dyDescent="0.25">
      <c r="B195" s="17" t="s">
        <v>24</v>
      </c>
      <c r="C195" s="62">
        <f>+[1]Result!$L$24</f>
        <v>-264648.36252363981</v>
      </c>
      <c r="D195" s="62">
        <f>+[5]Result!$L$24</f>
        <v>-260981.28780075093</v>
      </c>
      <c r="E195" s="63">
        <f>+[6]Result!$L$24</f>
        <v>-271455.86116139707</v>
      </c>
      <c r="F195" s="62">
        <f>+[7]Result!$L$24</f>
        <v>-259459.4221826659</v>
      </c>
      <c r="G195" s="62">
        <f>+[8]Result!$L$24</f>
        <v>-267346.5732558996</v>
      </c>
      <c r="H195" s="63">
        <f>+[9]Result!$L$24</f>
        <v>-271264.461864301</v>
      </c>
      <c r="I195" s="62">
        <f>+[10]Result!$L$24</f>
        <v>-275766.4956609807</v>
      </c>
      <c r="J195" s="62">
        <f>+[11]Result!$L$24</f>
        <v>-278720.80228575179</v>
      </c>
      <c r="K195" s="63">
        <f>+[12]Result!$L$24</f>
        <v>-285126.60846119211</v>
      </c>
      <c r="L195" s="62">
        <f>+[13]Result!$L$24</f>
        <v>-284477.07154582022</v>
      </c>
      <c r="M195" s="62">
        <f>+[14]Result!$L$24</f>
        <v>-293083.81480539194</v>
      </c>
      <c r="N195" s="39"/>
    </row>
    <row r="196" spans="2:26" hidden="1" outlineLevel="1" collapsed="1" x14ac:dyDescent="0.25">
      <c r="B196" s="16" t="s">
        <v>25</v>
      </c>
      <c r="C196" s="62" cm="1">
        <f t="array" ref="C196">+[1]!DELTA_21_30</f>
        <v>-1290532.5813413421</v>
      </c>
      <c r="D196" s="62" cm="1">
        <f t="array" ref="D196">+[5]!DELTA_21_30</f>
        <v>-1263932.0168167606</v>
      </c>
      <c r="E196" s="63" cm="1">
        <f t="array" ref="E196">+[6]!DELTA_21_30</f>
        <v>-1306768.6454333388</v>
      </c>
      <c r="F196" s="62" cm="1">
        <f t="array" ref="F196">+[7]!DELTA_21_30</f>
        <v>-1268491.5202696619</v>
      </c>
      <c r="G196" s="62" cm="1">
        <f t="array" ref="G196">+[8]!DELTA_21_30</f>
        <v>-1302211.2920463972</v>
      </c>
      <c r="H196" s="63" cm="1">
        <f t="array" ref="H196">+[9]!DELTA_21_30</f>
        <v>-1335628.9462379545</v>
      </c>
      <c r="I196" s="62" cm="1">
        <f t="array" ref="I196">+[10]!DELTA_21_30</f>
        <v>-1351679.6608201591</v>
      </c>
      <c r="J196" s="62" cm="1">
        <f t="array" ref="J196">+[11]!DELTA_21_30</f>
        <v>-1365474.3522441699</v>
      </c>
      <c r="K196" s="63" cm="1">
        <f t="array" ref="K196">+[12]!DELTA_21_30</f>
        <v>-1442621.6943064251</v>
      </c>
      <c r="L196" s="62" cm="1">
        <f t="array" ref="L196">+[13]!DELTA_21_30</f>
        <v>-1441665.8246854069</v>
      </c>
      <c r="M196" s="62" cm="1">
        <f t="array" ref="M196">+[14]!DELTA_21_30</f>
        <v>-1473498.2084474454</v>
      </c>
      <c r="N196" s="39"/>
      <c r="O196" s="14">
        <f>+C196-SUM(C197:C206)</f>
        <v>0</v>
      </c>
      <c r="P196" s="14">
        <f t="shared" ref="P196:R196" si="66">+D196-SUM(D197:D206)</f>
        <v>0</v>
      </c>
      <c r="Q196" s="14">
        <f t="shared" si="66"/>
        <v>0</v>
      </c>
      <c r="R196" s="14">
        <f t="shared" si="66"/>
        <v>0</v>
      </c>
      <c r="S196" s="14">
        <f t="shared" ref="S196" si="67">+G196-SUM(G197:G206)</f>
        <v>0</v>
      </c>
      <c r="T196" s="14">
        <f t="shared" ref="T196:Z196" si="68">+H196-SUM(H197:H206)</f>
        <v>0</v>
      </c>
      <c r="U196" s="14">
        <f t="shared" si="68"/>
        <v>0</v>
      </c>
      <c r="V196" s="14">
        <f t="shared" si="68"/>
        <v>0</v>
      </c>
      <c r="W196" s="14">
        <f t="shared" si="68"/>
        <v>0</v>
      </c>
      <c r="X196" s="14">
        <f t="shared" si="68"/>
        <v>0</v>
      </c>
      <c r="Y196" s="14">
        <f t="shared" si="68"/>
        <v>0</v>
      </c>
      <c r="Z196" s="14">
        <f t="shared" si="68"/>
        <v>0</v>
      </c>
    </row>
    <row r="197" spans="2:26" hidden="1" outlineLevel="2" x14ac:dyDescent="0.25">
      <c r="B197" s="17" t="s">
        <v>26</v>
      </c>
      <c r="C197" s="62">
        <f>+[1]Result!$L$25</f>
        <v>-235168.14016957814</v>
      </c>
      <c r="D197" s="62">
        <f>+[5]Result!$L$25</f>
        <v>-231091.38590548513</v>
      </c>
      <c r="E197" s="63">
        <f>+[6]Result!$L$25</f>
        <v>-238858.79136569519</v>
      </c>
      <c r="F197" s="62">
        <f>+[7]Result!$L$25</f>
        <v>-229353.94529118808</v>
      </c>
      <c r="G197" s="62">
        <f>+[8]Result!$L$25</f>
        <v>-236424.08922504517</v>
      </c>
      <c r="H197" s="63">
        <f>+[9]Result!$L$25</f>
        <v>-239426.71965375729</v>
      </c>
      <c r="I197" s="62">
        <f>+[10]Result!$L$25</f>
        <v>-243173.47209644807</v>
      </c>
      <c r="J197" s="62">
        <f>+[11]Result!$L$25</f>
        <v>-245886.77164095803</v>
      </c>
      <c r="K197" s="63">
        <f>+[12]Result!$L$25</f>
        <v>-253095.38773303619</v>
      </c>
      <c r="L197" s="62">
        <f>+[13]Result!$L$25</f>
        <v>-252575.37206996628</v>
      </c>
      <c r="M197" s="62">
        <f>+[14]Result!$L$25</f>
        <v>-259808.6632041852</v>
      </c>
      <c r="N197" s="39"/>
    </row>
    <row r="198" spans="2:26" hidden="1" outlineLevel="2" x14ac:dyDescent="0.25">
      <c r="B198" s="17" t="s">
        <v>27</v>
      </c>
      <c r="C198" s="62">
        <f>+[1]Result!$L$26</f>
        <v>-206869.24124588794</v>
      </c>
      <c r="D198" s="62">
        <f>+[5]Result!$L$26</f>
        <v>-202825.62052801251</v>
      </c>
      <c r="E198" s="63">
        <f>+[6]Result!$L$26</f>
        <v>-208296.93773523252</v>
      </c>
      <c r="F198" s="62">
        <f>+[7]Result!$L$26</f>
        <v>-200953.08108421438</v>
      </c>
      <c r="G198" s="62">
        <f>+[8]Result!$L$26</f>
        <v>-206982.79427103442</v>
      </c>
      <c r="H198" s="63">
        <f>+[9]Result!$L$26</f>
        <v>-209394.97534660436</v>
      </c>
      <c r="I198" s="62">
        <f>+[10]Result!$L$26</f>
        <v>-212324.29371191794</v>
      </c>
      <c r="J198" s="62">
        <f>+[11]Result!$L$26</f>
        <v>-214703.86779383663</v>
      </c>
      <c r="K198" s="63">
        <f>+[12]Result!$L$26</f>
        <v>-222761.02223181538</v>
      </c>
      <c r="L198" s="62">
        <f>+[13]Result!$L$26</f>
        <v>-222517.76006934023</v>
      </c>
      <c r="M198" s="62">
        <f>+[14]Result!$L$26</f>
        <v>-228289.68176388764</v>
      </c>
      <c r="N198" s="39"/>
    </row>
    <row r="199" spans="2:26" hidden="1" outlineLevel="2" x14ac:dyDescent="0.25">
      <c r="B199" s="17" t="s">
        <v>28</v>
      </c>
      <c r="C199" s="62">
        <f>+[1]Result!$L$27</f>
        <v>-179747.956894045</v>
      </c>
      <c r="D199" s="62">
        <f>+[5]Result!$L$27</f>
        <v>-175880.39290193934</v>
      </c>
      <c r="E199" s="63">
        <f>+[6]Result!$L$27</f>
        <v>-180433.82109033177</v>
      </c>
      <c r="F199" s="62">
        <f>+[7]Result!$L$27</f>
        <v>-174696.80489128537</v>
      </c>
      <c r="G199" s="62">
        <f>+[8]Result!$L$27</f>
        <v>-179709.33910278848</v>
      </c>
      <c r="H199" s="63">
        <f>+[9]Result!$L$27</f>
        <v>-182152.16413110553</v>
      </c>
      <c r="I199" s="62">
        <f>+[10]Result!$L$27</f>
        <v>-184527.92580631084</v>
      </c>
      <c r="J199" s="62">
        <f>+[11]Result!$L$27</f>
        <v>-186517.50011373789</v>
      </c>
      <c r="K199" s="63">
        <f>+[12]Result!$L$27</f>
        <v>-196081.47192467737</v>
      </c>
      <c r="L199" s="62">
        <f>+[13]Result!$L$27</f>
        <v>-195936.66680029943</v>
      </c>
      <c r="M199" s="62">
        <f>+[14]Result!$L$27</f>
        <v>-200650.69763647381</v>
      </c>
      <c r="N199" s="39"/>
    </row>
    <row r="200" spans="2:26" hidden="1" outlineLevel="2" x14ac:dyDescent="0.25">
      <c r="B200" s="17" t="s">
        <v>29</v>
      </c>
      <c r="C200" s="62">
        <f>+[1]Result!$L$28</f>
        <v>-156491.57581113535</v>
      </c>
      <c r="D200" s="62">
        <f>+[5]Result!$L$28</f>
        <v>-152867.99597029155</v>
      </c>
      <c r="E200" s="63">
        <f>+[6]Result!$L$28</f>
        <v>-157706.95615894685</v>
      </c>
      <c r="F200" s="62">
        <f>+[7]Result!$L$28</f>
        <v>-153178.16951371357</v>
      </c>
      <c r="G200" s="62">
        <f>+[8]Result!$L$28</f>
        <v>-157294.30465725821</v>
      </c>
      <c r="H200" s="63">
        <f>+[9]Result!$L$28</f>
        <v>-162083.82057532528</v>
      </c>
      <c r="I200" s="62">
        <f>+[10]Result!$L$28</f>
        <v>-164084.79756558826</v>
      </c>
      <c r="J200" s="62">
        <f>+[11]Result!$L$28</f>
        <v>-165884.62386025058</v>
      </c>
      <c r="K200" s="63">
        <f>+[12]Result!$L$28</f>
        <v>-176187.43332862784</v>
      </c>
      <c r="L200" s="62">
        <f>+[13]Result!$L$28</f>
        <v>-176122.15901537577</v>
      </c>
      <c r="M200" s="62">
        <f>+[14]Result!$L$28</f>
        <v>-180067.46568807773</v>
      </c>
      <c r="N200" s="39"/>
    </row>
    <row r="201" spans="2:26" hidden="1" outlineLevel="2" x14ac:dyDescent="0.25">
      <c r="B201" s="17" t="s">
        <v>30</v>
      </c>
      <c r="C201" s="62">
        <f>+[1]Result!$L$29</f>
        <v>-140359.56369811797</v>
      </c>
      <c r="D201" s="62">
        <f>+[5]Result!$L$29</f>
        <v>-137077.21637648821</v>
      </c>
      <c r="E201" s="63">
        <f>+[6]Result!$L$29</f>
        <v>-141112.50273947918</v>
      </c>
      <c r="F201" s="62">
        <f>+[7]Result!$L$29</f>
        <v>-137438.02807530505</v>
      </c>
      <c r="G201" s="62">
        <f>+[8]Result!$L$29</f>
        <v>-140890.19448964635</v>
      </c>
      <c r="H201" s="63">
        <f>+[9]Result!$L$29</f>
        <v>-144555.54035372788</v>
      </c>
      <c r="I201" s="62">
        <f>+[10]Result!$L$29</f>
        <v>-146225.3441802318</v>
      </c>
      <c r="J201" s="62">
        <f>+[11]Result!$L$29</f>
        <v>-147690.03837109287</v>
      </c>
      <c r="K201" s="63">
        <f>+[12]Result!$L$29</f>
        <v>-155085.60603734455</v>
      </c>
      <c r="L201" s="62">
        <f>+[13]Result!$L$29</f>
        <v>-155076.722007973</v>
      </c>
      <c r="M201" s="62">
        <f>+[14]Result!$L$29</f>
        <v>-158218.91409065865</v>
      </c>
      <c r="N201" s="39"/>
    </row>
    <row r="202" spans="2:26" hidden="1" outlineLevel="2" x14ac:dyDescent="0.25">
      <c r="B202" s="17" t="s">
        <v>31</v>
      </c>
      <c r="C202" s="62">
        <f>+[1]Result!$L$30</f>
        <v>-113857.51162560959</v>
      </c>
      <c r="D202" s="62">
        <f>+[5]Result!$L$30</f>
        <v>-111307.27747935278</v>
      </c>
      <c r="E202" s="63">
        <f>+[6]Result!$L$30</f>
        <v>-113688.02819473762</v>
      </c>
      <c r="F202" s="62">
        <f>+[7]Result!$L$30</f>
        <v>-111054.15045545052</v>
      </c>
      <c r="G202" s="62">
        <f>+[8]Result!$L$30</f>
        <v>-113742.70748757722</v>
      </c>
      <c r="H202" s="63">
        <f>+[9]Result!$L$30</f>
        <v>-115666.45847027423</v>
      </c>
      <c r="I202" s="62">
        <f>+[10]Result!$L$30</f>
        <v>-116899.11964075163</v>
      </c>
      <c r="J202" s="62">
        <f>+[11]Result!$L$30</f>
        <v>-117987.29786732607</v>
      </c>
      <c r="K202" s="63">
        <f>+[12]Result!$L$30</f>
        <v>-125597.44884568965</v>
      </c>
      <c r="L202" s="62">
        <f>+[13]Result!$L$30</f>
        <v>-125561.80334576301</v>
      </c>
      <c r="M202" s="62">
        <f>+[14]Result!$L$30</f>
        <v>-127909.74199078954</v>
      </c>
      <c r="N202" s="39"/>
    </row>
    <row r="203" spans="2:26" hidden="1" outlineLevel="2" x14ac:dyDescent="0.25">
      <c r="B203" s="17" t="s">
        <v>32</v>
      </c>
      <c r="C203" s="62">
        <f>+[1]Result!$L$31</f>
        <v>-89206.808487794304</v>
      </c>
      <c r="D203" s="62">
        <f>+[5]Result!$L$31</f>
        <v>-87343.91443697334</v>
      </c>
      <c r="E203" s="63">
        <f>+[6]Result!$L$31</f>
        <v>-89261.089436754875</v>
      </c>
      <c r="F203" s="62">
        <f>+[7]Result!$L$31</f>
        <v>-87400.696141365624</v>
      </c>
      <c r="G203" s="62">
        <f>+[8]Result!$L$31</f>
        <v>-89368.930211902712</v>
      </c>
      <c r="H203" s="63">
        <f>+[9]Result!$L$31</f>
        <v>-90752.5098630875</v>
      </c>
      <c r="I203" s="62">
        <f>+[10]Result!$L$31</f>
        <v>-91590.241079115134</v>
      </c>
      <c r="J203" s="62">
        <f>+[11]Result!$L$31</f>
        <v>-92452.402106513851</v>
      </c>
      <c r="K203" s="63">
        <f>+[12]Result!$L$31</f>
        <v>-100279.17453125055</v>
      </c>
      <c r="L203" s="62">
        <f>+[13]Result!$L$31</f>
        <v>-100319.8526305565</v>
      </c>
      <c r="M203" s="62">
        <f>+[14]Result!$L$31</f>
        <v>-101986.35141621961</v>
      </c>
      <c r="N203" s="39"/>
    </row>
    <row r="204" spans="2:26" hidden="1" outlineLevel="2" x14ac:dyDescent="0.25">
      <c r="B204" s="17" t="s">
        <v>33</v>
      </c>
      <c r="C204" s="62">
        <f>+[1]Result!$L$32</f>
        <v>-66423.652306209027</v>
      </c>
      <c r="D204" s="62">
        <f>+[5]Result!$L$32</f>
        <v>-65077.50145870389</v>
      </c>
      <c r="E204" s="63">
        <f>+[6]Result!$L$32</f>
        <v>-66642.014139964536</v>
      </c>
      <c r="F204" s="62">
        <f>+[7]Result!$L$32</f>
        <v>-65363.152377062594</v>
      </c>
      <c r="G204" s="62">
        <f>+[8]Result!$L$32</f>
        <v>-66736.135643813119</v>
      </c>
      <c r="H204" s="63">
        <f>+[9]Result!$L$32</f>
        <v>-67921.791567587585</v>
      </c>
      <c r="I204" s="62">
        <f>+[10]Result!$L$32</f>
        <v>-68452.650716454256</v>
      </c>
      <c r="J204" s="62">
        <f>+[11]Result!$L$32</f>
        <v>-69019.383151039423</v>
      </c>
      <c r="K204" s="63">
        <f>+[12]Result!$L$32</f>
        <v>-78366.682774047309</v>
      </c>
      <c r="L204" s="62">
        <f>+[13]Result!$L$32</f>
        <v>-78388.021846196731</v>
      </c>
      <c r="M204" s="62">
        <f>+[14]Result!$L$32</f>
        <v>-79594.720312438149</v>
      </c>
      <c r="N204" s="39"/>
    </row>
    <row r="205" spans="2:26" hidden="1" outlineLevel="2" x14ac:dyDescent="0.25">
      <c r="B205" s="17" t="s">
        <v>34</v>
      </c>
      <c r="C205" s="62">
        <f>+[1]Result!$L$33</f>
        <v>-49712.174198979803</v>
      </c>
      <c r="D205" s="62">
        <f>+[5]Result!$L$33</f>
        <v>-48723.23084322561</v>
      </c>
      <c r="E205" s="63">
        <f>+[6]Result!$L$33</f>
        <v>-53981.928632066847</v>
      </c>
      <c r="F205" s="62">
        <f>+[7]Result!$L$33</f>
        <v>-53079.264202174236</v>
      </c>
      <c r="G205" s="62">
        <f>+[8]Result!$L$33</f>
        <v>-54128.310981425137</v>
      </c>
      <c r="H205" s="63">
        <f>+[9]Result!$L$33</f>
        <v>-60507.685824803339</v>
      </c>
      <c r="I205" s="62">
        <f>+[10]Result!$L$33</f>
        <v>-60887.725806955277</v>
      </c>
      <c r="J205" s="62">
        <f>+[11]Result!$L$33</f>
        <v>-61356.824485118617</v>
      </c>
      <c r="K205" s="63">
        <f>+[12]Result!$L$33</f>
        <v>-70967.588960277149</v>
      </c>
      <c r="L205" s="62">
        <f>+[13]Result!$L$33</f>
        <v>-70967.588960277149</v>
      </c>
      <c r="M205" s="62">
        <f>+[14]Result!$L$33</f>
        <v>-71975.707862194744</v>
      </c>
      <c r="N205" s="39"/>
    </row>
    <row r="206" spans="2:26" hidden="1" outlineLevel="2" x14ac:dyDescent="0.25">
      <c r="B206" s="17" t="s">
        <v>35</v>
      </c>
      <c r="C206" s="62">
        <f>+[1]Result!$L$34</f>
        <v>-52695.956903985003</v>
      </c>
      <c r="D206" s="62">
        <f>+[5]Result!$L$34</f>
        <v>-51737.480916288448</v>
      </c>
      <c r="E206" s="63">
        <f>+[6]Result!$L$34</f>
        <v>-56786.575940129464</v>
      </c>
      <c r="F206" s="62">
        <f>+[7]Result!$L$34</f>
        <v>-55974.228237902513</v>
      </c>
      <c r="G206" s="62">
        <f>+[8]Result!$L$34</f>
        <v>-56934.485975906427</v>
      </c>
      <c r="H206" s="63">
        <f>+[9]Result!$L$34</f>
        <v>-63167.280451681698</v>
      </c>
      <c r="I206" s="62">
        <f>+[10]Result!$L$34</f>
        <v>-63514.090216385986</v>
      </c>
      <c r="J206" s="62">
        <f>+[11]Result!$L$34</f>
        <v>-63975.642854296078</v>
      </c>
      <c r="K206" s="63">
        <f>+[12]Result!$L$34</f>
        <v>-64199.877939658967</v>
      </c>
      <c r="L206" s="62">
        <f>+[13]Result!$L$34</f>
        <v>-64199.877939658967</v>
      </c>
      <c r="M206" s="62">
        <f>+[14]Result!$L$34</f>
        <v>-64996.264482520288</v>
      </c>
      <c r="N206" s="39"/>
    </row>
    <row r="207" spans="2:26" hidden="1" outlineLevel="1" collapsed="1" x14ac:dyDescent="0.25">
      <c r="B207" s="16" t="s">
        <v>36</v>
      </c>
      <c r="C207" s="62" cm="1">
        <f t="array" ref="C207">+[1]!DELTA_DOWN_31_50</f>
        <v>-105949.92867134635</v>
      </c>
      <c r="D207" s="62" cm="1">
        <f t="array" ref="D207">+[5]!DELTA_DOWN_31_50</f>
        <v>-104583.85380518541</v>
      </c>
      <c r="E207" s="63" cm="1">
        <f t="array" ref="E207">+[6]!DELTA_DOWN_31_50</f>
        <v>-111334.63742312703</v>
      </c>
      <c r="F207" s="62" cm="1">
        <f t="array" ref="F207">+[7]!DELTA_DOWN_31_50</f>
        <v>-110251.21244557343</v>
      </c>
      <c r="G207" s="62" cm="1">
        <f t="array" ref="G207">+[8]!DELTA_DOWN_31_50</f>
        <v>-111515.88576127417</v>
      </c>
      <c r="H207" s="63" cm="1">
        <f t="array" ref="H207">+[9]!DELTA_DOWN_31_50</f>
        <v>-119725.30186872836</v>
      </c>
      <c r="I207" s="62" cm="1">
        <f t="array" ref="I207">+[10]!DELTA_DOWN_31_50</f>
        <v>-120142.80925656985</v>
      </c>
      <c r="J207" s="62" cm="1">
        <f t="array" ref="J207">+[11]!DELTA_DOWN_31_50</f>
        <v>-120638.50866940297</v>
      </c>
      <c r="K207" s="63" cm="1">
        <f t="array" ref="K207">+[12]!DELTA_DOWN_31_50</f>
        <v>-124817.84712946581</v>
      </c>
      <c r="L207" s="62" cm="1">
        <f t="array" ref="L207">+[13]!DELTA_DOWN_31_50</f>
        <v>-124823.7580708263</v>
      </c>
      <c r="M207" s="62" cm="1">
        <f t="array" ref="M207">+[14]!DELTA_DOWN_31_50</f>
        <v>-125636.77362072137</v>
      </c>
      <c r="N207" s="39"/>
      <c r="O207" s="14">
        <f>+C207-SUM(C208:C227)</f>
        <v>0</v>
      </c>
      <c r="P207" s="14">
        <f t="shared" ref="P207:R207" si="69">+D207-SUM(D208:D227)</f>
        <v>0</v>
      </c>
      <c r="Q207" s="14">
        <f t="shared" si="69"/>
        <v>0</v>
      </c>
      <c r="R207" s="14">
        <f t="shared" si="69"/>
        <v>0</v>
      </c>
      <c r="S207" s="14">
        <f t="shared" ref="S207" si="70">+G207-SUM(G208:G227)</f>
        <v>0</v>
      </c>
      <c r="T207" s="14">
        <f t="shared" ref="T207:Z207" si="71">+H207-SUM(H208:H227)</f>
        <v>0</v>
      </c>
      <c r="U207" s="14">
        <f t="shared" si="71"/>
        <v>0</v>
      </c>
      <c r="V207" s="14">
        <f t="shared" si="71"/>
        <v>0</v>
      </c>
      <c r="W207" s="14">
        <f t="shared" si="71"/>
        <v>0</v>
      </c>
      <c r="X207" s="14">
        <f t="shared" si="71"/>
        <v>0</v>
      </c>
      <c r="Y207" s="14">
        <f t="shared" si="71"/>
        <v>0</v>
      </c>
      <c r="Z207" s="14">
        <f t="shared" si="71"/>
        <v>0</v>
      </c>
    </row>
    <row r="208" spans="2:26" hidden="1" outlineLevel="2" x14ac:dyDescent="0.25">
      <c r="B208" s="17" t="s">
        <v>37</v>
      </c>
      <c r="C208" s="62">
        <f>+[1]Result!$L$35</f>
        <v>-30280.757340738957</v>
      </c>
      <c r="D208" s="62">
        <f>+[5]Result!$L$35</f>
        <v>-29776.622822773148</v>
      </c>
      <c r="E208" s="63">
        <f>+[6]Result!$L$35</f>
        <v>-32273.861221571249</v>
      </c>
      <c r="F208" s="62">
        <f>+[7]Result!$L$35</f>
        <v>-31848.238226792339</v>
      </c>
      <c r="G208" s="62">
        <f>+[8]Result!$L$35</f>
        <v>-32333.984892910987</v>
      </c>
      <c r="H208" s="63">
        <f>+[9]Result!$L$35</f>
        <v>-35117.799177328183</v>
      </c>
      <c r="I208" s="62">
        <f>+[10]Result!$L$35</f>
        <v>-35288.723749335579</v>
      </c>
      <c r="J208" s="62">
        <f>+[11]Result!$L$35</f>
        <v>-35511.454245878762</v>
      </c>
      <c r="K208" s="63">
        <f>+[12]Result!$L$35</f>
        <v>-35904.947480480914</v>
      </c>
      <c r="L208" s="62">
        <f>+[13]Result!$L$35</f>
        <v>-35924.321021236159</v>
      </c>
      <c r="M208" s="62">
        <f>+[14]Result!$L$35</f>
        <v>-36287.91052239477</v>
      </c>
      <c r="N208" s="39"/>
    </row>
    <row r="209" spans="2:14" hidden="1" outlineLevel="2" x14ac:dyDescent="0.25">
      <c r="B209" s="17" t="s">
        <v>38</v>
      </c>
      <c r="C209" s="62">
        <f>+[1]Result!$L$36</f>
        <v>-18601.842130646619</v>
      </c>
      <c r="D209" s="62">
        <f>+[5]Result!$L$36</f>
        <v>-18320.637413274249</v>
      </c>
      <c r="E209" s="63">
        <f>+[6]Result!$L$36</f>
        <v>-19496.157874118537</v>
      </c>
      <c r="F209" s="62">
        <f>+[7]Result!$L$36</f>
        <v>-19262.436724332088</v>
      </c>
      <c r="G209" s="62">
        <f>+[8]Result!$L$36</f>
        <v>-19535.046264066477</v>
      </c>
      <c r="H209" s="63">
        <f>+[9]Result!$L$36</f>
        <v>-20845.693949541746</v>
      </c>
      <c r="I209" s="62">
        <f>+[10]Result!$L$36</f>
        <v>-20931.599324266979</v>
      </c>
      <c r="J209" s="62">
        <f>+[11]Result!$L$36</f>
        <v>-21043.856592059281</v>
      </c>
      <c r="K209" s="63">
        <f>+[12]Result!$L$36</f>
        <v>-21873.286074363088</v>
      </c>
      <c r="L209" s="62">
        <f>+[13]Result!$L$36</f>
        <v>-21881.530814198966</v>
      </c>
      <c r="M209" s="62">
        <f>+[14]Result!$L$36</f>
        <v>-22068.791776018479</v>
      </c>
      <c r="N209" s="39"/>
    </row>
    <row r="210" spans="2:14" hidden="1" outlineLevel="2" x14ac:dyDescent="0.25">
      <c r="B210" s="17" t="s">
        <v>39</v>
      </c>
      <c r="C210" s="62">
        <f>+[1]Result!$L$37</f>
        <v>-13332.420601750055</v>
      </c>
      <c r="D210" s="62">
        <f>+[5]Result!$L$37</f>
        <v>-13148.779463976418</v>
      </c>
      <c r="E210" s="63">
        <f>+[6]Result!$L$37</f>
        <v>-14004.354302797015</v>
      </c>
      <c r="F210" s="62">
        <f>+[7]Result!$L$37</f>
        <v>-13861.025811682615</v>
      </c>
      <c r="G210" s="62">
        <f>+[8]Result!$L$37</f>
        <v>-14033.788222881762</v>
      </c>
      <c r="H210" s="63">
        <f>+[9]Result!$L$37</f>
        <v>-14949.734044670731</v>
      </c>
      <c r="I210" s="62">
        <f>+[10]Result!$L$37</f>
        <v>-15003.016307350983</v>
      </c>
      <c r="J210" s="62">
        <f>+[11]Result!$L$37</f>
        <v>-15069.523244746524</v>
      </c>
      <c r="K210" s="63">
        <f>+[12]Result!$L$37</f>
        <v>-16198.888139831128</v>
      </c>
      <c r="L210" s="62">
        <f>+[13]Result!$L$37</f>
        <v>-16193.59693369615</v>
      </c>
      <c r="M210" s="62">
        <f>+[14]Result!$L$37</f>
        <v>-16316.204580892649</v>
      </c>
      <c r="N210" s="39"/>
    </row>
    <row r="211" spans="2:14" hidden="1" outlineLevel="2" x14ac:dyDescent="0.25">
      <c r="B211" s="17" t="s">
        <v>40</v>
      </c>
      <c r="C211" s="62">
        <f>+[1]Result!$L$38</f>
        <v>-11213.464624539556</v>
      </c>
      <c r="D211" s="62">
        <f>+[5]Result!$L$38</f>
        <v>-11072.000250884143</v>
      </c>
      <c r="E211" s="63">
        <f>+[6]Result!$L$38</f>
        <v>-11840.884723880146</v>
      </c>
      <c r="F211" s="62">
        <f>+[7]Result!$L$38</f>
        <v>-11736.632752268401</v>
      </c>
      <c r="G211" s="62">
        <f>+[8]Result!$L$38</f>
        <v>-11861.696815393276</v>
      </c>
      <c r="H211" s="63">
        <f>+[9]Result!$L$38</f>
        <v>-12658.009406438621</v>
      </c>
      <c r="I211" s="62">
        <f>+[10]Result!$L$38</f>
        <v>-12705.677288385406</v>
      </c>
      <c r="J211" s="62">
        <f>+[11]Result!$L$38</f>
        <v>-12750.286372949973</v>
      </c>
      <c r="K211" s="63">
        <f>+[12]Result!$L$38</f>
        <v>-13271.575344910118</v>
      </c>
      <c r="L211" s="62">
        <f>+[13]Result!$L$38</f>
        <v>-13267.111298678734</v>
      </c>
      <c r="M211" s="62">
        <f>+[14]Result!$L$38</f>
        <v>-13346.107709551587</v>
      </c>
      <c r="N211" s="39"/>
    </row>
    <row r="212" spans="2:14" hidden="1" outlineLevel="2" x14ac:dyDescent="0.25">
      <c r="B212" s="17" t="s">
        <v>41</v>
      </c>
      <c r="C212" s="62">
        <f>+[1]Result!$L$39</f>
        <v>-9248.1025342425637</v>
      </c>
      <c r="D212" s="62">
        <f>+[5]Result!$L$39</f>
        <v>-9150.8307494997134</v>
      </c>
      <c r="E212" s="63">
        <f>+[6]Result!$L$39</f>
        <v>-9498.0741509107756</v>
      </c>
      <c r="F212" s="62">
        <f>+[7]Result!$L$39</f>
        <v>-9427.2359301076431</v>
      </c>
      <c r="G212" s="62">
        <f>+[8]Result!$L$39</f>
        <v>-9513.0854960991346</v>
      </c>
      <c r="H212" s="63">
        <f>+[9]Result!$L$39</f>
        <v>-10016.515145725425</v>
      </c>
      <c r="I212" s="62">
        <f>+[10]Result!$L$39</f>
        <v>-10053.1390621791</v>
      </c>
      <c r="J212" s="62">
        <f>+[11]Result!$L$39</f>
        <v>-10081.104539701653</v>
      </c>
      <c r="K212" s="63">
        <f>+[12]Result!$L$39</f>
        <v>-10281.743753532042</v>
      </c>
      <c r="L212" s="62">
        <f>+[13]Result!$L$39</f>
        <v>-10278.185433372309</v>
      </c>
      <c r="M212" s="62">
        <f>+[14]Result!$L$39</f>
        <v>-10324.883829377632</v>
      </c>
      <c r="N212" s="39"/>
    </row>
    <row r="213" spans="2:14" hidden="1" outlineLevel="2" x14ac:dyDescent="0.25">
      <c r="B213" s="17" t="s">
        <v>42</v>
      </c>
      <c r="C213" s="62">
        <f>+[1]Result!$L$40</f>
        <v>-6442.4009618246928</v>
      </c>
      <c r="D213" s="62">
        <f>+[5]Result!$L$40</f>
        <v>-6382.7646775988615</v>
      </c>
      <c r="E213" s="63">
        <f>+[6]Result!$L$40</f>
        <v>-6652.3444401772758</v>
      </c>
      <c r="F213" s="62">
        <f>+[7]Result!$L$40</f>
        <v>-6610.2523784339464</v>
      </c>
      <c r="G213" s="62">
        <f>+[8]Result!$L$40</f>
        <v>-6660.4750384364634</v>
      </c>
      <c r="H213" s="63">
        <f>+[9]Result!$L$40</f>
        <v>-7097.8785682594098</v>
      </c>
      <c r="I213" s="62">
        <f>+[10]Result!$L$40</f>
        <v>-7112.8518643635653</v>
      </c>
      <c r="J213" s="62">
        <f>+[11]Result!$L$40</f>
        <v>-7127.655107541701</v>
      </c>
      <c r="K213" s="63">
        <f>+[12]Result!$L$40</f>
        <v>-7490.8668860843864</v>
      </c>
      <c r="L213" s="62">
        <f>+[13]Result!$L$40</f>
        <v>-7486.8526994671702</v>
      </c>
      <c r="M213" s="62">
        <f>+[14]Result!$L$40</f>
        <v>-7510.6347768744745</v>
      </c>
      <c r="N213" s="39"/>
    </row>
    <row r="214" spans="2:14" hidden="1" outlineLevel="2" x14ac:dyDescent="0.25">
      <c r="B214" s="17" t="s">
        <v>43</v>
      </c>
      <c r="C214" s="62">
        <f>+[1]Result!$L$41</f>
        <v>-4750.880047365441</v>
      </c>
      <c r="D214" s="62">
        <f>+[5]Result!$L$41</f>
        <v>-4711.7900827289668</v>
      </c>
      <c r="E214" s="63">
        <f>+[6]Result!$L$41</f>
        <v>-4976.2426150246029</v>
      </c>
      <c r="F214" s="62">
        <f>+[7]Result!$L$41</f>
        <v>-4950.9965305654587</v>
      </c>
      <c r="G214" s="62">
        <f>+[8]Result!$L$41</f>
        <v>-4980.5203273392108</v>
      </c>
      <c r="H214" s="63">
        <f>+[9]Result!$L$41</f>
        <v>-5355.8936759671415</v>
      </c>
      <c r="I214" s="62">
        <f>+[10]Result!$L$41</f>
        <v>-5363.9011543150191</v>
      </c>
      <c r="J214" s="62">
        <f>+[11]Result!$L$41</f>
        <v>-5370.4653501617631</v>
      </c>
      <c r="K214" s="63">
        <f>+[12]Result!$L$41</f>
        <v>-5829.152483764552</v>
      </c>
      <c r="L214" s="62">
        <f>+[13]Result!$L$41</f>
        <v>-5825.9692002002121</v>
      </c>
      <c r="M214" s="62">
        <f>+[14]Result!$L$41</f>
        <v>-5835.6867589348258</v>
      </c>
      <c r="N214" s="39"/>
    </row>
    <row r="215" spans="2:14" hidden="1" outlineLevel="2" x14ac:dyDescent="0.25">
      <c r="B215" s="17" t="s">
        <v>44</v>
      </c>
      <c r="C215" s="62">
        <f>+[1]Result!$L$42</f>
        <v>-3715.2698431958488</v>
      </c>
      <c r="D215" s="62">
        <f>+[5]Result!$L$42</f>
        <v>-3691.4048043288058</v>
      </c>
      <c r="E215" s="63">
        <f>+[6]Result!$L$42</f>
        <v>-3992.0572573222253</v>
      </c>
      <c r="F215" s="62">
        <f>+[7]Result!$L$42</f>
        <v>-3974.1891851131422</v>
      </c>
      <c r="G215" s="62">
        <f>+[8]Result!$L$42</f>
        <v>-3994.7440501670881</v>
      </c>
      <c r="H215" s="63">
        <f>+[9]Result!$L$42</f>
        <v>-4359.7653217897114</v>
      </c>
      <c r="I215" s="62">
        <f>+[10]Result!$L$42</f>
        <v>-4363.6715195202778</v>
      </c>
      <c r="J215" s="62">
        <f>+[11]Result!$L$42</f>
        <v>-4368.4478226646224</v>
      </c>
      <c r="K215" s="63">
        <f>+[12]Result!$L$42</f>
        <v>-4876.6262151611681</v>
      </c>
      <c r="L215" s="62">
        <f>+[13]Result!$L$42</f>
        <v>-4873.8716728314848</v>
      </c>
      <c r="M215" s="62">
        <f>+[14]Result!$L$42</f>
        <v>-4874.836044679083</v>
      </c>
      <c r="N215" s="39"/>
    </row>
    <row r="216" spans="2:14" hidden="1" outlineLevel="2" x14ac:dyDescent="0.25">
      <c r="B216" s="17" t="s">
        <v>45</v>
      </c>
      <c r="C216" s="62">
        <f>+[1]Result!$L$43</f>
        <v>-3396.5174079383869</v>
      </c>
      <c r="D216" s="62">
        <f>+[5]Result!$L$43</f>
        <v>-3377.9522567323565</v>
      </c>
      <c r="E216" s="63">
        <f>+[6]Result!$L$43</f>
        <v>-3665.4779319540012</v>
      </c>
      <c r="F216" s="62">
        <f>+[7]Result!$L$43</f>
        <v>-3651.8077150466943</v>
      </c>
      <c r="G216" s="62">
        <f>+[8]Result!$L$43</f>
        <v>-3667.2620337346234</v>
      </c>
      <c r="H216" s="63">
        <f>+[9]Result!$L$43</f>
        <v>-3931.1031502011665</v>
      </c>
      <c r="I216" s="62">
        <f>+[10]Result!$L$43</f>
        <v>-3931.612458336047</v>
      </c>
      <c r="J216" s="62">
        <f>+[11]Result!$L$43</f>
        <v>-3932.6486351996828</v>
      </c>
      <c r="K216" s="63">
        <f>+[12]Result!$L$43</f>
        <v>-4055.5171000846422</v>
      </c>
      <c r="L216" s="62">
        <f>+[13]Result!$L$43</f>
        <v>-4055.3386220132688</v>
      </c>
      <c r="M216" s="62">
        <f>+[14]Result!$L$43</f>
        <v>-4051.0866015332776</v>
      </c>
      <c r="N216" s="39"/>
    </row>
    <row r="217" spans="2:14" hidden="1" outlineLevel="2" x14ac:dyDescent="0.25">
      <c r="B217" s="17" t="s">
        <v>46</v>
      </c>
      <c r="C217" s="62">
        <f>+[1]Result!$L$44</f>
        <v>-2779.7999152096854</v>
      </c>
      <c r="D217" s="62">
        <f>+[5]Result!$L$44</f>
        <v>-2767.0966928057969</v>
      </c>
      <c r="E217" s="63">
        <f>+[6]Result!$L$44</f>
        <v>-2727.8598402068019</v>
      </c>
      <c r="F217" s="62">
        <f>+[7]Result!$L$44</f>
        <v>-2721.7692726803216</v>
      </c>
      <c r="G217" s="62">
        <f>+[8]Result!$L$44</f>
        <v>-2728.6946414024133</v>
      </c>
      <c r="H217" s="63">
        <f>+[9]Result!$L$44</f>
        <v>-2981.070698744812</v>
      </c>
      <c r="I217" s="62">
        <f>+[10]Result!$L$44</f>
        <v>-2979.7999355492866</v>
      </c>
      <c r="J217" s="62">
        <f>+[11]Result!$L$44</f>
        <v>-2978.1454807470218</v>
      </c>
      <c r="K217" s="63">
        <f>+[12]Result!$L$44</f>
        <v>-2777.5309459680238</v>
      </c>
      <c r="L217" s="62">
        <f>+[13]Result!$L$44</f>
        <v>-2779.3948195959592</v>
      </c>
      <c r="M217" s="62">
        <f>+[14]Result!$L$44</f>
        <v>-2772.5838418732274</v>
      </c>
      <c r="N217" s="39"/>
    </row>
    <row r="218" spans="2:14" hidden="1" outlineLevel="2" x14ac:dyDescent="0.25">
      <c r="B218" s="17" t="s">
        <v>47</v>
      </c>
      <c r="C218" s="62">
        <f>+[1]Result!$L$45</f>
        <v>-1140.2500127222938</v>
      </c>
      <c r="D218" s="62">
        <f>+[5]Result!$L$45</f>
        <v>-1136.9576433494167</v>
      </c>
      <c r="E218" s="63">
        <f>+[6]Result!$L$45</f>
        <v>-1139.5456206597851</v>
      </c>
      <c r="F218" s="62">
        <f>+[7]Result!$L$45</f>
        <v>-1138.4460468916682</v>
      </c>
      <c r="G218" s="62">
        <f>+[8]Result!$L$45</f>
        <v>-1139.6885552066969</v>
      </c>
      <c r="H218" s="63">
        <f>+[9]Result!$L$45</f>
        <v>-1250.4895377218554</v>
      </c>
      <c r="I218" s="62">
        <f>+[10]Result!$L$45</f>
        <v>-1249.2840121297995</v>
      </c>
      <c r="J218" s="62">
        <f>+[11]Result!$L$45</f>
        <v>-1247.836659872281</v>
      </c>
      <c r="K218" s="63">
        <f>+[12]Result!$L$45</f>
        <v>-1161.1664862100429</v>
      </c>
      <c r="L218" s="62">
        <f>+[13]Result!$L$45</f>
        <v>-1161.0803247027784</v>
      </c>
      <c r="M218" s="62">
        <f>+[14]Result!$L$45</f>
        <v>-1157.2632965649632</v>
      </c>
      <c r="N218" s="39"/>
    </row>
    <row r="219" spans="2:14" hidden="1" outlineLevel="2" x14ac:dyDescent="0.25">
      <c r="B219" s="17" t="s">
        <v>48</v>
      </c>
      <c r="C219" s="62">
        <f>+[1]Result!$L$46</f>
        <v>-478.19771147887741</v>
      </c>
      <c r="D219" s="62">
        <f>+[5]Result!$L$46</f>
        <v>-477.31363797423523</v>
      </c>
      <c r="E219" s="63">
        <f>+[6]Result!$L$46</f>
        <v>-484.27374135736773</v>
      </c>
      <c r="F219" s="62">
        <f>+[7]Result!$L$46</f>
        <v>-484.12296862860308</v>
      </c>
      <c r="G219" s="62">
        <f>+[8]Result!$L$46</f>
        <v>-483.96458461864836</v>
      </c>
      <c r="H219" s="63">
        <f>+[9]Result!$L$46</f>
        <v>-530.72761232998801</v>
      </c>
      <c r="I219" s="62">
        <f>+[10]Result!$L$46</f>
        <v>-530.23509091548954</v>
      </c>
      <c r="J219" s="62">
        <f>+[11]Result!$L$46</f>
        <v>-529.30998621427398</v>
      </c>
      <c r="K219" s="63">
        <f>+[12]Result!$L$46</f>
        <v>-499.22968549202801</v>
      </c>
      <c r="L219" s="62">
        <f>+[13]Result!$L$46</f>
        <v>-499.18492264310225</v>
      </c>
      <c r="M219" s="62">
        <f>+[14]Result!$L$46</f>
        <v>-497.24559051311189</v>
      </c>
      <c r="N219" s="39"/>
    </row>
    <row r="220" spans="2:14" hidden="1" outlineLevel="2" x14ac:dyDescent="0.25">
      <c r="B220" s="17" t="s">
        <v>49</v>
      </c>
      <c r="C220" s="62">
        <f>+[1]Result!$L$47</f>
        <v>-246.41626155851111</v>
      </c>
      <c r="D220" s="62">
        <f>+[5]Result!$L$47</f>
        <v>-245.99925711579749</v>
      </c>
      <c r="E220" s="63">
        <f>+[6]Result!$L$47</f>
        <v>-253.85841006761564</v>
      </c>
      <c r="F220" s="62">
        <f>+[7]Result!$L$47</f>
        <v>-253.78215683212284</v>
      </c>
      <c r="G220" s="62">
        <f>+[8]Result!$L$47</f>
        <v>-253.50223061923862</v>
      </c>
      <c r="H220" s="63">
        <f>+[9]Result!$L$47</f>
        <v>-274.94787768280457</v>
      </c>
      <c r="I220" s="62">
        <f>+[10]Result!$L$47</f>
        <v>-274.50164580494686</v>
      </c>
      <c r="J220" s="62">
        <f>+[11]Result!$L$47</f>
        <v>-274.0161628581302</v>
      </c>
      <c r="K220" s="63">
        <f>+[12]Result!$L$47</f>
        <v>-261.37066451174871</v>
      </c>
      <c r="L220" s="62">
        <f>+[13]Result!$L$47</f>
        <v>-261.34369086004267</v>
      </c>
      <c r="M220" s="62">
        <f>+[14]Result!$L$47</f>
        <v>-259.99478125940595</v>
      </c>
      <c r="N220" s="39"/>
    </row>
    <row r="221" spans="2:14" hidden="1" outlineLevel="2" x14ac:dyDescent="0.25">
      <c r="B221" s="17" t="s">
        <v>50</v>
      </c>
      <c r="C221" s="62">
        <f>+[1]Result!$L$48</f>
        <v>-149.50107913497476</v>
      </c>
      <c r="D221" s="62">
        <f>+[5]Result!$L$48</f>
        <v>-149.35889058911448</v>
      </c>
      <c r="E221" s="63">
        <f>+[6]Result!$L$48</f>
        <v>-151.94372374058042</v>
      </c>
      <c r="F221" s="62">
        <f>+[7]Result!$L$48</f>
        <v>-152.07211088799352</v>
      </c>
      <c r="G221" s="62">
        <f>+[8]Result!$L$48</f>
        <v>-151.82486284760091</v>
      </c>
      <c r="H221" s="63">
        <f>+[9]Result!$L$48</f>
        <v>-163.00474202536799</v>
      </c>
      <c r="I221" s="62">
        <f>+[10]Result!$L$48</f>
        <v>-162.62850112445898</v>
      </c>
      <c r="J221" s="62">
        <f>+[11]Result!$L$48</f>
        <v>-162.21956661902084</v>
      </c>
      <c r="K221" s="63">
        <f>+[12]Result!$L$48</f>
        <v>-154.76155957928341</v>
      </c>
      <c r="L221" s="62">
        <f>+[13]Result!$L$48</f>
        <v>-154.74305740922728</v>
      </c>
      <c r="M221" s="62">
        <f>+[14]Result!$L$48</f>
        <v>-153.71861013652256</v>
      </c>
      <c r="N221" s="39"/>
    </row>
    <row r="222" spans="2:14" hidden="1" outlineLevel="2" x14ac:dyDescent="0.25">
      <c r="B222" s="17" t="s">
        <v>51</v>
      </c>
      <c r="C222" s="62">
        <f>+[1]Result!$L$49</f>
        <v>-84.842488656595151</v>
      </c>
      <c r="D222" s="62">
        <f>+[5]Result!$L$49</f>
        <v>-84.892704341430886</v>
      </c>
      <c r="E222" s="63">
        <f>+[6]Result!$L$49</f>
        <v>-87.106088667700931</v>
      </c>
      <c r="F222" s="62">
        <f>+[7]Result!$L$49</f>
        <v>-87.296721380394871</v>
      </c>
      <c r="G222" s="62">
        <f>+[8]Result!$L$49</f>
        <v>-87.112371178334882</v>
      </c>
      <c r="H222" s="63">
        <f>+[9]Result!$L$49</f>
        <v>-94.073826603749467</v>
      </c>
      <c r="I222" s="62">
        <f>+[10]Result!$L$49</f>
        <v>-93.864836237203036</v>
      </c>
      <c r="J222" s="62">
        <f>+[11]Result!$L$49</f>
        <v>-93.579361403551701</v>
      </c>
      <c r="K222" s="63">
        <f>+[12]Result!$L$49</f>
        <v>-89.444311869903146</v>
      </c>
      <c r="L222" s="62">
        <f>+[13]Result!$L$49</f>
        <v>-89.499818136243135</v>
      </c>
      <c r="M222" s="62">
        <f>+[14]Result!$L$49</f>
        <v>-88.863263341027363</v>
      </c>
      <c r="N222" s="39"/>
    </row>
    <row r="223" spans="2:14" hidden="1" outlineLevel="2" x14ac:dyDescent="0.25">
      <c r="B223" s="17" t="s">
        <v>52</v>
      </c>
      <c r="C223" s="62">
        <f>+[1]Result!$L$50</f>
        <v>-47.284329004451848</v>
      </c>
      <c r="D223" s="62">
        <f>+[5]Result!$L$50</f>
        <v>-47.354160774801869</v>
      </c>
      <c r="E223" s="63">
        <f>+[6]Result!$L$50</f>
        <v>-48.367480971955544</v>
      </c>
      <c r="F223" s="62">
        <f>+[7]Result!$L$50</f>
        <v>-48.508605433006437</v>
      </c>
      <c r="G223" s="62">
        <f>+[8]Result!$L$50</f>
        <v>-48.33512533287373</v>
      </c>
      <c r="H223" s="63">
        <f>+[9]Result!$L$50</f>
        <v>-52.23150460311129</v>
      </c>
      <c r="I223" s="62">
        <f>+[10]Result!$L$50</f>
        <v>-52.093048372446333</v>
      </c>
      <c r="J223" s="62">
        <f>+[11]Result!$L$50</f>
        <v>-51.936109264976693</v>
      </c>
      <c r="K223" s="63">
        <f>+[12]Result!$L$50</f>
        <v>-49.127418064843368</v>
      </c>
      <c r="L223" s="62">
        <f>+[13]Result!$L$50</f>
        <v>-49.120235172889551</v>
      </c>
      <c r="M223" s="62">
        <f>+[14]Result!$L$50</f>
        <v>-48.74978577587099</v>
      </c>
      <c r="N223" s="39"/>
    </row>
    <row r="224" spans="2:14" hidden="1" outlineLevel="2" x14ac:dyDescent="0.25">
      <c r="B224" s="17" t="s">
        <v>53</v>
      </c>
      <c r="C224" s="62">
        <f>+[1]Result!$L$51</f>
        <v>-25.009237102809266</v>
      </c>
      <c r="D224" s="62">
        <f>+[5]Result!$L$51</f>
        <v>-25.061719246721253</v>
      </c>
      <c r="E224" s="63">
        <f>+[6]Result!$L$51</f>
        <v>-25.624965541255094</v>
      </c>
      <c r="F224" s="62">
        <f>+[7]Result!$L$51</f>
        <v>-25.718005983566499</v>
      </c>
      <c r="G224" s="62">
        <f>+[8]Result!$L$51</f>
        <v>-25.582935433839978</v>
      </c>
      <c r="H224" s="63">
        <f>+[9]Result!$L$51</f>
        <v>-27.936934567301918</v>
      </c>
      <c r="I224" s="62">
        <f>+[10]Result!$L$51</f>
        <v>-27.844822656091409</v>
      </c>
      <c r="J224" s="62">
        <f>+[11]Result!$L$51</f>
        <v>-27.741411042624406</v>
      </c>
      <c r="K224" s="63">
        <f>+[12]Result!$L$51</f>
        <v>-25.858582535316792</v>
      </c>
      <c r="L224" s="62">
        <f>+[13]Result!$L$51</f>
        <v>-25.854341093604539</v>
      </c>
      <c r="M224" s="62">
        <f>+[14]Result!$L$51</f>
        <v>-25.623783806826893</v>
      </c>
      <c r="N224" s="39"/>
    </row>
    <row r="225" spans="2:26" hidden="1" outlineLevel="2" x14ac:dyDescent="0.25">
      <c r="B225" s="17" t="s">
        <v>54</v>
      </c>
      <c r="C225" s="62">
        <f>+[1]Result!$L$52</f>
        <v>-11.505757286575282</v>
      </c>
      <c r="D225" s="62">
        <f>+[5]Result!$L$52</f>
        <v>-11.546515456948505</v>
      </c>
      <c r="E225" s="63">
        <f>+[6]Result!$L$52</f>
        <v>-11.406730058921266</v>
      </c>
      <c r="F225" s="62">
        <f>+[7]Result!$L$52</f>
        <v>-11.458487823279221</v>
      </c>
      <c r="G225" s="62">
        <f>+[8]Result!$L$52</f>
        <v>-11.388874023761616</v>
      </c>
      <c r="H225" s="63">
        <f>+[9]Result!$L$52</f>
        <v>-12.809452624204685</v>
      </c>
      <c r="I225" s="62">
        <f>+[10]Result!$L$52</f>
        <v>-12.766150722691787</v>
      </c>
      <c r="J225" s="62">
        <f>+[11]Result!$L$52</f>
        <v>-12.712836298576388</v>
      </c>
      <c r="K225" s="63">
        <f>+[12]Result!$L$52</f>
        <v>-11.728204927435819</v>
      </c>
      <c r="L225" s="62">
        <f>+[13]Result!$L$52</f>
        <v>-11.735142394429324</v>
      </c>
      <c r="M225" s="62">
        <f>+[14]Result!$L$52</f>
        <v>-11.61735525429291</v>
      </c>
      <c r="N225" s="39"/>
    </row>
    <row r="226" spans="2:26" hidden="1" outlineLevel="2" x14ac:dyDescent="0.25">
      <c r="B226" s="17" t="s">
        <v>55</v>
      </c>
      <c r="C226" s="62">
        <f>+[1]Result!$L$53</f>
        <v>-4.3212088610914119</v>
      </c>
      <c r="D226" s="62">
        <f>+[5]Result!$L$53</f>
        <v>-4.3400062952862957</v>
      </c>
      <c r="E226" s="63">
        <f>+[6]Result!$L$53</f>
        <v>-4.1670162257455328</v>
      </c>
      <c r="F226" s="62">
        <f>+[7]Result!$L$53</f>
        <v>-4.1886545313971641</v>
      </c>
      <c r="G226" s="62">
        <f>+[8]Result!$L$53</f>
        <v>-4.1608355800390218</v>
      </c>
      <c r="H226" s="63">
        <f>+[9]Result!$L$53</f>
        <v>-4.4573317409953042</v>
      </c>
      <c r="I226" s="62">
        <f>+[10]Result!$L$53</f>
        <v>-4.443004055614951</v>
      </c>
      <c r="J226" s="62">
        <f>+[11]Result!$L$53</f>
        <v>-4.4203688548739315</v>
      </c>
      <c r="K226" s="63">
        <f>+[12]Result!$L$53</f>
        <v>-3.9959917442520254</v>
      </c>
      <c r="L226" s="62">
        <f>+[13]Result!$L$53</f>
        <v>-3.9952354300510695</v>
      </c>
      <c r="M226" s="62">
        <f>+[14]Result!$L$53</f>
        <v>-3.9528644755904541</v>
      </c>
      <c r="N226" s="39"/>
    </row>
    <row r="227" spans="2:26" hidden="1" outlineLevel="2" x14ac:dyDescent="0.25">
      <c r="B227" s="17" t="s">
        <v>56</v>
      </c>
      <c r="C227" s="62">
        <f>+[1]Result!$L$54</f>
        <v>-1.145178088382913</v>
      </c>
      <c r="D227" s="62">
        <f>+[5]Result!$L$54</f>
        <v>-1.1500554392068225</v>
      </c>
      <c r="E227" s="63">
        <f>+[6]Result!$L$54</f>
        <v>-1.0292878734735833</v>
      </c>
      <c r="F227" s="62">
        <f>+[7]Result!$L$54</f>
        <v>-1.0341601587518539</v>
      </c>
      <c r="G227" s="62">
        <f>+[8]Result!$L$54</f>
        <v>-1.0276040017050732</v>
      </c>
      <c r="H227" s="63">
        <f>+[9]Result!$L$54</f>
        <v>-1.1599101620290364</v>
      </c>
      <c r="I227" s="62">
        <f>+[10]Result!$L$54</f>
        <v>-1.1554809488591227</v>
      </c>
      <c r="J227" s="62">
        <f>+[11]Result!$L$54</f>
        <v>-1.1488153236759477</v>
      </c>
      <c r="K227" s="63">
        <f>+[12]Result!$L$54</f>
        <v>-1.0298003508971889</v>
      </c>
      <c r="L227" s="62">
        <f>+[13]Result!$L$54</f>
        <v>-1.0287876935169815</v>
      </c>
      <c r="M227" s="62">
        <f>+[14]Result!$L$54</f>
        <v>-1.0178474637420947</v>
      </c>
      <c r="N227" s="39"/>
    </row>
    <row r="228" spans="2:26" collapsed="1" x14ac:dyDescent="0.25">
      <c r="B228" s="13" t="s">
        <v>60</v>
      </c>
      <c r="C228" s="62">
        <f>+SUM([1]Result!$G$5:$G$54)</f>
        <v>-947374510.83843291</v>
      </c>
      <c r="D228" s="62">
        <f>+SUM([5]Result!$G$5:$G$54)</f>
        <v>-951452133.83694386</v>
      </c>
      <c r="E228" s="63">
        <f>+SUM([6]Result!$G$5:$G$54)</f>
        <v>-980562595.02416933</v>
      </c>
      <c r="F228" s="62">
        <f>+SUM([7]Result!$G$5:$G$54)</f>
        <v>-989995038.77321017</v>
      </c>
      <c r="G228" s="62">
        <f>+SUM([8]Result!$G$5:$G$54)</f>
        <v>-987696441.07284069</v>
      </c>
      <c r="H228" s="63">
        <f>+SUM([9]Result!$G$5:$G$54)</f>
        <v>-954280078.68994033</v>
      </c>
      <c r="I228" s="62">
        <f>+SUM([10]Result!$G$5:$G$54)</f>
        <v>-951255558.96378529</v>
      </c>
      <c r="J228" s="62">
        <f>+SUM([11]Result!$G$5:$G$54)</f>
        <v>-952063881.90531111</v>
      </c>
      <c r="K228" s="63">
        <f>+SUM([12]Result!$G$5:$G$54)</f>
        <v>-952492954.18647993</v>
      </c>
      <c r="L228" s="62">
        <f>+SUM([13]Result!$G$5:$G$54)</f>
        <v>-953604452.48788548</v>
      </c>
      <c r="M228" s="62">
        <f>+SUM([14]Result!$G$5:$G$54)</f>
        <v>-950917365.21620977</v>
      </c>
      <c r="N228" s="39"/>
      <c r="O228" s="14">
        <f>+C228-(C229+C235+C241+C252+C263)</f>
        <v>0</v>
      </c>
      <c r="P228" s="14">
        <f t="shared" ref="P228:R228" si="72">+D228-(D229+D235+D241+D252+D263)</f>
        <v>0</v>
      </c>
      <c r="Q228" s="14">
        <f t="shared" si="72"/>
        <v>0</v>
      </c>
      <c r="R228" s="14">
        <f t="shared" si="72"/>
        <v>0</v>
      </c>
      <c r="S228" s="14">
        <f t="shared" ref="S228" si="73">+G228-(G229+G235+G241+G252+G263)</f>
        <v>0</v>
      </c>
      <c r="T228" s="14">
        <f t="shared" ref="T228:Z228" si="74">+H228-(H229+H235+H241+H252+H263)</f>
        <v>0</v>
      </c>
      <c r="U228" s="14">
        <f t="shared" si="74"/>
        <v>0</v>
      </c>
      <c r="V228" s="14">
        <f t="shared" si="74"/>
        <v>0</v>
      </c>
      <c r="W228" s="14">
        <f t="shared" si="74"/>
        <v>0</v>
      </c>
      <c r="X228" s="14">
        <f t="shared" si="74"/>
        <v>0</v>
      </c>
      <c r="Y228" s="14">
        <f t="shared" si="74"/>
        <v>0</v>
      </c>
      <c r="Z228" s="14">
        <f t="shared" si="74"/>
        <v>0</v>
      </c>
    </row>
    <row r="229" spans="2:26" hidden="1" outlineLevel="1" x14ac:dyDescent="0.25">
      <c r="B229" s="16" t="s">
        <v>2</v>
      </c>
      <c r="C229" s="62" cm="1">
        <f t="array" ref="C229">+[1]!PV_UP_1_5</f>
        <v>-806496580.95823038</v>
      </c>
      <c r="D229" s="62" cm="1">
        <f t="array" ref="D229">+[5]!PV_UP_1_5</f>
        <v>-809000847.39000189</v>
      </c>
      <c r="E229" s="63" cm="1">
        <f t="array" ref="E229">+[6]!PV_UP_1_5</f>
        <v>-848718259.12740588</v>
      </c>
      <c r="F229" s="62" cm="1">
        <f t="array" ref="F229">+[7]!PV_UP_1_5</f>
        <v>-854435582.96980441</v>
      </c>
      <c r="G229" s="62" cm="1">
        <f t="array" ref="G229">+[8]!PV_UP_1_5</f>
        <v>-853487079.77529967</v>
      </c>
      <c r="H229" s="63" cm="1">
        <f t="array" ref="H229">+[9]!PV_UP_1_5</f>
        <v>-821047429.65817201</v>
      </c>
      <c r="I229" s="62" cm="1">
        <f t="array" ref="I229">+[10]!PV_UP_1_5</f>
        <v>-819293590.17259836</v>
      </c>
      <c r="J229" s="62" cm="1">
        <f t="array" ref="J229">+[11]!PV_UP_1_5</f>
        <v>-820014995.52208507</v>
      </c>
      <c r="K229" s="63" cm="1">
        <f t="array" ref="K229">+[12]!PV_UP_1_5</f>
        <v>-819743736.6767906</v>
      </c>
      <c r="L229" s="62" cm="1">
        <f t="array" ref="L229">+[13]!PV_UP_1_5</f>
        <v>-820283818.12102199</v>
      </c>
      <c r="M229" s="62" cm="1">
        <f t="array" ref="M229">+[14]!PV_UP_1_5</f>
        <v>-819443803.04945791</v>
      </c>
      <c r="N229" s="39"/>
      <c r="O229" s="14">
        <f>+C229-SUM(C230:C234)</f>
        <v>0</v>
      </c>
      <c r="P229" s="14">
        <f t="shared" ref="P229:R229" si="75">+D229-SUM(D230:D234)</f>
        <v>0</v>
      </c>
      <c r="Q229" s="14">
        <f t="shared" si="75"/>
        <v>0</v>
      </c>
      <c r="R229" s="14">
        <f t="shared" si="75"/>
        <v>0</v>
      </c>
      <c r="S229" s="14">
        <f t="shared" ref="S229" si="76">+G229-SUM(G230:G234)</f>
        <v>0</v>
      </c>
      <c r="T229" s="14">
        <f t="shared" ref="T229:Z229" si="77">+H229-SUM(H230:H234)</f>
        <v>0</v>
      </c>
      <c r="U229" s="14">
        <f t="shared" si="77"/>
        <v>0</v>
      </c>
      <c r="V229" s="14">
        <f t="shared" si="77"/>
        <v>0</v>
      </c>
      <c r="W229" s="14">
        <f t="shared" si="77"/>
        <v>0</v>
      </c>
      <c r="X229" s="14">
        <f t="shared" si="77"/>
        <v>0</v>
      </c>
      <c r="Y229" s="14">
        <f t="shared" si="77"/>
        <v>0</v>
      </c>
      <c r="Z229" s="14">
        <f t="shared" si="77"/>
        <v>0</v>
      </c>
    </row>
    <row r="230" spans="2:26" hidden="1" outlineLevel="2" x14ac:dyDescent="0.25">
      <c r="B230" s="17" t="s">
        <v>3</v>
      </c>
      <c r="C230" s="62">
        <f>+[1]Result!$G$5</f>
        <v>-403056057.27579707</v>
      </c>
      <c r="D230" s="62">
        <f>+[5]Result!$G$5</f>
        <v>-403555796.15146947</v>
      </c>
      <c r="E230" s="63">
        <f>+[6]Result!$G$5</f>
        <v>-404537181.34170562</v>
      </c>
      <c r="F230" s="62">
        <f>+[7]Result!$G$5</f>
        <v>-405471113.00095528</v>
      </c>
      <c r="G230" s="62">
        <f>+[8]Result!$G$5</f>
        <v>-405416956.50567353</v>
      </c>
      <c r="H230" s="63">
        <f>+[9]Result!$G$5</f>
        <v>-368353220.76683676</v>
      </c>
      <c r="I230" s="62">
        <f>+[10]Result!$G$5</f>
        <v>-368149787.50902712</v>
      </c>
      <c r="J230" s="62">
        <f>+[11]Result!$G$5</f>
        <v>-368176067.82189208</v>
      </c>
      <c r="K230" s="63">
        <f>+[12]Result!$G$5</f>
        <v>-348362694.81717741</v>
      </c>
      <c r="L230" s="62">
        <f>+[13]Result!$G$5</f>
        <v>-348347797.16467738</v>
      </c>
      <c r="M230" s="62">
        <f>+[14]Result!$G$5</f>
        <v>-348314700.54914951</v>
      </c>
      <c r="N230" s="39"/>
    </row>
    <row r="231" spans="2:26" hidden="1" outlineLevel="2" x14ac:dyDescent="0.25">
      <c r="B231" s="17" t="s">
        <v>4</v>
      </c>
      <c r="C231" s="62">
        <f>+[1]Result!$G$6</f>
        <v>-209594270.37742123</v>
      </c>
      <c r="D231" s="62">
        <f>+[5]Result!$G$6</f>
        <v>-210294300.85191023</v>
      </c>
      <c r="E231" s="63">
        <f>+[6]Result!$G$6</f>
        <v>-248465917.2008346</v>
      </c>
      <c r="F231" s="62">
        <f>+[7]Result!$G$6</f>
        <v>-250295657.17636359</v>
      </c>
      <c r="G231" s="62">
        <f>+[8]Result!$G$6</f>
        <v>-250038834.27168781</v>
      </c>
      <c r="H231" s="63">
        <f>+[9]Result!$G$6</f>
        <v>-255586523.5527826</v>
      </c>
      <c r="I231" s="62">
        <f>+[10]Result!$G$6</f>
        <v>-255034918.58340946</v>
      </c>
      <c r="J231" s="62">
        <f>+[11]Result!$G$6</f>
        <v>-255216346.70035297</v>
      </c>
      <c r="K231" s="63">
        <f>+[12]Result!$G$6</f>
        <v>-263955384.37729844</v>
      </c>
      <c r="L231" s="62">
        <f>+[13]Result!$G$6</f>
        <v>-264076599.10776684</v>
      </c>
      <c r="M231" s="62">
        <f>+[14]Result!$G$6</f>
        <v>-263867648.74994299</v>
      </c>
      <c r="N231" s="39"/>
    </row>
    <row r="232" spans="2:26" hidden="1" outlineLevel="2" x14ac:dyDescent="0.25">
      <c r="B232" s="17" t="s">
        <v>5</v>
      </c>
      <c r="C232" s="62">
        <f>+[1]Result!$G$7</f>
        <v>-100944899.13350913</v>
      </c>
      <c r="D232" s="62">
        <f>+[5]Result!$G$7</f>
        <v>-101506070.38153677</v>
      </c>
      <c r="E232" s="63">
        <f>+[6]Result!$G$7</f>
        <v>-102005336.9414472</v>
      </c>
      <c r="F232" s="62">
        <f>+[7]Result!$G$7</f>
        <v>-103254657.35691471</v>
      </c>
      <c r="G232" s="62">
        <f>+[8]Result!$G$7</f>
        <v>-103008011.74224646</v>
      </c>
      <c r="H232" s="63">
        <f>+[9]Result!$G$7</f>
        <v>-102248401.9847286</v>
      </c>
      <c r="I232" s="62">
        <f>+[10]Result!$G$7</f>
        <v>-101825925.64740789</v>
      </c>
      <c r="J232" s="62">
        <f>+[11]Result!$G$7</f>
        <v>-102032655.4267042</v>
      </c>
      <c r="K232" s="63">
        <f>+[12]Result!$G$7</f>
        <v>-109803604.12453777</v>
      </c>
      <c r="L232" s="62">
        <f>+[13]Result!$G$7</f>
        <v>-109965746.67340861</v>
      </c>
      <c r="M232" s="62">
        <f>+[14]Result!$G$7</f>
        <v>-109753889.83284205</v>
      </c>
      <c r="N232" s="39"/>
    </row>
    <row r="233" spans="2:26" hidden="1" outlineLevel="2" x14ac:dyDescent="0.25">
      <c r="B233" s="17" t="s">
        <v>6</v>
      </c>
      <c r="C233" s="62">
        <f>+[1]Result!$G$8</f>
        <v>-54572109.988178596</v>
      </c>
      <c r="D233" s="62">
        <f>+[5]Result!$G$8</f>
        <v>-54976441.00740625</v>
      </c>
      <c r="E233" s="63">
        <f>+[6]Result!$G$8</f>
        <v>-55769871.667952679</v>
      </c>
      <c r="F233" s="62">
        <f>+[7]Result!$G$8</f>
        <v>-56690484.048399903</v>
      </c>
      <c r="G233" s="62">
        <f>+[8]Result!$G$8</f>
        <v>-56484475.858904809</v>
      </c>
      <c r="H233" s="63">
        <f>+[9]Result!$G$8</f>
        <v>-56361278.583768383</v>
      </c>
      <c r="I233" s="62">
        <f>+[10]Result!$G$8</f>
        <v>-56045155.847965717</v>
      </c>
      <c r="J233" s="62">
        <f>+[11]Result!$G$8</f>
        <v>-56217461.934634887</v>
      </c>
      <c r="K233" s="63">
        <f>+[12]Result!$G$8</f>
        <v>-58492302.334436834</v>
      </c>
      <c r="L233" s="62">
        <f>+[13]Result!$G$8</f>
        <v>-58633577.437104017</v>
      </c>
      <c r="M233" s="62">
        <f>+[14]Result!$G$8</f>
        <v>-58443502.252152473</v>
      </c>
      <c r="N233" s="39"/>
    </row>
    <row r="234" spans="2:26" hidden="1" outlineLevel="2" x14ac:dyDescent="0.25">
      <c r="B234" s="17" t="s">
        <v>7</v>
      </c>
      <c r="C234" s="62">
        <f>+[1]Result!$G$9</f>
        <v>-38329244.183324322</v>
      </c>
      <c r="D234" s="62">
        <f>+[5]Result!$G$9</f>
        <v>-38668238.997679226</v>
      </c>
      <c r="E234" s="63">
        <f>+[6]Result!$G$9</f>
        <v>-37939951.975465924</v>
      </c>
      <c r="F234" s="62">
        <f>+[7]Result!$G$9</f>
        <v>-38723671.387170911</v>
      </c>
      <c r="G234" s="62">
        <f>+[8]Result!$G$9</f>
        <v>-38538801.396786913</v>
      </c>
      <c r="H234" s="63">
        <f>+[9]Result!$G$9</f>
        <v>-38498004.770055622</v>
      </c>
      <c r="I234" s="62">
        <f>+[10]Result!$G$9</f>
        <v>-38237802.584788144</v>
      </c>
      <c r="J234" s="62">
        <f>+[11]Result!$G$9</f>
        <v>-38372463.638500884</v>
      </c>
      <c r="K234" s="63">
        <f>+[12]Result!$G$9</f>
        <v>-39129751.023340128</v>
      </c>
      <c r="L234" s="62">
        <f>+[13]Result!$G$9</f>
        <v>-39260097.738065116</v>
      </c>
      <c r="M234" s="62">
        <f>+[14]Result!$G$9</f>
        <v>-39064061.665370829</v>
      </c>
      <c r="N234" s="39"/>
    </row>
    <row r="235" spans="2:26" hidden="1" outlineLevel="1" collapsed="1" x14ac:dyDescent="0.25">
      <c r="B235" s="16" t="s">
        <v>8</v>
      </c>
      <c r="C235" s="62" cm="1">
        <f t="array" ref="C235">+[1]!PV_UP_6_10</f>
        <v>-93839793.431544825</v>
      </c>
      <c r="D235" s="62" cm="1">
        <f t="array" ref="D235">+[5]!PV_UP_6_10</f>
        <v>-94857523.5861765</v>
      </c>
      <c r="E235" s="63" cm="1">
        <f t="array" ref="E235">+[6]!PV_UP_6_10</f>
        <v>-90045732.738039598</v>
      </c>
      <c r="F235" s="62" cm="1">
        <f t="array" ref="F235">+[7]!PV_UP_6_10</f>
        <v>-92479325.069471717</v>
      </c>
      <c r="G235" s="62" cm="1">
        <f t="array" ref="G235">+[8]!PV_UP_6_10</f>
        <v>-91808433.544396862</v>
      </c>
      <c r="H235" s="63" cm="1">
        <f t="array" ref="H235">+[9]!PV_UP_6_10</f>
        <v>-91559883.313683748</v>
      </c>
      <c r="I235" s="62" cm="1">
        <f t="array" ref="I235">+[10]!PV_UP_6_10</f>
        <v>-90781561.810204446</v>
      </c>
      <c r="J235" s="62" cm="1">
        <f t="array" ref="J235">+[11]!PV_UP_6_10</f>
        <v>-91076364.128386617</v>
      </c>
      <c r="K235" s="63" cm="1">
        <f t="array" ref="K235">+[12]!PV_UP_6_10</f>
        <v>-91138678.806921273</v>
      </c>
      <c r="L235" s="62" cm="1">
        <f t="array" ref="L235">+[13]!PV_UP_6_10</f>
        <v>-91559073.745103702</v>
      </c>
      <c r="M235" s="62" cm="1">
        <f t="array" ref="M235">+[14]!PV_UP_6_10</f>
        <v>-90655199.28107667</v>
      </c>
      <c r="N235" s="39"/>
      <c r="O235" s="14">
        <f>+C235-SUM(C236:C240)</f>
        <v>0</v>
      </c>
      <c r="P235" s="14">
        <f t="shared" ref="P235:R235" si="78">+D235-SUM(D236:D240)</f>
        <v>0</v>
      </c>
      <c r="Q235" s="14">
        <f t="shared" si="78"/>
        <v>0</v>
      </c>
      <c r="R235" s="14">
        <f t="shared" si="78"/>
        <v>0</v>
      </c>
      <c r="S235" s="14">
        <f t="shared" ref="S235" si="79">+G235-SUM(G236:G240)</f>
        <v>0</v>
      </c>
      <c r="T235" s="14">
        <f t="shared" ref="T235:Z235" si="80">+H235-SUM(H236:H240)</f>
        <v>0</v>
      </c>
      <c r="U235" s="14">
        <f t="shared" si="80"/>
        <v>0</v>
      </c>
      <c r="V235" s="14">
        <f t="shared" si="80"/>
        <v>0</v>
      </c>
      <c r="W235" s="14">
        <f t="shared" si="80"/>
        <v>0</v>
      </c>
      <c r="X235" s="14">
        <f t="shared" si="80"/>
        <v>0</v>
      </c>
      <c r="Y235" s="14">
        <f t="shared" si="80"/>
        <v>0</v>
      </c>
      <c r="Z235" s="14">
        <f t="shared" si="80"/>
        <v>0</v>
      </c>
    </row>
    <row r="236" spans="2:26" hidden="1" outlineLevel="2" x14ac:dyDescent="0.25">
      <c r="B236" s="17" t="s">
        <v>9</v>
      </c>
      <c r="C236" s="62">
        <f>+[1]Result!$G$10</f>
        <v>-29415272.825471755</v>
      </c>
      <c r="D236" s="62">
        <f>+[5]Result!$G$10</f>
        <v>-29725117.951755848</v>
      </c>
      <c r="E236" s="63">
        <f>+[6]Result!$G$10</f>
        <v>-28723890.282719571</v>
      </c>
      <c r="F236" s="62">
        <f>+[7]Result!$G$10</f>
        <v>-29417022.746683251</v>
      </c>
      <c r="G236" s="62">
        <f>+[8]Result!$G$10</f>
        <v>-29246078.714192908</v>
      </c>
      <c r="H236" s="63">
        <f>+[9]Result!$G$10</f>
        <v>-29069260.663079865</v>
      </c>
      <c r="I236" s="62">
        <f>+[10]Result!$G$10</f>
        <v>-28845685.316742398</v>
      </c>
      <c r="J236" s="62">
        <f>+[11]Result!$G$10</f>
        <v>-28953154.169401858</v>
      </c>
      <c r="K236" s="63">
        <f>+[12]Result!$G$10</f>
        <v>-29100567.382859174</v>
      </c>
      <c r="L236" s="62">
        <f>+[13]Result!$G$10</f>
        <v>-29219537.548051726</v>
      </c>
      <c r="M236" s="62">
        <f>+[14]Result!$G$10</f>
        <v>-29014044.295015693</v>
      </c>
      <c r="N236" s="39"/>
    </row>
    <row r="237" spans="2:26" hidden="1" outlineLevel="2" x14ac:dyDescent="0.25">
      <c r="B237" s="17" t="s">
        <v>10</v>
      </c>
      <c r="C237" s="62">
        <f>+[1]Result!$G$11</f>
        <v>-22462245.195723351</v>
      </c>
      <c r="D237" s="62">
        <f>+[5]Result!$G$11</f>
        <v>-22716042.383182801</v>
      </c>
      <c r="E237" s="63">
        <f>+[6]Result!$G$11</f>
        <v>-21804662.325792648</v>
      </c>
      <c r="F237" s="62">
        <f>+[7]Result!$G$11</f>
        <v>-22382906.126072716</v>
      </c>
      <c r="G237" s="62">
        <f>+[8]Result!$G$11</f>
        <v>-22231625.413900208</v>
      </c>
      <c r="H237" s="63">
        <f>+[9]Result!$G$11</f>
        <v>-22185708.762829915</v>
      </c>
      <c r="I237" s="62">
        <f>+[10]Result!$G$11</f>
        <v>-22004133.618116211</v>
      </c>
      <c r="J237" s="62">
        <f>+[11]Result!$G$11</f>
        <v>-22084442.906351797</v>
      </c>
      <c r="K237" s="63">
        <f>+[12]Result!$G$11</f>
        <v>-22137163.133534819</v>
      </c>
      <c r="L237" s="62">
        <f>+[13]Result!$G$11</f>
        <v>-22236957.452546384</v>
      </c>
      <c r="M237" s="62">
        <f>+[14]Result!$G$11</f>
        <v>-22037736.554158196</v>
      </c>
      <c r="N237" s="39"/>
    </row>
    <row r="238" spans="2:26" hidden="1" outlineLevel="2" x14ac:dyDescent="0.25">
      <c r="B238" s="17" t="s">
        <v>11</v>
      </c>
      <c r="C238" s="62">
        <f>+[1]Result!$G$12</f>
        <v>-17329003.379238192</v>
      </c>
      <c r="D238" s="62">
        <f>+[5]Result!$G$12</f>
        <v>-17530221.970931225</v>
      </c>
      <c r="E238" s="63">
        <f>+[6]Result!$G$12</f>
        <v>-16681581.191556422</v>
      </c>
      <c r="F238" s="62">
        <f>+[7]Result!$G$12</f>
        <v>-17156100.744794037</v>
      </c>
      <c r="G238" s="62">
        <f>+[8]Result!$G$12</f>
        <v>-17022811.359254494</v>
      </c>
      <c r="H238" s="63">
        <f>+[9]Result!$G$12</f>
        <v>-17040963.52810451</v>
      </c>
      <c r="I238" s="62">
        <f>+[10]Result!$G$12</f>
        <v>-16893295.308012258</v>
      </c>
      <c r="J238" s="62">
        <f>+[11]Result!$G$12</f>
        <v>-16949227.417355165</v>
      </c>
      <c r="K238" s="63">
        <f>+[12]Result!$G$12</f>
        <v>-16966138.410499018</v>
      </c>
      <c r="L238" s="62">
        <f>+[13]Result!$G$12</f>
        <v>-17047172.711022824</v>
      </c>
      <c r="M238" s="62">
        <f>+[14]Result!$G$12</f>
        <v>-16863788.176621217</v>
      </c>
      <c r="N238" s="39"/>
    </row>
    <row r="239" spans="2:26" hidden="1" outlineLevel="2" x14ac:dyDescent="0.25">
      <c r="B239" s="17" t="s">
        <v>12</v>
      </c>
      <c r="C239" s="62">
        <f>+[1]Result!$G$13</f>
        <v>-13405101.796129992</v>
      </c>
      <c r="D239" s="62">
        <f>+[5]Result!$G$13</f>
        <v>-13545810.769032395</v>
      </c>
      <c r="E239" s="63">
        <f>+[6]Result!$G$13</f>
        <v>-12358138.901861824</v>
      </c>
      <c r="F239" s="62">
        <f>+[7]Result!$G$13</f>
        <v>-12729640.95733441</v>
      </c>
      <c r="G239" s="62">
        <f>+[8]Result!$G$13</f>
        <v>-12616151.8060655</v>
      </c>
      <c r="H239" s="63">
        <f>+[9]Result!$G$13</f>
        <v>-12524814.385180114</v>
      </c>
      <c r="I239" s="62">
        <f>+[10]Result!$G$13</f>
        <v>-12410577.346760834</v>
      </c>
      <c r="J239" s="62">
        <f>+[11]Result!$G$13</f>
        <v>-12443358.909588397</v>
      </c>
      <c r="K239" s="63">
        <f>+[12]Result!$G$13</f>
        <v>-12393293.11082956</v>
      </c>
      <c r="L239" s="62">
        <f>+[13]Result!$G$13</f>
        <v>-12456856.348902188</v>
      </c>
      <c r="M239" s="62">
        <f>+[14]Result!$G$13</f>
        <v>-12299655.792971885</v>
      </c>
      <c r="N239" s="39"/>
    </row>
    <row r="240" spans="2:26" hidden="1" outlineLevel="2" x14ac:dyDescent="0.25">
      <c r="B240" s="17" t="s">
        <v>13</v>
      </c>
      <c r="C240" s="62">
        <f>+[1]Result!$G$14</f>
        <v>-11228170.234981539</v>
      </c>
      <c r="D240" s="62">
        <f>+[5]Result!$G$14</f>
        <v>-11340330.511274228</v>
      </c>
      <c r="E240" s="63">
        <f>+[6]Result!$G$14</f>
        <v>-10477460.036109133</v>
      </c>
      <c r="F240" s="62">
        <f>+[7]Result!$G$14</f>
        <v>-10793654.494587308</v>
      </c>
      <c r="G240" s="62">
        <f>+[8]Result!$G$14</f>
        <v>-10691766.25098376</v>
      </c>
      <c r="H240" s="63">
        <f>+[9]Result!$G$14</f>
        <v>-10739135.974489341</v>
      </c>
      <c r="I240" s="62">
        <f>+[10]Result!$G$14</f>
        <v>-10627870.220572734</v>
      </c>
      <c r="J240" s="62">
        <f>+[11]Result!$G$14</f>
        <v>-10646180.7256894</v>
      </c>
      <c r="K240" s="63">
        <f>+[12]Result!$G$14</f>
        <v>-10541516.769198693</v>
      </c>
      <c r="L240" s="62">
        <f>+[13]Result!$G$14</f>
        <v>-10598549.684580583</v>
      </c>
      <c r="M240" s="62">
        <f>+[14]Result!$G$14</f>
        <v>-10439974.462309686</v>
      </c>
      <c r="N240" s="39"/>
    </row>
    <row r="241" spans="2:26" hidden="1" outlineLevel="1" collapsed="1" x14ac:dyDescent="0.25">
      <c r="B241" s="16" t="s">
        <v>14</v>
      </c>
      <c r="C241" s="62" cm="1">
        <f t="array" ref="C241">+[1]!PV_UP_11_20</f>
        <v>-40588226.646872342</v>
      </c>
      <c r="D241" s="62" cm="1">
        <f t="array" ref="D241">+[5]!PV_UP_11_20</f>
        <v>-41001559.862260737</v>
      </c>
      <c r="E241" s="63" cm="1">
        <f t="array" ref="E241">+[6]!PV_UP_11_20</f>
        <v>-35954660.31151025</v>
      </c>
      <c r="F241" s="62" cm="1">
        <f t="array" ref="F241">+[7]!PV_UP_11_20</f>
        <v>-37023314.469961844</v>
      </c>
      <c r="G241" s="62" cm="1">
        <f t="array" ref="G241">+[8]!PV_UP_11_20</f>
        <v>-36535309.006410085</v>
      </c>
      <c r="H241" s="63" cm="1">
        <f t="array" ref="H241">+[9]!PV_UP_11_20</f>
        <v>-36007240.416366607</v>
      </c>
      <c r="I241" s="62" cm="1">
        <f t="array" ref="I241">+[10]!PV_UP_11_20</f>
        <v>-35613216.905125372</v>
      </c>
      <c r="J241" s="62" cm="1">
        <f t="array" ref="J241">+[11]!PV_UP_11_20</f>
        <v>-35497013.560309649</v>
      </c>
      <c r="K241" s="63" cm="1">
        <f t="array" ref="K241">+[12]!PV_UP_11_20</f>
        <v>-35785679.510869458</v>
      </c>
      <c r="L241" s="62" cm="1">
        <f t="array" ref="L241">+[13]!PV_UP_11_20</f>
        <v>-35931151.093712069</v>
      </c>
      <c r="M241" s="62" cm="1">
        <f t="array" ref="M241">+[14]!PV_UP_11_20</f>
        <v>-35205318.567922719</v>
      </c>
      <c r="N241" s="39"/>
      <c r="O241" s="14">
        <f>+C241-SUM(C242:C251)</f>
        <v>0</v>
      </c>
      <c r="P241" s="14">
        <f t="shared" ref="P241:R241" si="81">+D241-SUM(D242:D251)</f>
        <v>0</v>
      </c>
      <c r="Q241" s="14">
        <f t="shared" si="81"/>
        <v>0</v>
      </c>
      <c r="R241" s="14">
        <f t="shared" si="81"/>
        <v>0</v>
      </c>
      <c r="S241" s="14">
        <f t="shared" ref="S241" si="82">+G241-SUM(G242:G251)</f>
        <v>0</v>
      </c>
      <c r="T241" s="14">
        <f t="shared" ref="T241:Z241" si="83">+H241-SUM(H242:H251)</f>
        <v>0</v>
      </c>
      <c r="U241" s="14">
        <f t="shared" si="83"/>
        <v>0</v>
      </c>
      <c r="V241" s="14">
        <f t="shared" si="83"/>
        <v>0</v>
      </c>
      <c r="W241" s="14">
        <f t="shared" si="83"/>
        <v>0</v>
      </c>
      <c r="X241" s="14">
        <f t="shared" si="83"/>
        <v>0</v>
      </c>
      <c r="Y241" s="14">
        <f t="shared" si="83"/>
        <v>0</v>
      </c>
      <c r="Z241" s="14">
        <f t="shared" si="83"/>
        <v>0</v>
      </c>
    </row>
    <row r="242" spans="2:26" hidden="1" outlineLevel="2" x14ac:dyDescent="0.25">
      <c r="B242" s="17" t="s">
        <v>15</v>
      </c>
      <c r="C242" s="62">
        <f>+[1]Result!$G$15</f>
        <v>-8782035.3615212645</v>
      </c>
      <c r="D242" s="62">
        <f>+[5]Result!$G$15</f>
        <v>-8869972.3749155905</v>
      </c>
      <c r="E242" s="63">
        <f>+[6]Result!$G$15</f>
        <v>-8003790.8039303543</v>
      </c>
      <c r="F242" s="62">
        <f>+[7]Result!$G$15</f>
        <v>-8228487.909977545</v>
      </c>
      <c r="G242" s="62">
        <f>+[8]Result!$G$15</f>
        <v>-8153897.7518821433</v>
      </c>
      <c r="H242" s="63">
        <f>+[9]Result!$G$15</f>
        <v>-8175434.9357083719</v>
      </c>
      <c r="I242" s="62">
        <f>+[10]Result!$G$15</f>
        <v>-8081774.7812799904</v>
      </c>
      <c r="J242" s="62">
        <f>+[11]Result!$G$15</f>
        <v>-8084404.9430983718</v>
      </c>
      <c r="K242" s="63">
        <f>+[12]Result!$G$15</f>
        <v>-8068823.74190161</v>
      </c>
      <c r="L242" s="62">
        <f>+[13]Result!$G$15</f>
        <v>-8113387.0198823372</v>
      </c>
      <c r="M242" s="62">
        <f>+[14]Result!$G$15</f>
        <v>-7975128.4707276821</v>
      </c>
      <c r="N242" s="39"/>
    </row>
    <row r="243" spans="2:26" hidden="1" outlineLevel="2" x14ac:dyDescent="0.25">
      <c r="B243" s="17" t="s">
        <v>16</v>
      </c>
      <c r="C243" s="62">
        <f>+[1]Result!$G$16</f>
        <v>-6391110.544610979</v>
      </c>
      <c r="D243" s="62">
        <f>+[5]Result!$G$16</f>
        <v>-6450722.9448054796</v>
      </c>
      <c r="E243" s="63">
        <f>+[6]Result!$G$16</f>
        <v>-5588669.5667367736</v>
      </c>
      <c r="F243" s="62">
        <f>+[7]Result!$G$16</f>
        <v>-5735202.0334209921</v>
      </c>
      <c r="G243" s="62">
        <f>+[8]Result!$G$16</f>
        <v>-5681590.183243921</v>
      </c>
      <c r="H243" s="63">
        <f>+[9]Result!$G$16</f>
        <v>-5628069.1345273079</v>
      </c>
      <c r="I243" s="62">
        <f>+[10]Result!$G$16</f>
        <v>-5573721.1946661361</v>
      </c>
      <c r="J243" s="62">
        <f>+[11]Result!$G$16</f>
        <v>-5568120.3706747489</v>
      </c>
      <c r="K243" s="63">
        <f>+[12]Result!$G$16</f>
        <v>-5608842.8924789783</v>
      </c>
      <c r="L243" s="62">
        <f>+[13]Result!$G$16</f>
        <v>-5635179.5568113765</v>
      </c>
      <c r="M243" s="62">
        <f>+[14]Result!$G$16</f>
        <v>-5531920.878054807</v>
      </c>
      <c r="N243" s="39"/>
    </row>
    <row r="244" spans="2:26" hidden="1" outlineLevel="2" x14ac:dyDescent="0.25">
      <c r="B244" s="17" t="s">
        <v>17</v>
      </c>
      <c r="C244" s="62">
        <f>+[1]Result!$G$17</f>
        <v>-5330318.879025884</v>
      </c>
      <c r="D244" s="62">
        <f>+[5]Result!$G$17</f>
        <v>-5381428.0058957962</v>
      </c>
      <c r="E244" s="63">
        <f>+[6]Result!$G$17</f>
        <v>-4660119.2936280174</v>
      </c>
      <c r="F244" s="62">
        <f>+[7]Result!$G$17</f>
        <v>-4784537.4710855335</v>
      </c>
      <c r="G244" s="62">
        <f>+[8]Result!$G$17</f>
        <v>-4733104.1462828219</v>
      </c>
      <c r="H244" s="63">
        <f>+[9]Result!$G$17</f>
        <v>-4661838.0012715412</v>
      </c>
      <c r="I244" s="62">
        <f>+[10]Result!$G$17</f>
        <v>-4624942.247414927</v>
      </c>
      <c r="J244" s="62">
        <f>+[11]Result!$G$17</f>
        <v>-4615431.1242793687</v>
      </c>
      <c r="K244" s="63">
        <f>+[12]Result!$G$17</f>
        <v>-4644420.3825522745</v>
      </c>
      <c r="L244" s="62">
        <f>+[13]Result!$G$17</f>
        <v>-4662056.4399388684</v>
      </c>
      <c r="M244" s="62">
        <f>+[14]Result!$G$17</f>
        <v>-4579938.4099526182</v>
      </c>
      <c r="N244" s="39"/>
    </row>
    <row r="245" spans="2:26" hidden="1" outlineLevel="2" x14ac:dyDescent="0.25">
      <c r="B245" s="17" t="s">
        <v>18</v>
      </c>
      <c r="C245" s="62">
        <f>+[1]Result!$G$18</f>
        <v>-4521467.8500098847</v>
      </c>
      <c r="D245" s="62">
        <f>+[5]Result!$G$18</f>
        <v>-4568680.4521022346</v>
      </c>
      <c r="E245" s="63">
        <f>+[6]Result!$G$18</f>
        <v>-3969951.7828242052</v>
      </c>
      <c r="F245" s="62">
        <f>+[7]Result!$G$18</f>
        <v>-4081059.9903228199</v>
      </c>
      <c r="G245" s="62">
        <f>+[8]Result!$G$18</f>
        <v>-4030550.8734299676</v>
      </c>
      <c r="H245" s="63">
        <f>+[9]Result!$G$18</f>
        <v>-3986118.8949965993</v>
      </c>
      <c r="I245" s="62">
        <f>+[10]Result!$G$18</f>
        <v>-3951768.573511255</v>
      </c>
      <c r="J245" s="62">
        <f>+[11]Result!$G$18</f>
        <v>-3938660.9261917919</v>
      </c>
      <c r="K245" s="63">
        <f>+[12]Result!$G$18</f>
        <v>-3970635.2582096676</v>
      </c>
      <c r="L245" s="62">
        <f>+[13]Result!$G$18</f>
        <v>-3985626.7726034718</v>
      </c>
      <c r="M245" s="62">
        <f>+[14]Result!$G$18</f>
        <v>-3917050.9109667009</v>
      </c>
      <c r="N245" s="39"/>
    </row>
    <row r="246" spans="2:26" hidden="1" outlineLevel="2" x14ac:dyDescent="0.25">
      <c r="B246" s="17" t="s">
        <v>19</v>
      </c>
      <c r="C246" s="62">
        <f>+[1]Result!$G$19</f>
        <v>-3957291.4796161042</v>
      </c>
      <c r="D246" s="62">
        <f>+[5]Result!$G$19</f>
        <v>-4005041.915218167</v>
      </c>
      <c r="E246" s="63">
        <f>+[6]Result!$G$19</f>
        <v>-3490382.791536117</v>
      </c>
      <c r="F246" s="62">
        <f>+[7]Result!$G$19</f>
        <v>-3591897.8575628051</v>
      </c>
      <c r="G246" s="62">
        <f>+[8]Result!$G$19</f>
        <v>-3541215.5847583418</v>
      </c>
      <c r="H246" s="63">
        <f>+[9]Result!$G$19</f>
        <v>-3471614.0280893086</v>
      </c>
      <c r="I246" s="62">
        <f>+[10]Result!$G$19</f>
        <v>-3436126.7340828367</v>
      </c>
      <c r="J246" s="62">
        <f>+[11]Result!$G$19</f>
        <v>-3421518.0695820758</v>
      </c>
      <c r="K246" s="63">
        <f>+[12]Result!$G$19</f>
        <v>-3425592.7688375083</v>
      </c>
      <c r="L246" s="62">
        <f>+[13]Result!$G$19</f>
        <v>-3438280.2649627049</v>
      </c>
      <c r="M246" s="62">
        <f>+[14]Result!$G$19</f>
        <v>-3370557.4999106084</v>
      </c>
      <c r="N246" s="39"/>
    </row>
    <row r="247" spans="2:26" hidden="1" outlineLevel="2" x14ac:dyDescent="0.25">
      <c r="B247" s="17" t="s">
        <v>20</v>
      </c>
      <c r="C247" s="62">
        <f>+[1]Result!$G$20</f>
        <v>-3274364.9281027936</v>
      </c>
      <c r="D247" s="62">
        <f>+[5]Result!$G$20</f>
        <v>-3314810.0337066138</v>
      </c>
      <c r="E247" s="63">
        <f>+[6]Result!$G$20</f>
        <v>-2883233.8567356826</v>
      </c>
      <c r="F247" s="62">
        <f>+[7]Result!$G$20</f>
        <v>-2972547.5101904552</v>
      </c>
      <c r="G247" s="62">
        <f>+[8]Result!$G$20</f>
        <v>-2925106.0541380206</v>
      </c>
      <c r="H247" s="63">
        <f>+[9]Result!$G$20</f>
        <v>-2847514.4910745425</v>
      </c>
      <c r="I247" s="62">
        <f>+[10]Result!$G$20</f>
        <v>-2813486.6892903452</v>
      </c>
      <c r="J247" s="62">
        <f>+[11]Result!$G$20</f>
        <v>-2798818.4378348142</v>
      </c>
      <c r="K247" s="63">
        <f>+[12]Result!$G$20</f>
        <v>-2817567.314449606</v>
      </c>
      <c r="L247" s="62">
        <f>+[13]Result!$G$20</f>
        <v>-2827243.6085102158</v>
      </c>
      <c r="M247" s="62">
        <f>+[14]Result!$G$20</f>
        <v>-2763864.2638335978</v>
      </c>
      <c r="N247" s="39"/>
    </row>
    <row r="248" spans="2:26" hidden="1" outlineLevel="2" x14ac:dyDescent="0.25">
      <c r="B248" s="17" t="s">
        <v>21</v>
      </c>
      <c r="C248" s="62">
        <f>+[1]Result!$G$21</f>
        <v>-2711003.4229098768</v>
      </c>
      <c r="D248" s="62">
        <f>+[5]Result!$G$21</f>
        <v>-2740085.810257664</v>
      </c>
      <c r="E248" s="63">
        <f>+[6]Result!$G$21</f>
        <v>-2380729.7542009396</v>
      </c>
      <c r="F248" s="62">
        <f>+[7]Result!$G$21</f>
        <v>-2461471.9769299915</v>
      </c>
      <c r="G248" s="62">
        <f>+[8]Result!$G$21</f>
        <v>-2416981.3278810652</v>
      </c>
      <c r="H248" s="63">
        <f>+[9]Result!$G$21</f>
        <v>-2346143.1261111135</v>
      </c>
      <c r="I248" s="62">
        <f>+[10]Result!$G$21</f>
        <v>-2314844.9845991074</v>
      </c>
      <c r="J248" s="62">
        <f>+[11]Result!$G$21</f>
        <v>-2299626.2269221861</v>
      </c>
      <c r="K248" s="63">
        <f>+[12]Result!$G$21</f>
        <v>-2327731.0883225147</v>
      </c>
      <c r="L248" s="62">
        <f>+[13]Result!$G$21</f>
        <v>-2334945.5274165007</v>
      </c>
      <c r="M248" s="62">
        <f>+[14]Result!$G$21</f>
        <v>-2276568.2971876264</v>
      </c>
      <c r="N248" s="39"/>
    </row>
    <row r="249" spans="2:26" hidden="1" outlineLevel="2" x14ac:dyDescent="0.25">
      <c r="B249" s="17" t="s">
        <v>22</v>
      </c>
      <c r="C249" s="62">
        <f>+[1]Result!$G$22</f>
        <v>-2217836.1990585751</v>
      </c>
      <c r="D249" s="62">
        <f>+[5]Result!$G$22</f>
        <v>-2237221.7542444719</v>
      </c>
      <c r="E249" s="63">
        <f>+[6]Result!$G$22</f>
        <v>-1952602.0018043383</v>
      </c>
      <c r="F249" s="62">
        <f>+[7]Result!$G$22</f>
        <v>-2024611.9522164781</v>
      </c>
      <c r="G249" s="62">
        <f>+[8]Result!$G$22</f>
        <v>-1983644.0391200201</v>
      </c>
      <c r="H249" s="63">
        <f>+[9]Result!$G$22</f>
        <v>-1920313.5332481759</v>
      </c>
      <c r="I249" s="62">
        <f>+[10]Result!$G$22</f>
        <v>-1892520.8595091307</v>
      </c>
      <c r="J249" s="62">
        <f>+[11]Result!$G$22</f>
        <v>-1877115.2871484484</v>
      </c>
      <c r="K249" s="63">
        <f>+[12]Result!$G$22</f>
        <v>-1923843.6976117317</v>
      </c>
      <c r="L249" s="62">
        <f>+[13]Result!$G$22</f>
        <v>-1929193.4405415826</v>
      </c>
      <c r="M249" s="62">
        <f>+[14]Result!$G$22</f>
        <v>-1876350.5543897382</v>
      </c>
      <c r="N249" s="39"/>
    </row>
    <row r="250" spans="2:26" hidden="1" outlineLevel="2" x14ac:dyDescent="0.25">
      <c r="B250" s="17" t="s">
        <v>23</v>
      </c>
      <c r="C250" s="62">
        <f>+[1]Result!$G$23</f>
        <v>-1821505.1568740206</v>
      </c>
      <c r="D250" s="62">
        <f>+[5]Result!$G$23</f>
        <v>-1836234.3927338971</v>
      </c>
      <c r="E250" s="63">
        <f>+[6]Result!$G$23</f>
        <v>-1620939.1803418398</v>
      </c>
      <c r="F250" s="62">
        <f>+[7]Result!$G$23</f>
        <v>-1684046.2753914632</v>
      </c>
      <c r="G250" s="62">
        <f>+[8]Result!$G$23</f>
        <v>-1646127.9501662394</v>
      </c>
      <c r="H250" s="63">
        <f>+[9]Result!$G$23</f>
        <v>-1599210.5910206216</v>
      </c>
      <c r="I250" s="62">
        <f>+[10]Result!$G$23</f>
        <v>-1574755.4887658041</v>
      </c>
      <c r="J250" s="62">
        <f>+[11]Result!$G$23</f>
        <v>-1559404.4910087551</v>
      </c>
      <c r="K250" s="63">
        <f>+[12]Result!$G$23</f>
        <v>-1619842.0886656207</v>
      </c>
      <c r="L250" s="62">
        <f>+[13]Result!$G$23</f>
        <v>-1623882.6440361468</v>
      </c>
      <c r="M250" s="62">
        <f>+[14]Result!$G$23</f>
        <v>-1575922.2909663271</v>
      </c>
      <c r="N250" s="39"/>
    </row>
    <row r="251" spans="2:26" hidden="1" outlineLevel="2" x14ac:dyDescent="0.25">
      <c r="B251" s="17" t="s">
        <v>24</v>
      </c>
      <c r="C251" s="62">
        <f>+[1]Result!$G$24</f>
        <v>-1581292.8251429524</v>
      </c>
      <c r="D251" s="62">
        <f>+[5]Result!$G$24</f>
        <v>-1597362.1783808221</v>
      </c>
      <c r="E251" s="63">
        <f>+[6]Result!$G$24</f>
        <v>-1404241.2797719839</v>
      </c>
      <c r="F251" s="62">
        <f>+[7]Result!$G$24</f>
        <v>-1459451.4928637638</v>
      </c>
      <c r="G251" s="62">
        <f>+[8]Result!$G$24</f>
        <v>-1423091.0955075503</v>
      </c>
      <c r="H251" s="63">
        <f>+[9]Result!$G$24</f>
        <v>-1370983.6803190261</v>
      </c>
      <c r="I251" s="62">
        <f>+[10]Result!$G$24</f>
        <v>-1349275.3520058466</v>
      </c>
      <c r="J251" s="62">
        <f>+[11]Result!$G$24</f>
        <v>-1333913.6835690858</v>
      </c>
      <c r="K251" s="63">
        <f>+[12]Result!$G$24</f>
        <v>-1378380.2778399412</v>
      </c>
      <c r="L251" s="62">
        <f>+[13]Result!$G$24</f>
        <v>-1381355.819008861</v>
      </c>
      <c r="M251" s="62">
        <f>+[14]Result!$G$24</f>
        <v>-1338016.9919330203</v>
      </c>
      <c r="N251" s="39"/>
    </row>
    <row r="252" spans="2:26" hidden="1" outlineLevel="1" collapsed="1" x14ac:dyDescent="0.25">
      <c r="B252" s="16" t="s">
        <v>25</v>
      </c>
      <c r="C252" s="62" cm="1">
        <f t="array" ref="C252">+[1]!PV_UP_21_30</f>
        <v>-6140018.256396668</v>
      </c>
      <c r="D252" s="62" cm="1">
        <f t="array" ref="D252">+[5]!PV_UP_21_30</f>
        <v>-6271547.6544694332</v>
      </c>
      <c r="E252" s="63" cm="1">
        <f t="array" ref="E252">+[6]!PV_UP_21_30</f>
        <v>-5540455.0090341829</v>
      </c>
      <c r="F252" s="62" cm="1">
        <f t="array" ref="F252">+[7]!PV_UP_21_30</f>
        <v>-5743215.3604052914</v>
      </c>
      <c r="G252" s="62" cm="1">
        <f t="array" ref="G252">+[8]!PV_UP_21_30</f>
        <v>-5564111.1485274881</v>
      </c>
      <c r="H252" s="63" cm="1">
        <f t="array" ref="H252">+[9]!PV_UP_21_30</f>
        <v>-5360288.9893560726</v>
      </c>
      <c r="I252" s="62" cm="1">
        <f t="array" ref="I252">+[10]!PV_UP_21_30</f>
        <v>-5267782.252722946</v>
      </c>
      <c r="J252" s="62" cm="1">
        <f t="array" ref="J252">+[11]!PV_UP_21_30</f>
        <v>-5182800.3451980017</v>
      </c>
      <c r="K252" s="63" cm="1">
        <f t="array" ref="K252">+[12]!PV_UP_21_30</f>
        <v>-5519136.7498711767</v>
      </c>
      <c r="L252" s="62" cm="1">
        <f t="array" ref="L252">+[13]!PV_UP_21_30</f>
        <v>-5524782.5069108494</v>
      </c>
      <c r="M252" s="62" cm="1">
        <f t="array" ref="M252">+[14]!PV_UP_21_30</f>
        <v>-5321129.9883098667</v>
      </c>
      <c r="N252" s="39"/>
      <c r="O252" s="14">
        <f>+C252-SUM(C253:C262)</f>
        <v>0</v>
      </c>
      <c r="P252" s="14">
        <f t="shared" ref="P252:R252" si="84">+D252-SUM(D253:D262)</f>
        <v>0</v>
      </c>
      <c r="Q252" s="14">
        <f t="shared" si="84"/>
        <v>0</v>
      </c>
      <c r="R252" s="14">
        <f t="shared" si="84"/>
        <v>0</v>
      </c>
      <c r="S252" s="14">
        <f t="shared" ref="S252" si="85">+G252-SUM(G253:G262)</f>
        <v>0</v>
      </c>
      <c r="T252" s="14">
        <f t="shared" ref="T252:Z252" si="86">+H252-SUM(H253:H262)</f>
        <v>0</v>
      </c>
      <c r="U252" s="14">
        <f t="shared" si="86"/>
        <v>0</v>
      </c>
      <c r="V252" s="14">
        <f t="shared" si="86"/>
        <v>0</v>
      </c>
      <c r="W252" s="14">
        <f t="shared" si="86"/>
        <v>0</v>
      </c>
      <c r="X252" s="14">
        <f t="shared" si="86"/>
        <v>0</v>
      </c>
      <c r="Y252" s="14">
        <f t="shared" si="86"/>
        <v>0</v>
      </c>
      <c r="Z252" s="14">
        <f t="shared" si="86"/>
        <v>0</v>
      </c>
    </row>
    <row r="253" spans="2:26" hidden="1" outlineLevel="2" x14ac:dyDescent="0.25">
      <c r="B253" s="17" t="s">
        <v>26</v>
      </c>
      <c r="C253" s="62">
        <f>+[1]Result!$G$25</f>
        <v>-1322336.7254615512</v>
      </c>
      <c r="D253" s="62">
        <f>+[5]Result!$G$25</f>
        <v>-1340710.4050161086</v>
      </c>
      <c r="E253" s="63">
        <f>+[6]Result!$G$25</f>
        <v>-1173832.4668420632</v>
      </c>
      <c r="F253" s="62">
        <f>+[7]Result!$G$25</f>
        <v>-1219028.7537774213</v>
      </c>
      <c r="G253" s="62">
        <f>+[8]Result!$G$25</f>
        <v>-1186065.601228314</v>
      </c>
      <c r="H253" s="63">
        <f>+[9]Result!$G$25</f>
        <v>-1136280.8981008595</v>
      </c>
      <c r="I253" s="62">
        <f>+[10]Result!$G$25</f>
        <v>-1117815.2517355764</v>
      </c>
      <c r="J253" s="62">
        <f>+[11]Result!$G$25</f>
        <v>-1103353.6203775525</v>
      </c>
      <c r="K253" s="63">
        <f>+[12]Result!$G$25</f>
        <v>-1147216.6758454647</v>
      </c>
      <c r="L253" s="62">
        <f>+[13]Result!$G$25</f>
        <v>-1149254.2355839817</v>
      </c>
      <c r="M253" s="62">
        <f>+[14]Result!$G$25</f>
        <v>-1111271.7409187094</v>
      </c>
      <c r="N253" s="39"/>
    </row>
    <row r="254" spans="2:26" hidden="1" outlineLevel="2" x14ac:dyDescent="0.25">
      <c r="B254" s="17" t="s">
        <v>27</v>
      </c>
      <c r="C254" s="62">
        <f>+[1]Result!$G$26</f>
        <v>-1097338.6015058474</v>
      </c>
      <c r="D254" s="62">
        <f>+[5]Result!$G$26</f>
        <v>-1116461.1593237533</v>
      </c>
      <c r="E254" s="63">
        <f>+[6]Result!$G$26</f>
        <v>-974323.59198698669</v>
      </c>
      <c r="F254" s="62">
        <f>+[7]Result!$G$26</f>
        <v>-1010981.6931009853</v>
      </c>
      <c r="G254" s="62">
        <f>+[8]Result!$G$26</f>
        <v>-981717.71671869047</v>
      </c>
      <c r="H254" s="63">
        <f>+[9]Result!$G$26</f>
        <v>-936634.17722626776</v>
      </c>
      <c r="I254" s="62">
        <f>+[10]Result!$G$26</f>
        <v>-920962.68608008313</v>
      </c>
      <c r="J254" s="62">
        <f>+[11]Result!$G$26</f>
        <v>-907814.27995243436</v>
      </c>
      <c r="K254" s="63">
        <f>+[12]Result!$G$26</f>
        <v>-951481.8884151954</v>
      </c>
      <c r="L254" s="62">
        <f>+[13]Result!$G$26</f>
        <v>-952860.13119176903</v>
      </c>
      <c r="M254" s="62">
        <f>+[14]Result!$G$26</f>
        <v>-919862.06086779281</v>
      </c>
      <c r="N254" s="39"/>
    </row>
    <row r="255" spans="2:26" hidden="1" outlineLevel="2" x14ac:dyDescent="0.25">
      <c r="B255" s="17" t="s">
        <v>28</v>
      </c>
      <c r="C255" s="62">
        <f>+[1]Result!$G$27</f>
        <v>-900036.01234109153</v>
      </c>
      <c r="D255" s="62">
        <f>+[5]Result!$G$27</f>
        <v>-918449.40101879835</v>
      </c>
      <c r="E255" s="63">
        <f>+[6]Result!$G$27</f>
        <v>-802997.60943825368</v>
      </c>
      <c r="F255" s="62">
        <f>+[7]Result!$G$27</f>
        <v>-832564.04685762932</v>
      </c>
      <c r="G255" s="62">
        <f>+[8]Result!$G$27</f>
        <v>-807099.39824202622</v>
      </c>
      <c r="H255" s="63">
        <f>+[9]Result!$G$27</f>
        <v>-769648.54387421557</v>
      </c>
      <c r="I255" s="62">
        <f>+[10]Result!$G$27</f>
        <v>-756423.84030632884</v>
      </c>
      <c r="J255" s="62">
        <f>+[11]Result!$G$27</f>
        <v>-744723.8127874257</v>
      </c>
      <c r="K255" s="63">
        <f>+[12]Result!$G$27</f>
        <v>-790934.01979587798</v>
      </c>
      <c r="L255" s="62">
        <f>+[13]Result!$G$27</f>
        <v>-791876.13949044049</v>
      </c>
      <c r="M255" s="62">
        <f>+[14]Result!$G$27</f>
        <v>-763285.16082982824</v>
      </c>
      <c r="N255" s="39"/>
    </row>
    <row r="256" spans="2:26" hidden="1" outlineLevel="2" x14ac:dyDescent="0.25">
      <c r="B256" s="17" t="s">
        <v>29</v>
      </c>
      <c r="C256" s="62">
        <f>+[1]Result!$G$28</f>
        <v>-739977.28912865813</v>
      </c>
      <c r="D256" s="62">
        <f>+[5]Result!$G$28</f>
        <v>-756997.15427420044</v>
      </c>
      <c r="E256" s="63">
        <f>+[6]Result!$G$28</f>
        <v>-667755.56522892101</v>
      </c>
      <c r="F256" s="62">
        <f>+[7]Result!$G$28</f>
        <v>-691886.59530619415</v>
      </c>
      <c r="G256" s="62">
        <f>+[8]Result!$G$28</f>
        <v>-669800.07786961203</v>
      </c>
      <c r="H256" s="63">
        <f>+[9]Result!$G$28</f>
        <v>-648214.2447349123</v>
      </c>
      <c r="I256" s="62">
        <f>+[10]Result!$G$28</f>
        <v>-636946.36168753891</v>
      </c>
      <c r="J256" s="62">
        <f>+[11]Result!$G$28</f>
        <v>-626306.51893969497</v>
      </c>
      <c r="K256" s="63">
        <f>+[12]Result!$G$28</f>
        <v>-672501.46385370661</v>
      </c>
      <c r="L256" s="62">
        <f>+[13]Result!$G$28</f>
        <v>-673109.76117776963</v>
      </c>
      <c r="M256" s="62">
        <f>+[14]Result!$G$28</f>
        <v>-647968.69972817053</v>
      </c>
      <c r="N256" s="39"/>
    </row>
    <row r="257" spans="2:26" hidden="1" outlineLevel="2" x14ac:dyDescent="0.25">
      <c r="B257" s="17" t="s">
        <v>30</v>
      </c>
      <c r="C257" s="62">
        <f>+[1]Result!$G$29</f>
        <v>-627414.02635137958</v>
      </c>
      <c r="D257" s="62">
        <f>+[5]Result!$G$29</f>
        <v>-643302.02697285847</v>
      </c>
      <c r="E257" s="63">
        <f>+[6]Result!$G$29</f>
        <v>-568330.833843139</v>
      </c>
      <c r="F257" s="62">
        <f>+[7]Result!$G$29</f>
        <v>-588575.17156456271</v>
      </c>
      <c r="G257" s="62">
        <f>+[8]Result!$G$29</f>
        <v>-569069.11310965894</v>
      </c>
      <c r="H257" s="63">
        <f>+[9]Result!$G$29</f>
        <v>-547811.57963207166</v>
      </c>
      <c r="I257" s="62">
        <f>+[10]Result!$G$29</f>
        <v>-538141.63955379801</v>
      </c>
      <c r="J257" s="62">
        <f>+[11]Result!$G$29</f>
        <v>-528586.9748829524</v>
      </c>
      <c r="K257" s="63">
        <f>+[12]Result!$G$29</f>
        <v>-561168.1006824784</v>
      </c>
      <c r="L257" s="62">
        <f>+[13]Result!$G$29</f>
        <v>-561498.84929990384</v>
      </c>
      <c r="M257" s="62">
        <f>+[14]Result!$G$29</f>
        <v>-539907.16455317347</v>
      </c>
      <c r="N257" s="39"/>
    </row>
    <row r="258" spans="2:26" hidden="1" outlineLevel="2" x14ac:dyDescent="0.25">
      <c r="B258" s="17" t="s">
        <v>31</v>
      </c>
      <c r="C258" s="62">
        <f>+[1]Result!$G$30</f>
        <v>-481932.96594163857</v>
      </c>
      <c r="D258" s="62">
        <f>+[5]Result!$G$30</f>
        <v>-495066.56187965616</v>
      </c>
      <c r="E258" s="63">
        <f>+[6]Result!$G$30</f>
        <v>-435977.89537320973</v>
      </c>
      <c r="F258" s="62">
        <f>+[7]Result!$G$30</f>
        <v>-451319.04246379482</v>
      </c>
      <c r="G258" s="62">
        <f>+[8]Result!$G$30</f>
        <v>-435870.33849615138</v>
      </c>
      <c r="H258" s="63">
        <f>+[9]Result!$G$30</f>
        <v>-416054.30695837724</v>
      </c>
      <c r="I258" s="62">
        <f>+[10]Result!$G$30</f>
        <v>-408564.00745372614</v>
      </c>
      <c r="J258" s="62">
        <f>+[11]Result!$G$30</f>
        <v>-400967.9303033434</v>
      </c>
      <c r="K258" s="63">
        <f>+[12]Result!$G$30</f>
        <v>-431560.79420556728</v>
      </c>
      <c r="L258" s="62">
        <f>+[13]Result!$G$30</f>
        <v>-431719.65257802885</v>
      </c>
      <c r="M258" s="62">
        <f>+[14]Result!$G$30</f>
        <v>-414607.96767549153</v>
      </c>
      <c r="N258" s="39"/>
    </row>
    <row r="259" spans="2:26" hidden="1" outlineLevel="2" x14ac:dyDescent="0.25">
      <c r="B259" s="17" t="s">
        <v>32</v>
      </c>
      <c r="C259" s="62">
        <f>+[1]Result!$G$31</f>
        <v>-357811.00904583902</v>
      </c>
      <c r="D259" s="62">
        <f>+[5]Result!$G$31</f>
        <v>-368136.91687958554</v>
      </c>
      <c r="E259" s="63">
        <f>+[6]Result!$G$31</f>
        <v>-325969.88429583336</v>
      </c>
      <c r="F259" s="62">
        <f>+[7]Result!$G$31</f>
        <v>-337336.22040204593</v>
      </c>
      <c r="G259" s="62">
        <f>+[8]Result!$G$31</f>
        <v>-325428.76917945041</v>
      </c>
      <c r="H259" s="63">
        <f>+[9]Result!$G$31</f>
        <v>-310330.5121089897</v>
      </c>
      <c r="I259" s="62">
        <f>+[10]Result!$G$31</f>
        <v>-304682.29388795333</v>
      </c>
      <c r="J259" s="62">
        <f>+[11]Result!$G$31</f>
        <v>-298797.88695497188</v>
      </c>
      <c r="K259" s="63">
        <f>+[12]Result!$G$31</f>
        <v>-327707.79631869309</v>
      </c>
      <c r="L259" s="62">
        <f>+[13]Result!$G$31</f>
        <v>-327833.05947546358</v>
      </c>
      <c r="M259" s="62">
        <f>+[14]Result!$G$31</f>
        <v>-314500.94842908287</v>
      </c>
      <c r="N259" s="39"/>
    </row>
    <row r="260" spans="2:26" hidden="1" outlineLevel="2" x14ac:dyDescent="0.25">
      <c r="B260" s="17" t="s">
        <v>33</v>
      </c>
      <c r="C260" s="62">
        <f>+[1]Result!$G$32</f>
        <v>-252626.05920998342</v>
      </c>
      <c r="D260" s="62">
        <f>+[5]Result!$G$32</f>
        <v>-260298.30793103605</v>
      </c>
      <c r="E260" s="63">
        <f>+[6]Result!$G$32</f>
        <v>-231927.16234298257</v>
      </c>
      <c r="F260" s="62">
        <f>+[7]Result!$G$32</f>
        <v>-239941.98713733806</v>
      </c>
      <c r="G260" s="62">
        <f>+[8]Result!$G$32</f>
        <v>-231251.59409691719</v>
      </c>
      <c r="H260" s="63">
        <f>+[9]Result!$G$32</f>
        <v>-220960.17233513578</v>
      </c>
      <c r="I260" s="62">
        <f>+[10]Result!$G$32</f>
        <v>-216903.30493886632</v>
      </c>
      <c r="J260" s="62">
        <f>+[11]Result!$G$32</f>
        <v>-212586.13532823484</v>
      </c>
      <c r="K260" s="63">
        <f>+[12]Result!$G$32</f>
        <v>-243918.93400263082</v>
      </c>
      <c r="L260" s="62">
        <f>+[13]Result!$G$32</f>
        <v>-243983.60136192906</v>
      </c>
      <c r="M260" s="62">
        <f>+[14]Result!$G$32</f>
        <v>-233849.93498276183</v>
      </c>
      <c r="N260" s="39"/>
    </row>
    <row r="261" spans="2:26" hidden="1" outlineLevel="2" x14ac:dyDescent="0.25">
      <c r="B261" s="17" t="s">
        <v>34</v>
      </c>
      <c r="C261" s="62">
        <f>+[1]Result!$G$33</f>
        <v>-179511.44939292129</v>
      </c>
      <c r="D261" s="62">
        <f>+[5]Result!$G$33</f>
        <v>-185189.14979275604</v>
      </c>
      <c r="E261" s="63">
        <f>+[6]Result!$G$33</f>
        <v>-179278.32988517825</v>
      </c>
      <c r="F261" s="62">
        <f>+[7]Result!$G$33</f>
        <v>-185421.78383174838</v>
      </c>
      <c r="G261" s="62">
        <f>+[8]Result!$G$33</f>
        <v>-178589.87805368478</v>
      </c>
      <c r="H261" s="63">
        <f>+[9]Result!$G$33</f>
        <v>-187512.62559186114</v>
      </c>
      <c r="I261" s="62">
        <f>+[10]Result!$G$33</f>
        <v>-184021.86023457791</v>
      </c>
      <c r="J261" s="62">
        <f>+[11]Result!$G$33</f>
        <v>-180227.59029390395</v>
      </c>
      <c r="K261" s="63">
        <f>+[12]Result!$G$33</f>
        <v>-210664.48926700553</v>
      </c>
      <c r="L261" s="62">
        <f>+[13]Result!$G$33</f>
        <v>-210664.48926700553</v>
      </c>
      <c r="M261" s="62">
        <f>+[14]Result!$G$33</f>
        <v>-201742.10225225709</v>
      </c>
      <c r="N261" s="39"/>
    </row>
    <row r="262" spans="2:26" hidden="1" outlineLevel="2" x14ac:dyDescent="0.25">
      <c r="B262" s="17" t="s">
        <v>35</v>
      </c>
      <c r="C262" s="62">
        <f>+[1]Result!$G$34</f>
        <v>-181034.11801775708</v>
      </c>
      <c r="D262" s="62">
        <f>+[5]Result!$G$34</f>
        <v>-186936.57138067912</v>
      </c>
      <c r="E262" s="63">
        <f>+[6]Result!$G$34</f>
        <v>-180061.66979761617</v>
      </c>
      <c r="F262" s="62">
        <f>+[7]Result!$G$34</f>
        <v>-186160.06596357052</v>
      </c>
      <c r="G262" s="62">
        <f>+[8]Result!$G$34</f>
        <v>-179218.66153298403</v>
      </c>
      <c r="H262" s="63">
        <f>+[9]Result!$G$34</f>
        <v>-186841.92879338143</v>
      </c>
      <c r="I262" s="62">
        <f>+[10]Result!$G$34</f>
        <v>-183321.00684449633</v>
      </c>
      <c r="J262" s="62">
        <f>+[11]Result!$G$34</f>
        <v>-179435.59537748847</v>
      </c>
      <c r="K262" s="63">
        <f>+[12]Result!$G$34</f>
        <v>-181982.58748455721</v>
      </c>
      <c r="L262" s="62">
        <f>+[13]Result!$G$34</f>
        <v>-181982.58748455721</v>
      </c>
      <c r="M262" s="62">
        <f>+[14]Result!$G$34</f>
        <v>-174134.20807259952</v>
      </c>
      <c r="N262" s="39"/>
    </row>
    <row r="263" spans="2:26" hidden="1" outlineLevel="1" collapsed="1" x14ac:dyDescent="0.25">
      <c r="B263" s="16" t="s">
        <v>36</v>
      </c>
      <c r="C263" s="62" cm="1">
        <f t="array" ref="C263">+[1]!PV_UP_31_50</f>
        <v>-309891.54538859299</v>
      </c>
      <c r="D263" s="62" cm="1">
        <f t="array" ref="D263">+[5]!PV_UP_31_50</f>
        <v>-320655.34403536684</v>
      </c>
      <c r="E263" s="63" cm="1">
        <f t="array" ref="E263">+[6]!PV_UP_31_50</f>
        <v>-303487.83817937947</v>
      </c>
      <c r="F263" s="62" cm="1">
        <f t="array" ref="F263">+[7]!PV_UP_31_50</f>
        <v>-313600.90356672276</v>
      </c>
      <c r="G263" s="62" cm="1">
        <f t="array" ref="G263">+[8]!PV_UP_31_50</f>
        <v>-301507.59820646938</v>
      </c>
      <c r="H263" s="63" cm="1">
        <f t="array" ref="H263">+[9]!PV_UP_31_50</f>
        <v>-305236.31236160296</v>
      </c>
      <c r="I263" s="62" cm="1">
        <f t="array" ref="I263">+[10]!PV_UP_31_50</f>
        <v>-299407.82313363469</v>
      </c>
      <c r="J263" s="62" cm="1">
        <f t="array" ref="J263">+[11]!PV_UP_31_50</f>
        <v>-292708.34933189908</v>
      </c>
      <c r="K263" s="63" cm="1">
        <f t="array" ref="K263">+[12]!PV_UP_31_50</f>
        <v>-305722.44202774164</v>
      </c>
      <c r="L263" s="62" cm="1">
        <f t="array" ref="L263">+[13]!PV_UP_31_50</f>
        <v>-305627.02113666397</v>
      </c>
      <c r="M263" s="62" cm="1">
        <f t="array" ref="M263">+[14]!PV_UP_31_50</f>
        <v>-291914.32944272115</v>
      </c>
      <c r="N263" s="39"/>
      <c r="O263" s="14">
        <f>+C263-SUM(C264:C283)</f>
        <v>0</v>
      </c>
      <c r="P263" s="14">
        <f t="shared" ref="P263:R263" si="87">+D263-SUM(D264:D283)</f>
        <v>0</v>
      </c>
      <c r="Q263" s="14">
        <f t="shared" si="87"/>
        <v>0</v>
      </c>
      <c r="R263" s="14">
        <f t="shared" si="87"/>
        <v>0</v>
      </c>
      <c r="S263" s="14">
        <f t="shared" ref="S263" si="88">+G263-SUM(G264:G283)</f>
        <v>0</v>
      </c>
      <c r="T263" s="14">
        <f t="shared" ref="T263:Z263" si="89">+H263-SUM(H264:H283)</f>
        <v>0</v>
      </c>
      <c r="U263" s="14">
        <f t="shared" si="89"/>
        <v>0</v>
      </c>
      <c r="V263" s="14">
        <f t="shared" si="89"/>
        <v>0</v>
      </c>
      <c r="W263" s="14">
        <f t="shared" si="89"/>
        <v>0</v>
      </c>
      <c r="X263" s="14">
        <f t="shared" si="89"/>
        <v>0</v>
      </c>
      <c r="Y263" s="14">
        <f t="shared" si="89"/>
        <v>0</v>
      </c>
      <c r="Z263" s="14">
        <f t="shared" si="89"/>
        <v>0</v>
      </c>
    </row>
    <row r="264" spans="2:26" hidden="1" outlineLevel="2" x14ac:dyDescent="0.25">
      <c r="B264" s="17" t="s">
        <v>37</v>
      </c>
      <c r="C264" s="62">
        <f>+[1]Result!$G$35</f>
        <v>-99082.680434034715</v>
      </c>
      <c r="D264" s="62">
        <f>+[5]Result!$G$35</f>
        <v>-102393.76687702784</v>
      </c>
      <c r="E264" s="63">
        <f>+[6]Result!$G$35</f>
        <v>-97747.233596084814</v>
      </c>
      <c r="F264" s="62">
        <f>+[7]Result!$G$35</f>
        <v>-101037.58832776239</v>
      </c>
      <c r="G264" s="62">
        <f>+[8]Result!$G$35</f>
        <v>-97216.913992785121</v>
      </c>
      <c r="H264" s="63">
        <f>+[9]Result!$G$35</f>
        <v>-99260.621194613312</v>
      </c>
      <c r="I264" s="62">
        <f>+[10]Result!$G$35</f>
        <v>-97384.612727503321</v>
      </c>
      <c r="J264" s="62">
        <f>+[11]Result!$G$35</f>
        <v>-95279.458442726027</v>
      </c>
      <c r="K264" s="63">
        <f>+[12]Result!$G$35</f>
        <v>-97367.824946609908</v>
      </c>
      <c r="L264" s="62">
        <f>+[13]Result!$G$35</f>
        <v>-97353.605690572993</v>
      </c>
      <c r="M264" s="62">
        <f>+[14]Result!$G$35</f>
        <v>-93097.938181790232</v>
      </c>
      <c r="N264" s="39"/>
    </row>
    <row r="265" spans="2:26" hidden="1" outlineLevel="2" x14ac:dyDescent="0.25">
      <c r="B265" s="17" t="s">
        <v>38</v>
      </c>
      <c r="C265" s="62">
        <f>+[1]Result!$G$36</f>
        <v>-58036.076732308517</v>
      </c>
      <c r="D265" s="62">
        <f>+[5]Result!$G$36</f>
        <v>-60021.560827478083</v>
      </c>
      <c r="E265" s="63">
        <f>+[6]Result!$G$36</f>
        <v>-56461.393830696237</v>
      </c>
      <c r="F265" s="62">
        <f>+[7]Result!$G$36</f>
        <v>-58354.260992966658</v>
      </c>
      <c r="G265" s="62">
        <f>+[8]Result!$G$36</f>
        <v>-56119.550015707653</v>
      </c>
      <c r="H265" s="63">
        <f>+[9]Result!$G$36</f>
        <v>-56363.852036796699</v>
      </c>
      <c r="I265" s="62">
        <f>+[10]Result!$G$36</f>
        <v>-55289.244686591985</v>
      </c>
      <c r="J265" s="62">
        <f>+[11]Result!$G$36</f>
        <v>-54071.765512696496</v>
      </c>
      <c r="K265" s="63">
        <f>+[12]Result!$G$36</f>
        <v>-56769.813107229493</v>
      </c>
      <c r="L265" s="62">
        <f>+[13]Result!$G$36</f>
        <v>-56752.620104484267</v>
      </c>
      <c r="M265" s="62">
        <f>+[14]Result!$G$36</f>
        <v>-54241.635877025867</v>
      </c>
      <c r="N265" s="39"/>
    </row>
    <row r="266" spans="2:26" hidden="1" outlineLevel="2" x14ac:dyDescent="0.25">
      <c r="B266" s="17" t="s">
        <v>39</v>
      </c>
      <c r="C266" s="62">
        <f>+[1]Result!$G$37</f>
        <v>-39700.059476870338</v>
      </c>
      <c r="D266" s="62">
        <f>+[5]Result!$G$37</f>
        <v>-41082.557272336591</v>
      </c>
      <c r="E266" s="63">
        <f>+[6]Result!$G$37</f>
        <v>-38819.907309522539</v>
      </c>
      <c r="F266" s="62">
        <f>+[7]Result!$G$37</f>
        <v>-40106.579341497432</v>
      </c>
      <c r="G266" s="62">
        <f>+[8]Result!$G$37</f>
        <v>-38559.314093509274</v>
      </c>
      <c r="H266" s="63">
        <f>+[9]Result!$G$37</f>
        <v>-38707.724549573104</v>
      </c>
      <c r="I266" s="62">
        <f>+[10]Result!$G$37</f>
        <v>-37970.277981588988</v>
      </c>
      <c r="J266" s="62">
        <f>+[11]Result!$G$37</f>
        <v>-37119.570697687494</v>
      </c>
      <c r="K266" s="63">
        <f>+[12]Result!$G$37</f>
        <v>-40278.692413031873</v>
      </c>
      <c r="L266" s="62">
        <f>+[13]Result!$G$37</f>
        <v>-40266.107392035286</v>
      </c>
      <c r="M266" s="62">
        <f>+[14]Result!$G$37</f>
        <v>-38459.437296830307</v>
      </c>
      <c r="N266" s="39"/>
    </row>
    <row r="267" spans="2:26" hidden="1" outlineLevel="2" x14ac:dyDescent="0.25">
      <c r="B267" s="17" t="s">
        <v>40</v>
      </c>
      <c r="C267" s="62">
        <f>+[1]Result!$G$38</f>
        <v>-31898.600057075979</v>
      </c>
      <c r="D267" s="62">
        <f>+[5]Result!$G$38</f>
        <v>-33022.638767394055</v>
      </c>
      <c r="E267" s="63">
        <f>+[6]Result!$G$38</f>
        <v>-31423.323873366044</v>
      </c>
      <c r="F267" s="62">
        <f>+[7]Result!$G$38</f>
        <v>-32465.770743114903</v>
      </c>
      <c r="G267" s="62">
        <f>+[8]Result!$G$38</f>
        <v>-31200.876781652052</v>
      </c>
      <c r="H267" s="63">
        <f>+[9]Result!$G$38</f>
        <v>-31436.847798176896</v>
      </c>
      <c r="I267" s="62">
        <f>+[10]Result!$G$38</f>
        <v>-30839.644609400515</v>
      </c>
      <c r="J267" s="62">
        <f>+[11]Result!$G$38</f>
        <v>-30137.429672763465</v>
      </c>
      <c r="K267" s="63">
        <f>+[12]Result!$G$38</f>
        <v>-31668.022374779186</v>
      </c>
      <c r="L267" s="62">
        <f>+[13]Result!$G$38</f>
        <v>-31657.823944800846</v>
      </c>
      <c r="M267" s="62">
        <f>+[14]Result!$G$38</f>
        <v>-30219.051514317922</v>
      </c>
      <c r="N267" s="39"/>
    </row>
    <row r="268" spans="2:26" hidden="1" outlineLevel="2" x14ac:dyDescent="0.25">
      <c r="B268" s="17" t="s">
        <v>41</v>
      </c>
      <c r="C268" s="62">
        <f>+[1]Result!$G$39</f>
        <v>-25174.951015825351</v>
      </c>
      <c r="D268" s="62">
        <f>+[5]Result!$G$39</f>
        <v>-26075.808008050768</v>
      </c>
      <c r="E268" s="63">
        <f>+[6]Result!$G$39</f>
        <v>-24171.249149852611</v>
      </c>
      <c r="F268" s="62">
        <f>+[7]Result!$G$39</f>
        <v>-24972.468140270983</v>
      </c>
      <c r="G268" s="62">
        <f>+[8]Result!$G$39</f>
        <v>-23995.068533467918</v>
      </c>
      <c r="H268" s="63">
        <f>+[9]Result!$G$39</f>
        <v>-23883.114593760947</v>
      </c>
      <c r="I268" s="62">
        <f>+[10]Result!$G$39</f>
        <v>-23423.804940350336</v>
      </c>
      <c r="J268" s="62">
        <f>+[11]Result!$G$39</f>
        <v>-22886.10758955227</v>
      </c>
      <c r="K268" s="63">
        <f>+[12]Result!$G$39</f>
        <v>-23565.207561265626</v>
      </c>
      <c r="L268" s="62">
        <f>+[13]Result!$G$39</f>
        <v>-23557.392541687292</v>
      </c>
      <c r="M268" s="62">
        <f>+[14]Result!$G$39</f>
        <v>-22477.948696711337</v>
      </c>
      <c r="N268" s="39"/>
    </row>
    <row r="269" spans="2:26" hidden="1" outlineLevel="2" x14ac:dyDescent="0.25">
      <c r="B269" s="17" t="s">
        <v>42</v>
      </c>
      <c r="C269" s="62">
        <f>+[1]Result!$G$40</f>
        <v>-16782.251523406027</v>
      </c>
      <c r="D269" s="62">
        <f>+[5]Result!$G$40</f>
        <v>-17391.482003710928</v>
      </c>
      <c r="E269" s="63">
        <f>+[6]Result!$G$40</f>
        <v>-16247.908897557498</v>
      </c>
      <c r="F269" s="62">
        <f>+[7]Result!$G$40</f>
        <v>-16782.165774789009</v>
      </c>
      <c r="G269" s="62">
        <f>+[8]Result!$G$40</f>
        <v>-16123.331921741856</v>
      </c>
      <c r="H269" s="63">
        <f>+[9]Result!$G$40</f>
        <v>-16249.996629713427</v>
      </c>
      <c r="I269" s="62">
        <f>+[10]Result!$G$40</f>
        <v>-15933.977165587965</v>
      </c>
      <c r="J269" s="62">
        <f>+[11]Result!$G$40</f>
        <v>-15565.737843655406</v>
      </c>
      <c r="K269" s="63">
        <f>+[12]Result!$G$40</f>
        <v>-16504.926643423307</v>
      </c>
      <c r="L269" s="62">
        <f>+[13]Result!$G$40</f>
        <v>-16496.498120859073</v>
      </c>
      <c r="M269" s="62">
        <f>+[14]Result!$G$40</f>
        <v>-15735.333947936797</v>
      </c>
      <c r="N269" s="39"/>
    </row>
    <row r="270" spans="2:26" hidden="1" outlineLevel="2" x14ac:dyDescent="0.25">
      <c r="B270" s="17" t="s">
        <v>43</v>
      </c>
      <c r="C270" s="62">
        <f>+[1]Result!$G$41</f>
        <v>-11862.003407427494</v>
      </c>
      <c r="D270" s="62">
        <f>+[5]Result!$G$41</f>
        <v>-12296.232533620245</v>
      </c>
      <c r="E270" s="63">
        <f>+[6]Result!$G$41</f>
        <v>-11674.323208835525</v>
      </c>
      <c r="F270" s="62">
        <f>+[7]Result!$G$41</f>
        <v>-12056.409244264132</v>
      </c>
      <c r="G270" s="62">
        <f>+[8]Result!$G$41</f>
        <v>-11580.261418322707</v>
      </c>
      <c r="H270" s="63">
        <f>+[9]Result!$G$41</f>
        <v>-11791.803924272943</v>
      </c>
      <c r="I270" s="62">
        <f>+[10]Result!$G$41</f>
        <v>-11562.178630470915</v>
      </c>
      <c r="J270" s="62">
        <f>+[11]Result!$G$41</f>
        <v>-11291.511971040572</v>
      </c>
      <c r="K270" s="63">
        <f>+[12]Result!$G$41</f>
        <v>-12357.260013567688</v>
      </c>
      <c r="L270" s="62">
        <f>+[13]Result!$G$41</f>
        <v>-12350.742591476326</v>
      </c>
      <c r="M270" s="62">
        <f>+[14]Result!$G$41</f>
        <v>-11775.555919498271</v>
      </c>
      <c r="N270" s="39"/>
    </row>
    <row r="271" spans="2:26" hidden="1" outlineLevel="2" x14ac:dyDescent="0.25">
      <c r="B271" s="17" t="s">
        <v>44</v>
      </c>
      <c r="C271" s="62">
        <f>+[1]Result!$G$42</f>
        <v>-8904.8590914584693</v>
      </c>
      <c r="D271" s="62">
        <f>+[5]Result!$G$42</f>
        <v>-9233.1948382182272</v>
      </c>
      <c r="E271" s="63">
        <f>+[6]Result!$G$42</f>
        <v>-9002.4620346827196</v>
      </c>
      <c r="F271" s="62">
        <f>+[7]Result!$G$42</f>
        <v>-9296.8574738274565</v>
      </c>
      <c r="G271" s="62">
        <f>+[8]Result!$G$42</f>
        <v>-8927.9562618781383</v>
      </c>
      <c r="H271" s="63">
        <f>+[9]Result!$G$42</f>
        <v>-9237.7202228179922</v>
      </c>
      <c r="I271" s="62">
        <f>+[10]Result!$G$42</f>
        <v>-9057.8752743133064</v>
      </c>
      <c r="J271" s="62">
        <f>+[11]Result!$G$42</f>
        <v>-8843.2933689760248</v>
      </c>
      <c r="K271" s="63">
        <f>+[12]Result!$G$42</f>
        <v>-9954.1748512749273</v>
      </c>
      <c r="L271" s="62">
        <f>+[13]Result!$G$42</f>
        <v>-9948.8074453048139</v>
      </c>
      <c r="M271" s="62">
        <f>+[14]Result!$G$42</f>
        <v>-9481.6370832218436</v>
      </c>
      <c r="N271" s="39"/>
    </row>
    <row r="272" spans="2:26" hidden="1" outlineLevel="2" x14ac:dyDescent="0.25">
      <c r="B272" s="17" t="s">
        <v>45</v>
      </c>
      <c r="C272" s="62">
        <f>+[1]Result!$G$43</f>
        <v>-7813.9923224656677</v>
      </c>
      <c r="D272" s="62">
        <f>+[5]Result!$G$43</f>
        <v>-8103.8634494963535</v>
      </c>
      <c r="E272" s="63">
        <f>+[6]Result!$G$43</f>
        <v>-7951.3573717072013</v>
      </c>
      <c r="F272" s="62">
        <f>+[7]Result!$G$43</f>
        <v>-8212.3027158513451</v>
      </c>
      <c r="G272" s="62">
        <f>+[8]Result!$G$43</f>
        <v>-7883.8100810198475</v>
      </c>
      <c r="H272" s="63">
        <f>+[9]Result!$G$43</f>
        <v>-8022.0417282904418</v>
      </c>
      <c r="I272" s="62">
        <f>+[10]Result!$G$43</f>
        <v>-7864.6631373766413</v>
      </c>
      <c r="J272" s="62">
        <f>+[11]Result!$G$43</f>
        <v>-7676.2915448032927</v>
      </c>
      <c r="K272" s="63">
        <f>+[12]Result!$G$43</f>
        <v>-7982.4125319271898</v>
      </c>
      <c r="L272" s="62">
        <f>+[13]Result!$G$43</f>
        <v>-7976.5067085610299</v>
      </c>
      <c r="M272" s="62">
        <f>+[14]Result!$G$43</f>
        <v>-7600.6487709337916</v>
      </c>
      <c r="N272" s="39"/>
    </row>
    <row r="273" spans="2:26" hidden="1" outlineLevel="2" x14ac:dyDescent="0.25">
      <c r="B273" s="17" t="s">
        <v>46</v>
      </c>
      <c r="C273" s="62">
        <f>+[1]Result!$G$44</f>
        <v>-6147.4740549106627</v>
      </c>
      <c r="D273" s="62">
        <f>+[5]Result!$G$44</f>
        <v>-6376.660697251381</v>
      </c>
      <c r="E273" s="63">
        <f>+[6]Result!$G$44</f>
        <v>-5700.5260851376079</v>
      </c>
      <c r="F273" s="62">
        <f>+[7]Result!$G$44</f>
        <v>-5888.0387320931823</v>
      </c>
      <c r="G273" s="62">
        <f>+[8]Result!$G$44</f>
        <v>-5650.8523943323871</v>
      </c>
      <c r="H273" s="63">
        <f>+[9]Result!$G$44</f>
        <v>-5862.8906605443581</v>
      </c>
      <c r="I273" s="62">
        <f>+[10]Result!$G$44</f>
        <v>-5748.186566064378</v>
      </c>
      <c r="J273" s="62">
        <f>+[11]Result!$G$44</f>
        <v>-5609.1122980900691</v>
      </c>
      <c r="K273" s="63">
        <f>+[12]Result!$G$44</f>
        <v>-5275.4104384642415</v>
      </c>
      <c r="L273" s="62">
        <f>+[13]Result!$G$44</f>
        <v>-5271.4062700060022</v>
      </c>
      <c r="M273" s="62">
        <f>+[14]Result!$G$44</f>
        <v>-5021.4984996728381</v>
      </c>
      <c r="N273" s="39"/>
    </row>
    <row r="274" spans="2:26" hidden="1" outlineLevel="2" x14ac:dyDescent="0.25">
      <c r="B274" s="17" t="s">
        <v>47</v>
      </c>
      <c r="C274" s="62">
        <f>+[1]Result!$G$45</f>
        <v>-2427.5029955905816</v>
      </c>
      <c r="D274" s="62">
        <f>+[5]Result!$G$45</f>
        <v>-2518.3560377021563</v>
      </c>
      <c r="E274" s="63">
        <f>+[6]Result!$G$45</f>
        <v>-2295.542544352505</v>
      </c>
      <c r="F274" s="62">
        <f>+[7]Result!$G$45</f>
        <v>-2370.676740224576</v>
      </c>
      <c r="G274" s="62">
        <f>+[8]Result!$G$45</f>
        <v>-2275.0372387163493</v>
      </c>
      <c r="H274" s="63">
        <f>+[9]Result!$G$45</f>
        <v>-2371.781799893939</v>
      </c>
      <c r="I274" s="62">
        <f>+[10]Result!$G$45</f>
        <v>-2325.5811899486239</v>
      </c>
      <c r="J274" s="62">
        <f>+[11]Result!$G$45</f>
        <v>-2269.2319786664298</v>
      </c>
      <c r="K274" s="63">
        <f>+[12]Result!$G$45</f>
        <v>-2127.9936751146506</v>
      </c>
      <c r="L274" s="62">
        <f>+[13]Result!$G$45</f>
        <v>-2126.3376734287308</v>
      </c>
      <c r="M274" s="62">
        <f>+[14]Result!$G$45</f>
        <v>-2024.6208121275847</v>
      </c>
      <c r="N274" s="39"/>
    </row>
    <row r="275" spans="2:26" hidden="1" outlineLevel="2" x14ac:dyDescent="0.25">
      <c r="B275" s="17" t="s">
        <v>48</v>
      </c>
      <c r="C275" s="62">
        <f>+[1]Result!$G$46</f>
        <v>-979.82714128750945</v>
      </c>
      <c r="D275" s="62">
        <f>+[5]Result!$G$46</f>
        <v>-1016.8034991119055</v>
      </c>
      <c r="E275" s="63">
        <f>+[6]Result!$G$46</f>
        <v>-940.22923938370604</v>
      </c>
      <c r="F275" s="62">
        <f>+[7]Result!$G$46</f>
        <v>-970.99237106758039</v>
      </c>
      <c r="G275" s="62">
        <f>+[8]Result!$G$46</f>
        <v>-931.80946240949493</v>
      </c>
      <c r="H275" s="63">
        <f>+[9]Result!$G$46</f>
        <v>-972.11676544340344</v>
      </c>
      <c r="I275" s="62">
        <f>+[10]Result!$G$46</f>
        <v>-953.09917992318674</v>
      </c>
      <c r="J275" s="62">
        <f>+[11]Result!$G$46</f>
        <v>-930.00129013408082</v>
      </c>
      <c r="K275" s="63">
        <f>+[12]Result!$G$46</f>
        <v>-884.00362249299246</v>
      </c>
      <c r="L275" s="62">
        <f>+[13]Result!$G$46</f>
        <v>-883.29874795769842</v>
      </c>
      <c r="M275" s="62">
        <f>+[14]Result!$G$46</f>
        <v>-840.86476888821858</v>
      </c>
      <c r="N275" s="39"/>
    </row>
    <row r="276" spans="2:26" hidden="1" outlineLevel="2" x14ac:dyDescent="0.25">
      <c r="B276" s="17" t="s">
        <v>49</v>
      </c>
      <c r="C276" s="62">
        <f>+[1]Result!$G$47</f>
        <v>-486.22627015476377</v>
      </c>
      <c r="D276" s="62">
        <f>+[5]Result!$G$47</f>
        <v>-504.7137901584091</v>
      </c>
      <c r="E276" s="63">
        <f>+[6]Result!$G$47</f>
        <v>-475.30710619168195</v>
      </c>
      <c r="F276" s="62">
        <f>+[7]Result!$G$47</f>
        <v>-490.93712229671564</v>
      </c>
      <c r="G276" s="62">
        <f>+[8]Result!$G$47</f>
        <v>-471.04626401728501</v>
      </c>
      <c r="H276" s="63">
        <f>+[9]Result!$G$47</f>
        <v>-486.64329718383601</v>
      </c>
      <c r="I276" s="62">
        <f>+[10]Result!$G$47</f>
        <v>-477.09143311560092</v>
      </c>
      <c r="J276" s="62">
        <f>+[11]Result!$G$47</f>
        <v>-465.44484535953336</v>
      </c>
      <c r="K276" s="63">
        <f>+[12]Result!$G$47</f>
        <v>-447.45828083822585</v>
      </c>
      <c r="L276" s="62">
        <f>+[13]Result!$G$47</f>
        <v>-447.09291549157592</v>
      </c>
      <c r="M276" s="62">
        <f>+[14]Result!$G$47</f>
        <v>-425.54530407239616</v>
      </c>
      <c r="N276" s="39"/>
    </row>
    <row r="277" spans="2:26" hidden="1" outlineLevel="2" x14ac:dyDescent="0.25">
      <c r="B277" s="17" t="s">
        <v>50</v>
      </c>
      <c r="C277" s="62">
        <f>+[1]Result!$G$48</f>
        <v>-284.47118661161608</v>
      </c>
      <c r="D277" s="62">
        <f>+[5]Result!$G$48</f>
        <v>-295.29750798677043</v>
      </c>
      <c r="E277" s="63">
        <f>+[6]Result!$G$48</f>
        <v>-274.93859141017401</v>
      </c>
      <c r="F277" s="62">
        <f>+[7]Result!$G$48</f>
        <v>-283.89800357403197</v>
      </c>
      <c r="G277" s="62">
        <f>+[8]Result!$G$48</f>
        <v>-272.4164196691388</v>
      </c>
      <c r="H277" s="63">
        <f>+[9]Result!$G$48</f>
        <v>-278.94969459126236</v>
      </c>
      <c r="I277" s="62">
        <f>+[10]Result!$G$48</f>
        <v>-273.46158660838046</v>
      </c>
      <c r="J277" s="62">
        <f>+[11]Result!$G$48</f>
        <v>-266.74264007589062</v>
      </c>
      <c r="K277" s="63">
        <f>+[12]Result!$G$48</f>
        <v>-256.30287003351333</v>
      </c>
      <c r="L277" s="62">
        <f>+[13]Result!$G$48</f>
        <v>-256.08867679028253</v>
      </c>
      <c r="M277" s="62">
        <f>+[14]Result!$G$48</f>
        <v>-243.66726742027291</v>
      </c>
      <c r="N277" s="39"/>
    </row>
    <row r="278" spans="2:26" hidden="1" outlineLevel="2" x14ac:dyDescent="0.25">
      <c r="B278" s="17" t="s">
        <v>51</v>
      </c>
      <c r="C278" s="62">
        <f>+[1]Result!$G$49</f>
        <v>-155.89011340230732</v>
      </c>
      <c r="D278" s="62">
        <f>+[5]Result!$G$49</f>
        <v>-161.82221094247743</v>
      </c>
      <c r="E278" s="63">
        <f>+[6]Result!$G$49</f>
        <v>-152.40992842196931</v>
      </c>
      <c r="F278" s="62">
        <f>+[7]Result!$G$49</f>
        <v>-157.35647391634504</v>
      </c>
      <c r="G278" s="62">
        <f>+[8]Result!$G$49</f>
        <v>-151.01195522577015</v>
      </c>
      <c r="H278" s="63">
        <f>+[9]Result!$G$49</f>
        <v>-155.74011653419811</v>
      </c>
      <c r="I278" s="62">
        <f>+[10]Result!$G$49</f>
        <v>-152.67181075812326</v>
      </c>
      <c r="J278" s="62">
        <f>+[11]Result!$G$49</f>
        <v>-148.93088869189177</v>
      </c>
      <c r="K278" s="63">
        <f>+[12]Result!$G$49</f>
        <v>-143.48601905209244</v>
      </c>
      <c r="L278" s="62">
        <f>+[13]Result!$G$49</f>
        <v>-143.36335714670588</v>
      </c>
      <c r="M278" s="62">
        <f>+[14]Result!$G$49</f>
        <v>-136.39936008010164</v>
      </c>
      <c r="N278" s="39"/>
    </row>
    <row r="279" spans="2:26" hidden="1" outlineLevel="2" x14ac:dyDescent="0.25">
      <c r="B279" s="17" t="s">
        <v>52</v>
      </c>
      <c r="C279" s="62">
        <f>+[1]Result!$G$50</f>
        <v>-83.937223544738487</v>
      </c>
      <c r="D279" s="62">
        <f>+[5]Result!$G$50</f>
        <v>-87.146496595085651</v>
      </c>
      <c r="E279" s="63">
        <f>+[6]Result!$G$50</f>
        <v>-81.809354666455619</v>
      </c>
      <c r="F279" s="62">
        <f>+[7]Result!$G$50</f>
        <v>-84.469544367206538</v>
      </c>
      <c r="G279" s="62">
        <f>+[8]Result!$G$50</f>
        <v>-81.060167275102231</v>
      </c>
      <c r="H279" s="63">
        <f>+[9]Result!$G$50</f>
        <v>-83.695256664884567</v>
      </c>
      <c r="I279" s="62">
        <f>+[10]Result!$G$50</f>
        <v>-82.063402017591187</v>
      </c>
      <c r="J279" s="62">
        <f>+[11]Result!$G$50</f>
        <v>-80.04339977221737</v>
      </c>
      <c r="K279" s="63">
        <f>+[12]Result!$G$50</f>
        <v>-76.32321706040976</v>
      </c>
      <c r="L279" s="62">
        <f>+[13]Result!$G$50</f>
        <v>-76.256507949707384</v>
      </c>
      <c r="M279" s="62">
        <f>+[14]Result!$G$50</f>
        <v>-72.550614208402848</v>
      </c>
      <c r="N279" s="39"/>
    </row>
    <row r="280" spans="2:26" hidden="1" outlineLevel="2" x14ac:dyDescent="0.25">
      <c r="B280" s="17" t="s">
        <v>53</v>
      </c>
      <c r="C280" s="62">
        <f>+[1]Result!$G$51</f>
        <v>-42.911704359627571</v>
      </c>
      <c r="D280" s="62">
        <f>+[5]Result!$G$51</f>
        <v>-44.549190290710008</v>
      </c>
      <c r="E280" s="63">
        <f>+[6]Result!$G$51</f>
        <v>-41.918943734050927</v>
      </c>
      <c r="F280" s="62">
        <f>+[7]Result!$G$51</f>
        <v>-43.283162040803198</v>
      </c>
      <c r="G280" s="62">
        <f>+[8]Result!$G$51</f>
        <v>-41.526696575909952</v>
      </c>
      <c r="H280" s="63">
        <f>+[9]Result!$G$51</f>
        <v>-43.351064585926466</v>
      </c>
      <c r="I280" s="62">
        <f>+[10]Result!$G$51</f>
        <v>-42.506665457378503</v>
      </c>
      <c r="J280" s="62">
        <f>+[11]Result!$G$51</f>
        <v>-41.456030998291681</v>
      </c>
      <c r="K280" s="63">
        <f>+[12]Result!$G$51</f>
        <v>-38.925717877067939</v>
      </c>
      <c r="L280" s="62">
        <f>+[13]Result!$G$51</f>
        <v>-38.890949568557524</v>
      </c>
      <c r="M280" s="62">
        <f>+[14]Result!$G$51</f>
        <v>-36.993530559884057</v>
      </c>
      <c r="N280" s="39"/>
    </row>
    <row r="281" spans="2:26" hidden="1" outlineLevel="2" x14ac:dyDescent="0.25">
      <c r="B281" s="17" t="s">
        <v>54</v>
      </c>
      <c r="C281" s="62">
        <f>+[1]Result!$G$52</f>
        <v>-19.10720943208759</v>
      </c>
      <c r="D281" s="62">
        <f>+[5]Result!$G$52</f>
        <v>-19.833959605434305</v>
      </c>
      <c r="E281" s="63">
        <f>+[6]Result!$G$52</f>
        <v>-18.070275093211801</v>
      </c>
      <c r="F281" s="62">
        <f>+[7]Result!$G$52</f>
        <v>-18.662620750234034</v>
      </c>
      <c r="G281" s="62">
        <f>+[8]Result!$G$52</f>
        <v>-17.901631359955974</v>
      </c>
      <c r="H281" s="63">
        <f>+[9]Result!$G$52</f>
        <v>-19.273237338945108</v>
      </c>
      <c r="I281" s="62">
        <f>+[10]Result!$G$52</f>
        <v>-18.894125414124971</v>
      </c>
      <c r="J281" s="62">
        <f>+[11]Result!$G$52</f>
        <v>-18.429880001382667</v>
      </c>
      <c r="K281" s="63">
        <f>+[12]Result!$G$52</f>
        <v>-17.12823716277008</v>
      </c>
      <c r="L281" s="62">
        <f>+[13]Result!$G$52</f>
        <v>-17.112610110344228</v>
      </c>
      <c r="M281" s="62">
        <f>+[14]Result!$G$52</f>
        <v>-16.278755389353336</v>
      </c>
      <c r="N281" s="39"/>
    </row>
    <row r="282" spans="2:26" hidden="1" outlineLevel="2" x14ac:dyDescent="0.25">
      <c r="B282" s="17" t="s">
        <v>55</v>
      </c>
      <c r="C282" s="62">
        <f>+[1]Result!$G$53</f>
        <v>-6.9426335865552913</v>
      </c>
      <c r="D282" s="62">
        <f>+[5]Result!$G$53</f>
        <v>-7.2072966274158174</v>
      </c>
      <c r="E282" s="63">
        <f>+[6]Result!$G$53</f>
        <v>-6.3956200506690886</v>
      </c>
      <c r="F282" s="62">
        <f>+[7]Result!$G$53</f>
        <v>-6.6051250345913299</v>
      </c>
      <c r="G282" s="62">
        <f>+[8]Result!$G$53</f>
        <v>-6.3361800639507528</v>
      </c>
      <c r="H282" s="63">
        <f>+[9]Result!$G$53</f>
        <v>-6.5059634784094369</v>
      </c>
      <c r="I282" s="62">
        <f>+[10]Result!$G$53</f>
        <v>-6.3783007429866174</v>
      </c>
      <c r="J282" s="62">
        <f>+[11]Result!$G$53</f>
        <v>-6.2197934371309485</v>
      </c>
      <c r="K282" s="63">
        <f>+[12]Result!$G$53</f>
        <v>-5.6601314790329837</v>
      </c>
      <c r="L282" s="62">
        <f>+[13]Result!$G$53</f>
        <v>-5.6548589509367995</v>
      </c>
      <c r="M282" s="62">
        <f>+[14]Result!$G$53</f>
        <v>-5.3786990633119514</v>
      </c>
      <c r="N282" s="39"/>
    </row>
    <row r="283" spans="2:26" hidden="1" outlineLevel="2" x14ac:dyDescent="0.25">
      <c r="B283" s="17" t="s">
        <v>56</v>
      </c>
      <c r="C283" s="62">
        <f>+[1]Result!$G$54</f>
        <v>-1.7807948399617073</v>
      </c>
      <c r="D283" s="62">
        <f>+[5]Result!$G$54</f>
        <v>-1.8487717620227389</v>
      </c>
      <c r="E283" s="63">
        <f>+[6]Result!$G$54</f>
        <v>-1.5312186322361376</v>
      </c>
      <c r="F283" s="62">
        <f>+[7]Result!$G$54</f>
        <v>-1.5809170131525101</v>
      </c>
      <c r="G283" s="62">
        <f>+[8]Result!$G$54</f>
        <v>-1.516696739466431</v>
      </c>
      <c r="H283" s="63">
        <f>+[9]Result!$G$54</f>
        <v>-1.641827328047182</v>
      </c>
      <c r="I283" s="62">
        <f>+[10]Result!$G$54</f>
        <v>-1.6097204003575807</v>
      </c>
      <c r="J283" s="62">
        <f>+[11]Result!$G$54</f>
        <v>-1.5696427711539469</v>
      </c>
      <c r="K283" s="63">
        <f>+[12]Result!$G$54</f>
        <v>-1.4153750574774764</v>
      </c>
      <c r="L283" s="62">
        <f>+[13]Result!$G$54</f>
        <v>-1.4140294814511465</v>
      </c>
      <c r="M283" s="62">
        <f>+[14]Result!$G$54</f>
        <v>-1.3445429724337883</v>
      </c>
      <c r="N283" s="39"/>
    </row>
    <row r="284" spans="2:26" collapsed="1" x14ac:dyDescent="0.25">
      <c r="B284" s="13" t="s">
        <v>61</v>
      </c>
      <c r="C284" s="62">
        <f>+SUM([1]Result!$H$5:$H$54)</f>
        <v>30797476.125103258</v>
      </c>
      <c r="D284" s="62">
        <f>+SUM([5]Result!$H$5:$H$54)</f>
        <v>29748295.65396722</v>
      </c>
      <c r="E284" s="63">
        <f>+SUM([6]Result!$H$5:$H$54)</f>
        <v>30851287.407091975</v>
      </c>
      <c r="F284" s="62">
        <f>+SUM([7]Result!$H$5:$H$54)</f>
        <v>28263424.438224647</v>
      </c>
      <c r="G284" s="62">
        <f>+SUM([8]Result!$H$5:$H$54)</f>
        <v>28658579.837469526</v>
      </c>
      <c r="H284" s="63">
        <f>+SUM([9]Result!$H$5:$H$54)</f>
        <v>29098468.245531339</v>
      </c>
      <c r="I284" s="62">
        <f>+SUM([10]Result!$H$5:$H$54)</f>
        <v>29899981.785666764</v>
      </c>
      <c r="J284" s="62">
        <f>+SUM([11]Result!$H$5:$H$54)</f>
        <v>29515844.239094481</v>
      </c>
      <c r="K284" s="63">
        <f>+SUM([12]Result!$H$5:$H$54)</f>
        <v>30899761.517769843</v>
      </c>
      <c r="L284" s="62">
        <f>+SUM([13]Result!$H$5:$H$54)</f>
        <v>30602136.527990453</v>
      </c>
      <c r="M284" s="62">
        <f>+SUM([14]Result!$H$5:$H$54)</f>
        <v>31041399.713026002</v>
      </c>
      <c r="N284" s="39"/>
      <c r="O284" s="14">
        <f>+C284-(C285+C291+C297+C308+C319)</f>
        <v>0</v>
      </c>
      <c r="P284" s="14">
        <f t="shared" ref="P284:R284" si="90">+D284-(D285+D291+D297+D308+D319)</f>
        <v>0</v>
      </c>
      <c r="Q284" s="14">
        <f t="shared" si="90"/>
        <v>0</v>
      </c>
      <c r="R284" s="14">
        <f t="shared" si="90"/>
        <v>0</v>
      </c>
      <c r="S284" s="14">
        <f t="shared" ref="S284" si="91">+G284-(G285+G291+G297+G308+G319)</f>
        <v>0</v>
      </c>
      <c r="T284" s="14">
        <f t="shared" ref="T284:Z284" si="92">+H284-(H285+H291+H297+H308+H319)</f>
        <v>0</v>
      </c>
      <c r="U284" s="14">
        <f t="shared" si="92"/>
        <v>0</v>
      </c>
      <c r="V284" s="14">
        <f t="shared" si="92"/>
        <v>0</v>
      </c>
      <c r="W284" s="14">
        <f t="shared" si="92"/>
        <v>0</v>
      </c>
      <c r="X284" s="14">
        <f t="shared" si="92"/>
        <v>0</v>
      </c>
      <c r="Y284" s="14">
        <f t="shared" si="92"/>
        <v>0</v>
      </c>
      <c r="Z284" s="14">
        <f t="shared" si="92"/>
        <v>0</v>
      </c>
    </row>
    <row r="285" spans="2:26" hidden="1" outlineLevel="1" x14ac:dyDescent="0.25">
      <c r="B285" s="16" t="s">
        <v>2</v>
      </c>
      <c r="C285" s="62" cm="1">
        <f t="array" ref="C285">+[1]!DELTA_UP_1_5</f>
        <v>16108722.390179269</v>
      </c>
      <c r="D285" s="62" cm="1">
        <f t="array" ref="D285">+[5]!DELTA_UP_1_5</f>
        <v>15184201.35982161</v>
      </c>
      <c r="E285" s="63" cm="1">
        <f t="array" ref="E285">+[6]!DELTA_UP_1_5</f>
        <v>16680061.407092109</v>
      </c>
      <c r="F285" s="62" cm="1">
        <f t="array" ref="F285">+[7]!DELTA_UP_1_5</f>
        <v>14564567.90241456</v>
      </c>
      <c r="G285" s="62" cm="1">
        <f t="array" ref="G285">+[8]!DELTA_UP_1_5</f>
        <v>14908589.295350529</v>
      </c>
      <c r="H285" s="63" cm="1">
        <f t="array" ref="H285">+[9]!DELTA_UP_1_5</f>
        <v>15201348.370422065</v>
      </c>
      <c r="I285" s="62" cm="1">
        <f t="array" ref="I285">+[10]!DELTA_UP_1_5</f>
        <v>15844670.196046941</v>
      </c>
      <c r="J285" s="62" cm="1">
        <f t="array" ref="J285">+[11]!DELTA_UP_1_5</f>
        <v>15586518.037436768</v>
      </c>
      <c r="K285" s="63" cm="1">
        <f t="array" ref="K285">+[12]!DELTA_UP_1_5</f>
        <v>16686773.182615489</v>
      </c>
      <c r="L285" s="62" cm="1">
        <f t="array" ref="L285">+[13]!DELTA_UP_1_5</f>
        <v>16496724.396236695</v>
      </c>
      <c r="M285" s="62" cm="1">
        <f t="array" ref="M285">+[14]!DELTA_UP_1_5</f>
        <v>16794127.356428385</v>
      </c>
      <c r="N285" s="39"/>
      <c r="O285" s="14">
        <f>+C285-SUM(C286:C290)</f>
        <v>0</v>
      </c>
      <c r="P285" s="14">
        <f t="shared" ref="P285:R285" si="93">+D285-SUM(D286:D290)</f>
        <v>0</v>
      </c>
      <c r="Q285" s="14">
        <f t="shared" si="93"/>
        <v>0</v>
      </c>
      <c r="R285" s="14">
        <f t="shared" si="93"/>
        <v>0</v>
      </c>
      <c r="S285" s="14">
        <f t="shared" ref="S285" si="94">+G285-SUM(G286:G290)</f>
        <v>0</v>
      </c>
      <c r="T285" s="14">
        <f t="shared" ref="T285:Z285" si="95">+H285-SUM(H286:H290)</f>
        <v>0</v>
      </c>
      <c r="U285" s="14">
        <f t="shared" si="95"/>
        <v>0</v>
      </c>
      <c r="V285" s="14">
        <f t="shared" si="95"/>
        <v>0</v>
      </c>
      <c r="W285" s="14">
        <f t="shared" si="95"/>
        <v>0</v>
      </c>
      <c r="X285" s="14">
        <f t="shared" si="95"/>
        <v>0</v>
      </c>
      <c r="Y285" s="14">
        <f t="shared" si="95"/>
        <v>0</v>
      </c>
      <c r="Z285" s="14">
        <f t="shared" si="95"/>
        <v>0</v>
      </c>
    </row>
    <row r="286" spans="2:26" hidden="1" outlineLevel="2" x14ac:dyDescent="0.25">
      <c r="B286" s="17" t="s">
        <v>3</v>
      </c>
      <c r="C286" s="62">
        <f>+[1]Result!$H$5</f>
        <v>3101570.1447225213</v>
      </c>
      <c r="D286" s="62">
        <f>+[5]Result!$H$5</f>
        <v>2904552.497939527</v>
      </c>
      <c r="E286" s="63">
        <f>+[6]Result!$H$5</f>
        <v>2919123.8676237464</v>
      </c>
      <c r="F286" s="62">
        <f>+[7]Result!$H$5</f>
        <v>2549174.7226610184</v>
      </c>
      <c r="G286" s="62">
        <f>+[8]Result!$H$5</f>
        <v>2571585.4380171299</v>
      </c>
      <c r="H286" s="63">
        <f>+[9]Result!$H$5</f>
        <v>2367367.0093433857</v>
      </c>
      <c r="I286" s="62">
        <f>+[10]Result!$H$5</f>
        <v>2448354.8380762339</v>
      </c>
      <c r="J286" s="62">
        <f>+[11]Result!$H$5</f>
        <v>2438271.1602314711</v>
      </c>
      <c r="K286" s="63">
        <f>+[12]Result!$H$5</f>
        <v>2376635.5689290762</v>
      </c>
      <c r="L286" s="62">
        <f>+[13]Result!$H$5</f>
        <v>2383025.0881718993</v>
      </c>
      <c r="M286" s="62">
        <f>+[14]Result!$H$5</f>
        <v>2395705.5858017206</v>
      </c>
      <c r="N286" s="39"/>
    </row>
    <row r="287" spans="2:26" hidden="1" outlineLevel="2" x14ac:dyDescent="0.25">
      <c r="B287" s="17" t="s">
        <v>4</v>
      </c>
      <c r="C287" s="62">
        <f>+[1]Result!$H$6</f>
        <v>4748153.6428276002</v>
      </c>
      <c r="D287" s="62">
        <f>+[5]Result!$H$6</f>
        <v>4475599.3706324399</v>
      </c>
      <c r="E287" s="63">
        <f>+[6]Result!$H$6</f>
        <v>5384156.7871502042</v>
      </c>
      <c r="F287" s="62">
        <f>+[7]Result!$H$6</f>
        <v>4669729.7603770196</v>
      </c>
      <c r="G287" s="62">
        <f>+[8]Result!$H$6</f>
        <v>4769868.5842484236</v>
      </c>
      <c r="H287" s="63">
        <f>+[9]Result!$H$6</f>
        <v>5004878.7490088046</v>
      </c>
      <c r="I287" s="62">
        <f>+[10]Result!$H$6</f>
        <v>5220885.4812315702</v>
      </c>
      <c r="J287" s="62">
        <f>+[11]Result!$H$6</f>
        <v>5149623.4355504215</v>
      </c>
      <c r="K287" s="63">
        <f>+[12]Result!$H$6</f>
        <v>5553809.75019297</v>
      </c>
      <c r="L287" s="62">
        <f>+[13]Result!$H$6</f>
        <v>5506971.7034403384</v>
      </c>
      <c r="M287" s="62">
        <f>+[14]Result!$H$6</f>
        <v>5587508.1444502771</v>
      </c>
      <c r="N287" s="39"/>
    </row>
    <row r="288" spans="2:26" hidden="1" outlineLevel="2" x14ac:dyDescent="0.25">
      <c r="B288" s="17" t="s">
        <v>5</v>
      </c>
      <c r="C288" s="62">
        <f>+[1]Result!$H$7</f>
        <v>3587080.8298359513</v>
      </c>
      <c r="D288" s="62">
        <f>+[5]Result!$H$7</f>
        <v>3379770.2759016603</v>
      </c>
      <c r="E288" s="63">
        <f>+[6]Result!$H$7</f>
        <v>3560484.8137623817</v>
      </c>
      <c r="F288" s="62">
        <f>+[7]Result!$H$7</f>
        <v>3096608.9078686833</v>
      </c>
      <c r="G288" s="62">
        <f>+[8]Result!$H$7</f>
        <v>3187694.9364826232</v>
      </c>
      <c r="H288" s="63">
        <f>+[9]Result!$H$7</f>
        <v>3279792.195862636</v>
      </c>
      <c r="I288" s="62">
        <f>+[10]Result!$H$7</f>
        <v>3435910.2027856708</v>
      </c>
      <c r="J288" s="62">
        <f>+[11]Result!$H$7</f>
        <v>3360212.9732726216</v>
      </c>
      <c r="K288" s="63">
        <f>+[12]Result!$H$7</f>
        <v>3789567.3761935085</v>
      </c>
      <c r="L288" s="62">
        <f>+[13]Result!$H$7</f>
        <v>3730007.7660779655</v>
      </c>
      <c r="M288" s="62">
        <f>+[14]Result!$H$7</f>
        <v>3807638.7661937326</v>
      </c>
      <c r="N288" s="39"/>
    </row>
    <row r="289" spans="2:26" hidden="1" outlineLevel="2" x14ac:dyDescent="0.25">
      <c r="B289" s="17" t="s">
        <v>6</v>
      </c>
      <c r="C289" s="62">
        <f>+[1]Result!$H$8</f>
        <v>2527368.894301258</v>
      </c>
      <c r="D289" s="62">
        <f>+[5]Result!$H$8</f>
        <v>2387938.2968267053</v>
      </c>
      <c r="E289" s="63">
        <f>+[6]Result!$H$8</f>
        <v>2610674.6878087744</v>
      </c>
      <c r="F289" s="62">
        <f>+[7]Result!$H$8</f>
        <v>2293700.0334996581</v>
      </c>
      <c r="G289" s="62">
        <f>+[8]Result!$H$8</f>
        <v>2364467.2400123402</v>
      </c>
      <c r="H289" s="63">
        <f>+[9]Result!$H$8</f>
        <v>2453796.5775612071</v>
      </c>
      <c r="I289" s="62">
        <f>+[10]Result!$H$8</f>
        <v>2561754.5266979709</v>
      </c>
      <c r="J289" s="62">
        <f>+[11]Result!$H$8</f>
        <v>2503326.532891117</v>
      </c>
      <c r="K289" s="63">
        <f>+[12]Result!$H$8</f>
        <v>2713926.8541209102</v>
      </c>
      <c r="L289" s="62">
        <f>+[13]Result!$H$8</f>
        <v>2665648.8410893679</v>
      </c>
      <c r="M289" s="62">
        <f>+[14]Result!$H$8</f>
        <v>2730254.1674631834</v>
      </c>
      <c r="N289" s="39"/>
    </row>
    <row r="290" spans="2:26" hidden="1" outlineLevel="2" x14ac:dyDescent="0.25">
      <c r="B290" s="17" t="s">
        <v>7</v>
      </c>
      <c r="C290" s="62">
        <f>+[1]Result!$H$9</f>
        <v>2144548.8784919381</v>
      </c>
      <c r="D290" s="62">
        <f>+[5]Result!$H$9</f>
        <v>2036340.9185212776</v>
      </c>
      <c r="E290" s="63">
        <f>+[6]Result!$H$9</f>
        <v>2205621.2507470027</v>
      </c>
      <c r="F290" s="62">
        <f>+[7]Result!$H$9</f>
        <v>1955354.4780081809</v>
      </c>
      <c r="G290" s="62">
        <f>+[8]Result!$H$9</f>
        <v>2014973.0965900123</v>
      </c>
      <c r="H290" s="63">
        <f>+[9]Result!$H$9</f>
        <v>2095513.8386460319</v>
      </c>
      <c r="I290" s="62">
        <f>+[10]Result!$H$9</f>
        <v>2177765.1472554952</v>
      </c>
      <c r="J290" s="62">
        <f>+[11]Result!$H$9</f>
        <v>2135083.9354911372</v>
      </c>
      <c r="K290" s="63">
        <f>+[12]Result!$H$9</f>
        <v>2252833.6331790239</v>
      </c>
      <c r="L290" s="62">
        <f>+[13]Result!$H$9</f>
        <v>2211070.9974571243</v>
      </c>
      <c r="M290" s="62">
        <f>+[14]Result!$H$9</f>
        <v>2273020.692519471</v>
      </c>
      <c r="N290" s="39"/>
    </row>
    <row r="291" spans="2:26" hidden="1" outlineLevel="1" collapsed="1" x14ac:dyDescent="0.25">
      <c r="B291" s="16" t="s">
        <v>8</v>
      </c>
      <c r="C291" s="62" cm="1">
        <f t="array" ref="C291">+[1]!DELTA_UP_6_10</f>
        <v>7289114.4345584959</v>
      </c>
      <c r="D291" s="62" cm="1">
        <f t="array" ref="D291">+[5]!DELTA_UP_6_10</f>
        <v>7061055.499787597</v>
      </c>
      <c r="E291" s="63" cm="1">
        <f t="array" ref="E291">+[6]!DELTA_UP_6_10</f>
        <v>7551102.6648101304</v>
      </c>
      <c r="F291" s="62" cm="1">
        <f t="array" ref="F291">+[7]!DELTA_UP_6_10</f>
        <v>6907198.0321612637</v>
      </c>
      <c r="G291" s="62" cm="1">
        <f t="array" ref="G291">+[8]!DELTA_UP_6_10</f>
        <v>7081729.670200862</v>
      </c>
      <c r="H291" s="63" cm="1">
        <f t="array" ref="H291">+[9]!DELTA_UP_6_10</f>
        <v>7352603.3528543487</v>
      </c>
      <c r="I291" s="62" cm="1">
        <f t="array" ref="I291">+[10]!DELTA_UP_6_10</f>
        <v>7558838.0360417124</v>
      </c>
      <c r="J291" s="62" cm="1">
        <f t="array" ref="J291">+[11]!DELTA_UP_6_10</f>
        <v>7478380.0918747652</v>
      </c>
      <c r="K291" s="63" cm="1">
        <f t="array" ref="K291">+[12]!DELTA_UP_6_10</f>
        <v>7616169.041415412</v>
      </c>
      <c r="L291" s="62" cm="1">
        <f t="array" ref="L291">+[13]!DELTA_UP_6_10</f>
        <v>7505777.8450095356</v>
      </c>
      <c r="M291" s="62" cm="1">
        <f t="array" ref="M291">+[14]!DELTA_UP_6_10</f>
        <v>7738421.1652438063</v>
      </c>
      <c r="N291" s="39"/>
      <c r="O291" s="14">
        <f>+C291-SUM(C292:C296)</f>
        <v>0</v>
      </c>
      <c r="P291" s="14">
        <f t="shared" ref="P291:R291" si="96">+D291-SUM(D292:D296)</f>
        <v>0</v>
      </c>
      <c r="Q291" s="14">
        <f t="shared" si="96"/>
        <v>0</v>
      </c>
      <c r="R291" s="14">
        <f t="shared" si="96"/>
        <v>0</v>
      </c>
      <c r="S291" s="14">
        <f t="shared" ref="S291" si="97">+G291-SUM(G292:G296)</f>
        <v>0</v>
      </c>
      <c r="T291" s="14">
        <f t="shared" ref="T291:Z291" si="98">+H291-SUM(H292:H296)</f>
        <v>0</v>
      </c>
      <c r="U291" s="14">
        <f t="shared" si="98"/>
        <v>0</v>
      </c>
      <c r="V291" s="14">
        <f t="shared" si="98"/>
        <v>0</v>
      </c>
      <c r="W291" s="14">
        <f t="shared" si="98"/>
        <v>0</v>
      </c>
      <c r="X291" s="14">
        <f t="shared" si="98"/>
        <v>0</v>
      </c>
      <c r="Y291" s="14">
        <f t="shared" si="98"/>
        <v>0</v>
      </c>
      <c r="Z291" s="14">
        <f t="shared" si="98"/>
        <v>0</v>
      </c>
    </row>
    <row r="292" spans="2:26" hidden="1" outlineLevel="2" x14ac:dyDescent="0.25">
      <c r="B292" s="17" t="s">
        <v>9</v>
      </c>
      <c r="C292" s="62">
        <f>+[1]Result!$H$10</f>
        <v>1919328.0184597932</v>
      </c>
      <c r="D292" s="62">
        <f>+[5]Result!$H$10</f>
        <v>1826463.3640527278</v>
      </c>
      <c r="E292" s="63">
        <f>+[6]Result!$H$10</f>
        <v>1986203.4392557405</v>
      </c>
      <c r="F292" s="62">
        <f>+[7]Result!$H$10</f>
        <v>1779647.3474184945</v>
      </c>
      <c r="G292" s="62">
        <f>+[8]Result!$H$10</f>
        <v>1831497.3345566578</v>
      </c>
      <c r="H292" s="63">
        <f>+[9]Result!$H$10</f>
        <v>1895093.4933827296</v>
      </c>
      <c r="I292" s="62">
        <f>+[10]Result!$H$10</f>
        <v>1960673.5467571169</v>
      </c>
      <c r="J292" s="62">
        <f>+[11]Result!$H$10</f>
        <v>1929019.1282685548</v>
      </c>
      <c r="K292" s="63">
        <f>+[12]Result!$H$10</f>
        <v>1993914.4375019893</v>
      </c>
      <c r="L292" s="62">
        <f>+[13]Result!$H$10</f>
        <v>1958541.5256130621</v>
      </c>
      <c r="M292" s="62">
        <f>+[14]Result!$H$10</f>
        <v>2018747.0799215585</v>
      </c>
      <c r="N292" s="39"/>
    </row>
    <row r="293" spans="2:26" hidden="1" outlineLevel="2" x14ac:dyDescent="0.25">
      <c r="B293" s="17" t="s">
        <v>10</v>
      </c>
      <c r="C293" s="62">
        <f>+[1]Result!$H$11</f>
        <v>1659034.5997451395</v>
      </c>
      <c r="D293" s="62">
        <f>+[5]Result!$H$11</f>
        <v>1587661.1095174849</v>
      </c>
      <c r="E293" s="63">
        <f>+[6]Result!$H$11</f>
        <v>1733938.2833071463</v>
      </c>
      <c r="F293" s="62">
        <f>+[7]Result!$H$11</f>
        <v>1573273.2106917836</v>
      </c>
      <c r="G293" s="62">
        <f>+[8]Result!$H$11</f>
        <v>1615985.5986759663</v>
      </c>
      <c r="H293" s="63">
        <f>+[9]Result!$H$11</f>
        <v>1679129.3772168905</v>
      </c>
      <c r="I293" s="62">
        <f>+[10]Result!$H$11</f>
        <v>1729008.1184588037</v>
      </c>
      <c r="J293" s="62">
        <f>+[11]Result!$H$11</f>
        <v>1707105.1577460803</v>
      </c>
      <c r="K293" s="63">
        <f>+[12]Result!$H$11</f>
        <v>1748841.6155860275</v>
      </c>
      <c r="L293" s="62">
        <f>+[13]Result!$H$11</f>
        <v>1721688.5330468789</v>
      </c>
      <c r="M293" s="62">
        <f>+[14]Result!$H$11</f>
        <v>1776023.4796924554</v>
      </c>
      <c r="N293" s="39"/>
    </row>
    <row r="294" spans="2:26" hidden="1" outlineLevel="2" x14ac:dyDescent="0.25">
      <c r="B294" s="17" t="s">
        <v>11</v>
      </c>
      <c r="C294" s="62">
        <f>+[1]Result!$H$12</f>
        <v>1422818.6929217055</v>
      </c>
      <c r="D294" s="62">
        <f>+[5]Result!$H$12</f>
        <v>1370382.635900408</v>
      </c>
      <c r="E294" s="63">
        <f>+[6]Result!$H$12</f>
        <v>1496681.9852150176</v>
      </c>
      <c r="F294" s="62">
        <f>+[7]Result!$H$12</f>
        <v>1373762.6271125823</v>
      </c>
      <c r="G294" s="62">
        <f>+[8]Result!$H$12</f>
        <v>1408747.1169901863</v>
      </c>
      <c r="H294" s="63">
        <f>+[9]Result!$H$12</f>
        <v>1467677.6663705483</v>
      </c>
      <c r="I294" s="62">
        <f>+[10]Result!$H$12</f>
        <v>1506121.1812565997</v>
      </c>
      <c r="J294" s="62">
        <f>+[11]Result!$H$12</f>
        <v>1491678.5897196643</v>
      </c>
      <c r="K294" s="63">
        <f>+[12]Result!$H$12</f>
        <v>1517081.0338287465</v>
      </c>
      <c r="L294" s="62">
        <f>+[13]Result!$H$12</f>
        <v>1496915.6649294756</v>
      </c>
      <c r="M294" s="62">
        <f>+[14]Result!$H$12</f>
        <v>1543635.8592793494</v>
      </c>
      <c r="N294" s="39"/>
    </row>
    <row r="295" spans="2:26" hidden="1" outlineLevel="2" x14ac:dyDescent="0.25">
      <c r="B295" s="17" t="s">
        <v>12</v>
      </c>
      <c r="C295" s="62">
        <f>+[1]Result!$H$13</f>
        <v>1197565.7152973469</v>
      </c>
      <c r="D295" s="62">
        <f>+[5]Result!$H$13</f>
        <v>1178461.2565983888</v>
      </c>
      <c r="E295" s="63">
        <f>+[6]Result!$H$13</f>
        <v>1219977.5232489854</v>
      </c>
      <c r="F295" s="62">
        <f>+[7]Result!$H$13</f>
        <v>1130919.0704943687</v>
      </c>
      <c r="G295" s="62">
        <f>+[8]Result!$H$13</f>
        <v>1158326.3576820344</v>
      </c>
      <c r="H295" s="63">
        <f>+[9]Result!$H$13</f>
        <v>1196534.671854537</v>
      </c>
      <c r="I295" s="62">
        <f>+[10]Result!$H$13</f>
        <v>1224178.8070116099</v>
      </c>
      <c r="J295" s="62">
        <f>+[11]Result!$H$13</f>
        <v>1216026.359583728</v>
      </c>
      <c r="K295" s="63">
        <f>+[12]Result!$H$13</f>
        <v>1225208.7340304814</v>
      </c>
      <c r="L295" s="62">
        <f>+[13]Result!$H$13</f>
        <v>1210202.3906618282</v>
      </c>
      <c r="M295" s="62">
        <f>+[14]Result!$H$13</f>
        <v>1247251.4803337622</v>
      </c>
      <c r="N295" s="39"/>
    </row>
    <row r="296" spans="2:26" hidden="1" outlineLevel="2" x14ac:dyDescent="0.25">
      <c r="B296" s="17" t="s">
        <v>13</v>
      </c>
      <c r="C296" s="62">
        <f>+[1]Result!$H$14</f>
        <v>1090367.4081345107</v>
      </c>
      <c r="D296" s="62">
        <f>+[5]Result!$H$14</f>
        <v>1098087.1337185875</v>
      </c>
      <c r="E296" s="63">
        <f>+[6]Result!$H$14</f>
        <v>1114301.4337832406</v>
      </c>
      <c r="F296" s="62">
        <f>+[7]Result!$H$14</f>
        <v>1049595.7764440347</v>
      </c>
      <c r="G296" s="62">
        <f>+[8]Result!$H$14</f>
        <v>1067173.2622960173</v>
      </c>
      <c r="H296" s="63">
        <f>+[9]Result!$H$14</f>
        <v>1114168.1440296434</v>
      </c>
      <c r="I296" s="62">
        <f>+[10]Result!$H$14</f>
        <v>1138856.3825575821</v>
      </c>
      <c r="J296" s="62">
        <f>+[11]Result!$H$14</f>
        <v>1134550.8565567378</v>
      </c>
      <c r="K296" s="63">
        <f>+[12]Result!$H$14</f>
        <v>1131123.2204681672</v>
      </c>
      <c r="L296" s="62">
        <f>+[13]Result!$H$14</f>
        <v>1118429.7307582907</v>
      </c>
      <c r="M296" s="62">
        <f>+[14]Result!$H$14</f>
        <v>1152763.2660166807</v>
      </c>
      <c r="N296" s="39"/>
    </row>
    <row r="297" spans="2:26" hidden="1" outlineLevel="1" collapsed="1" x14ac:dyDescent="0.25">
      <c r="B297" s="16" t="s">
        <v>14</v>
      </c>
      <c r="C297" s="62" cm="1">
        <f t="array" ref="C297">+[1]!DELTA_UP_11_20</f>
        <v>5722985.7076873761</v>
      </c>
      <c r="D297" s="62" cm="1">
        <f t="array" ref="D297">+[5]!DELTA_UP_11_20</f>
        <v>5786017.3827654831</v>
      </c>
      <c r="E297" s="63" cm="1">
        <f t="array" ref="E297">+[6]!DELTA_UP_11_20</f>
        <v>5098646.5224097585</v>
      </c>
      <c r="F297" s="62" cm="1">
        <f t="array" ref="F297">+[7]!DELTA_UP_11_20</f>
        <v>5212464.0864097308</v>
      </c>
      <c r="G297" s="62" cm="1">
        <f t="array" ref="G297">+[8]!DELTA_UP_11_20</f>
        <v>5142087.170922121</v>
      </c>
      <c r="H297" s="63" cm="1">
        <f t="array" ref="H297">+[9]!DELTA_UP_11_20</f>
        <v>5068957.0557615235</v>
      </c>
      <c r="I297" s="62" cm="1">
        <f t="array" ref="I297">+[10]!DELTA_UP_11_20</f>
        <v>5047917.7026512651</v>
      </c>
      <c r="J297" s="62" cm="1">
        <f t="array" ref="J297">+[11]!DELTA_UP_11_20</f>
        <v>5028009.4253039062</v>
      </c>
      <c r="K297" s="63" cm="1">
        <f t="array" ref="K297">+[12]!DELTA_UP_11_20</f>
        <v>5080110.126680783</v>
      </c>
      <c r="L297" s="62" cm="1">
        <f t="array" ref="L297">+[13]!DELTA_UP_11_20</f>
        <v>5081561.5884191915</v>
      </c>
      <c r="M297" s="62" cm="1">
        <f t="array" ref="M297">+[14]!DELTA_UP_11_20</f>
        <v>5050816.7191002034</v>
      </c>
      <c r="N297" s="39"/>
      <c r="O297" s="14">
        <f>+C297-SUM(C298:C307)</f>
        <v>0</v>
      </c>
      <c r="P297" s="14">
        <f t="shared" ref="P297:R297" si="99">+D297-SUM(D298:D307)</f>
        <v>0</v>
      </c>
      <c r="Q297" s="14">
        <f t="shared" si="99"/>
        <v>0</v>
      </c>
      <c r="R297" s="14">
        <f t="shared" si="99"/>
        <v>0</v>
      </c>
      <c r="S297" s="14">
        <f t="shared" ref="S297" si="100">+G297-SUM(G298:G307)</f>
        <v>0</v>
      </c>
      <c r="T297" s="14">
        <f t="shared" ref="T297:Z297" si="101">+H297-SUM(H298:H307)</f>
        <v>0</v>
      </c>
      <c r="U297" s="14">
        <f t="shared" si="101"/>
        <v>0</v>
      </c>
      <c r="V297" s="14">
        <f t="shared" si="101"/>
        <v>0</v>
      </c>
      <c r="W297" s="14">
        <f t="shared" si="101"/>
        <v>0</v>
      </c>
      <c r="X297" s="14">
        <f t="shared" si="101"/>
        <v>0</v>
      </c>
      <c r="Y297" s="14">
        <f t="shared" si="101"/>
        <v>0</v>
      </c>
      <c r="Z297" s="14">
        <f t="shared" si="101"/>
        <v>0</v>
      </c>
    </row>
    <row r="298" spans="2:26" hidden="1" outlineLevel="2" x14ac:dyDescent="0.25">
      <c r="B298" s="17" t="s">
        <v>15</v>
      </c>
      <c r="C298" s="62">
        <f>+[1]Result!$H$15</f>
        <v>943421.57786569931</v>
      </c>
      <c r="D298" s="62">
        <f>+[5]Result!$H$15</f>
        <v>953782.04065486789</v>
      </c>
      <c r="E298" s="63">
        <f>+[6]Result!$H$15</f>
        <v>902016.54910514038</v>
      </c>
      <c r="F298" s="62">
        <f>+[7]Result!$H$15</f>
        <v>883503.60358556826</v>
      </c>
      <c r="G298" s="62">
        <f>+[8]Result!$H$15</f>
        <v>883650.93917405978</v>
      </c>
      <c r="H298" s="63">
        <f>+[9]Result!$H$15</f>
        <v>903479.32150776312</v>
      </c>
      <c r="I298" s="62">
        <f>+[10]Result!$H$15</f>
        <v>922324.53040904179</v>
      </c>
      <c r="J298" s="62">
        <f>+[11]Result!$H$15</f>
        <v>921805.71118265018</v>
      </c>
      <c r="K298" s="63">
        <f>+[12]Result!$H$15</f>
        <v>922664.87090579979</v>
      </c>
      <c r="L298" s="62">
        <f>+[13]Result!$H$15</f>
        <v>913523.4841342466</v>
      </c>
      <c r="M298" s="62">
        <f>+[14]Result!$H$15</f>
        <v>940832.99659137055</v>
      </c>
      <c r="N298" s="39"/>
    </row>
    <row r="299" spans="2:26" hidden="1" outlineLevel="2" x14ac:dyDescent="0.25">
      <c r="B299" s="17" t="s">
        <v>16</v>
      </c>
      <c r="C299" s="62">
        <f>+[1]Result!$H$16</f>
        <v>755623.43603313435</v>
      </c>
      <c r="D299" s="62">
        <f>+[5]Result!$H$16</f>
        <v>763334.44547341764</v>
      </c>
      <c r="E299" s="63">
        <f>+[6]Result!$H$16</f>
        <v>665807.93714288995</v>
      </c>
      <c r="F299" s="62">
        <f>+[7]Result!$H$16</f>
        <v>677553.00796180032</v>
      </c>
      <c r="G299" s="62">
        <f>+[8]Result!$H$16</f>
        <v>670615.80035348702</v>
      </c>
      <c r="H299" s="63">
        <f>+[9]Result!$H$16</f>
        <v>664576.94462423958</v>
      </c>
      <c r="I299" s="62">
        <f>+[10]Result!$H$16</f>
        <v>667796.11911138054</v>
      </c>
      <c r="J299" s="62">
        <f>+[11]Result!$H$16</f>
        <v>668451.92655545473</v>
      </c>
      <c r="K299" s="63">
        <f>+[12]Result!$H$16</f>
        <v>673308.18804545235</v>
      </c>
      <c r="L299" s="62">
        <f>+[13]Result!$H$16</f>
        <v>671593.60424313787</v>
      </c>
      <c r="M299" s="62">
        <f>+[14]Result!$H$16</f>
        <v>686829.06740211602</v>
      </c>
      <c r="N299" s="39"/>
    </row>
    <row r="300" spans="2:26" hidden="1" outlineLevel="2" x14ac:dyDescent="0.25">
      <c r="B300" s="17" t="s">
        <v>17</v>
      </c>
      <c r="C300" s="62">
        <f>+[1]Result!$H$17</f>
        <v>688323.73832061514</v>
      </c>
      <c r="D300" s="62">
        <f>+[5]Result!$H$17</f>
        <v>695490.91795754526</v>
      </c>
      <c r="E300" s="63">
        <f>+[6]Result!$H$17</f>
        <v>599846.74575951323</v>
      </c>
      <c r="F300" s="62">
        <f>+[7]Result!$H$17</f>
        <v>617269.15829302371</v>
      </c>
      <c r="G300" s="62">
        <f>+[8]Result!$H$17</f>
        <v>610050.97701034602</v>
      </c>
      <c r="H300" s="63">
        <f>+[9]Result!$H$17</f>
        <v>600151.0182077894</v>
      </c>
      <c r="I300" s="62">
        <f>+[10]Result!$H$17</f>
        <v>594995.28526088595</v>
      </c>
      <c r="J300" s="62">
        <f>+[11]Result!$H$17</f>
        <v>594268.46526258066</v>
      </c>
      <c r="K300" s="63">
        <f>+[12]Result!$H$17</f>
        <v>597419.42215511017</v>
      </c>
      <c r="L300" s="62">
        <f>+[13]Result!$H$17</f>
        <v>599881.384205929</v>
      </c>
      <c r="M300" s="62">
        <f>+[14]Result!$H$17</f>
        <v>599496.73643947765</v>
      </c>
      <c r="N300" s="39"/>
    </row>
    <row r="301" spans="2:26" hidden="1" outlineLevel="2" x14ac:dyDescent="0.25">
      <c r="B301" s="17" t="s">
        <v>18</v>
      </c>
      <c r="C301" s="62">
        <f>+[1]Result!$H$18</f>
        <v>633615.3911214564</v>
      </c>
      <c r="D301" s="62">
        <f>+[5]Result!$H$18</f>
        <v>640781.71981470287</v>
      </c>
      <c r="E301" s="63">
        <f>+[6]Result!$H$18</f>
        <v>554559.92304901779</v>
      </c>
      <c r="F301" s="62">
        <f>+[7]Result!$H$18</f>
        <v>571343.66949699912</v>
      </c>
      <c r="G301" s="62">
        <f>+[8]Result!$H$18</f>
        <v>563693.76794035314</v>
      </c>
      <c r="H301" s="63">
        <f>+[9]Result!$H$18</f>
        <v>556806.13711025752</v>
      </c>
      <c r="I301" s="62">
        <f>+[10]Result!$H$18</f>
        <v>551614.25753309764</v>
      </c>
      <c r="J301" s="62">
        <f>+[11]Result!$H$18</f>
        <v>549626.88266820367</v>
      </c>
      <c r="K301" s="63">
        <f>+[12]Result!$H$18</f>
        <v>554147.15673276549</v>
      </c>
      <c r="L301" s="62">
        <f>+[13]Result!$H$18</f>
        <v>556406.17235039454</v>
      </c>
      <c r="M301" s="62">
        <f>+[14]Result!$H$18</f>
        <v>546055.48536946438</v>
      </c>
      <c r="N301" s="39"/>
    </row>
    <row r="302" spans="2:26" hidden="1" outlineLevel="2" x14ac:dyDescent="0.25">
      <c r="B302" s="17" t="s">
        <v>19</v>
      </c>
      <c r="C302" s="62">
        <f>+[1]Result!$H$19</f>
        <v>598532.09252584679</v>
      </c>
      <c r="D302" s="62">
        <f>+[5]Result!$H$19</f>
        <v>606311.85424632113</v>
      </c>
      <c r="E302" s="63">
        <f>+[6]Result!$H$19</f>
        <v>526252.48885096237</v>
      </c>
      <c r="F302" s="62">
        <f>+[7]Result!$H$19</f>
        <v>542724.86391893541</v>
      </c>
      <c r="G302" s="62">
        <f>+[8]Result!$H$19</f>
        <v>534485.34077001875</v>
      </c>
      <c r="H302" s="63">
        <f>+[9]Result!$H$19</f>
        <v>523339.4791844259</v>
      </c>
      <c r="I302" s="62">
        <f>+[10]Result!$H$19</f>
        <v>517575.51981292199</v>
      </c>
      <c r="J302" s="62">
        <f>+[11]Result!$H$19</f>
        <v>515205.07051459188</v>
      </c>
      <c r="K302" s="63">
        <f>+[12]Result!$H$19</f>
        <v>515898.99426347902</v>
      </c>
      <c r="L302" s="62">
        <f>+[13]Result!$H$19</f>
        <v>517950.45660158386</v>
      </c>
      <c r="M302" s="62">
        <f>+[14]Result!$H$19</f>
        <v>506971.09113235725</v>
      </c>
      <c r="N302" s="39"/>
    </row>
    <row r="303" spans="2:26" hidden="1" outlineLevel="2" x14ac:dyDescent="0.25">
      <c r="B303" s="17" t="s">
        <v>20</v>
      </c>
      <c r="C303" s="62">
        <f>+[1]Result!$H$20</f>
        <v>532071.34730719216</v>
      </c>
      <c r="D303" s="62">
        <f>+[5]Result!$H$20</f>
        <v>539096.19944022084</v>
      </c>
      <c r="E303" s="63">
        <f>+[6]Result!$H$20</f>
        <v>466971.25171934115</v>
      </c>
      <c r="F303" s="62">
        <f>+[7]Result!$H$20</f>
        <v>482485.3730357592</v>
      </c>
      <c r="G303" s="62">
        <f>+[8]Result!$H$20</f>
        <v>474234.31342226313</v>
      </c>
      <c r="H303" s="63">
        <f>+[9]Result!$H$20</f>
        <v>461087.0613753302</v>
      </c>
      <c r="I303" s="62">
        <f>+[10]Result!$H$20</f>
        <v>455182.53686797107</v>
      </c>
      <c r="J303" s="62">
        <f>+[11]Result!$H$20</f>
        <v>452634.37007061439</v>
      </c>
      <c r="K303" s="63">
        <f>+[12]Result!$H$20</f>
        <v>455758.22499019094</v>
      </c>
      <c r="L303" s="62">
        <f>+[13]Result!$H$20</f>
        <v>457429.94591909926</v>
      </c>
      <c r="M303" s="62">
        <f>+[14]Result!$H$20</f>
        <v>446447.28486060817</v>
      </c>
      <c r="N303" s="39"/>
    </row>
    <row r="304" spans="2:26" hidden="1" outlineLevel="2" x14ac:dyDescent="0.25">
      <c r="B304" s="17" t="s">
        <v>21</v>
      </c>
      <c r="C304" s="62">
        <f>+[1]Result!$H$21</f>
        <v>471387.27677469328</v>
      </c>
      <c r="D304" s="62">
        <f>+[5]Result!$H$21</f>
        <v>476761.86140018795</v>
      </c>
      <c r="E304" s="63">
        <f>+[6]Result!$H$21</f>
        <v>412485.43021518318</v>
      </c>
      <c r="F304" s="62">
        <f>+[7]Result!$H$21</f>
        <v>427435.86984843761</v>
      </c>
      <c r="G304" s="62">
        <f>+[8]Result!$H$21</f>
        <v>419190.1781520131</v>
      </c>
      <c r="H304" s="63">
        <f>+[9]Result!$H$21</f>
        <v>406402.12361909449</v>
      </c>
      <c r="I304" s="62">
        <f>+[10]Result!$H$21</f>
        <v>400617.2057181946</v>
      </c>
      <c r="J304" s="62">
        <f>+[11]Result!$H$21</f>
        <v>397800.42922490695</v>
      </c>
      <c r="K304" s="63">
        <f>+[12]Result!$H$21</f>
        <v>402757.38429621002</v>
      </c>
      <c r="L304" s="62">
        <f>+[13]Result!$H$21</f>
        <v>404086.16541837342</v>
      </c>
      <c r="M304" s="62">
        <f>+[14]Result!$H$21</f>
        <v>393309.19272496086</v>
      </c>
      <c r="N304" s="39"/>
    </row>
    <row r="305" spans="2:26" hidden="1" outlineLevel="2" x14ac:dyDescent="0.25">
      <c r="B305" s="17" t="s">
        <v>22</v>
      </c>
      <c r="C305" s="62">
        <f>+[1]Result!$H$22</f>
        <v>411152.34191145282</v>
      </c>
      <c r="D305" s="62">
        <f>+[5]Result!$H$22</f>
        <v>414960.54527749727</v>
      </c>
      <c r="E305" s="63">
        <f>+[6]Result!$H$22</f>
        <v>360610.84242302924</v>
      </c>
      <c r="F305" s="62">
        <f>+[7]Result!$H$22</f>
        <v>374771.65411244519</v>
      </c>
      <c r="G305" s="62">
        <f>+[8]Result!$H$22</f>
        <v>366707.08091742336</v>
      </c>
      <c r="H305" s="63">
        <f>+[9]Result!$H$22</f>
        <v>354551.08632290177</v>
      </c>
      <c r="I305" s="62">
        <f>+[10]Result!$H$22</f>
        <v>349096.2152004505</v>
      </c>
      <c r="J305" s="62">
        <f>+[11]Result!$H$22</f>
        <v>346068.8810006713</v>
      </c>
      <c r="K305" s="63">
        <f>+[12]Result!$H$22</f>
        <v>354776.53889546427</v>
      </c>
      <c r="L305" s="62">
        <f>+[13]Result!$H$22</f>
        <v>355822.85277808551</v>
      </c>
      <c r="M305" s="62">
        <f>+[14]Result!$H$22</f>
        <v>345464.56597430841</v>
      </c>
      <c r="N305" s="39"/>
    </row>
    <row r="306" spans="2:26" hidden="1" outlineLevel="2" x14ac:dyDescent="0.25">
      <c r="B306" s="17" t="s">
        <v>23</v>
      </c>
      <c r="C306" s="62">
        <f>+[1]Result!$H$23</f>
        <v>358832.50062942365</v>
      </c>
      <c r="D306" s="62">
        <f>+[5]Result!$H$23</f>
        <v>361909.49292595917</v>
      </c>
      <c r="E306" s="63">
        <f>+[6]Result!$H$23</f>
        <v>318094.33103567548</v>
      </c>
      <c r="F306" s="62">
        <f>+[7]Result!$H$23</f>
        <v>331235.288269012</v>
      </c>
      <c r="G306" s="62">
        <f>+[8]Result!$H$23</f>
        <v>323327.74576988094</v>
      </c>
      <c r="H306" s="63">
        <f>+[9]Result!$H$23</f>
        <v>313691.31569290231</v>
      </c>
      <c r="I306" s="62">
        <f>+[10]Result!$H$23</f>
        <v>308608.95957502373</v>
      </c>
      <c r="J306" s="62">
        <f>+[11]Result!$H$23</f>
        <v>305415.70458462299</v>
      </c>
      <c r="K306" s="63">
        <f>+[12]Result!$H$23</f>
        <v>317340.1406064888</v>
      </c>
      <c r="L306" s="62">
        <f>+[13]Result!$H$23</f>
        <v>318177.70914691966</v>
      </c>
      <c r="M306" s="62">
        <f>+[14]Result!$H$23</f>
        <v>308221.79772531986</v>
      </c>
      <c r="N306" s="39"/>
    </row>
    <row r="307" spans="2:26" hidden="1" outlineLevel="2" x14ac:dyDescent="0.25">
      <c r="B307" s="17" t="s">
        <v>24</v>
      </c>
      <c r="C307" s="62">
        <f>+[1]Result!$H$24</f>
        <v>330026.00519786216</v>
      </c>
      <c r="D307" s="62">
        <f>+[5]Result!$H$24</f>
        <v>333588.30557476357</v>
      </c>
      <c r="E307" s="63">
        <f>+[6]Result!$H$24</f>
        <v>292001.023109006</v>
      </c>
      <c r="F307" s="62">
        <f>+[7]Result!$H$24</f>
        <v>304141.59788775002</v>
      </c>
      <c r="G307" s="62">
        <f>+[8]Result!$H$24</f>
        <v>296131.02741227532</v>
      </c>
      <c r="H307" s="63">
        <f>+[9]Result!$H$24</f>
        <v>284872.56811681879</v>
      </c>
      <c r="I307" s="62">
        <f>+[10]Result!$H$24</f>
        <v>280107.07316229749</v>
      </c>
      <c r="J307" s="62">
        <f>+[11]Result!$H$24</f>
        <v>276731.98423960968</v>
      </c>
      <c r="K307" s="63">
        <f>+[12]Result!$H$24</f>
        <v>286039.20578982215</v>
      </c>
      <c r="L307" s="62">
        <f>+[13]Result!$H$24</f>
        <v>286689.81362142088</v>
      </c>
      <c r="M307" s="62">
        <f>+[14]Result!$H$24</f>
        <v>277188.50088022021</v>
      </c>
      <c r="N307" s="39"/>
    </row>
    <row r="308" spans="2:26" hidden="1" outlineLevel="1" collapsed="1" x14ac:dyDescent="0.25">
      <c r="B308" s="16" t="s">
        <v>25</v>
      </c>
      <c r="C308" s="62" cm="1">
        <f t="array" ref="C308">+[1]!DELTA_UP_21_30</f>
        <v>1560305.4223436799</v>
      </c>
      <c r="D308" s="62" cm="1">
        <f t="array" ref="D308">+[5]!DELTA_UP_21_30</f>
        <v>1596471.3113198075</v>
      </c>
      <c r="E308" s="63" cm="1">
        <f t="array" ref="E308">+[6]!DELTA_UP_21_30</f>
        <v>1407780.4795309904</v>
      </c>
      <c r="F308" s="62" cm="1">
        <f t="array" ref="F308">+[7]!DELTA_UP_21_30</f>
        <v>1461574.9274950125</v>
      </c>
      <c r="G308" s="62" cm="1">
        <f t="array" ref="G308">+[8]!DELTA_UP_21_30</f>
        <v>1413256.6656182073</v>
      </c>
      <c r="H308" s="63" cm="1">
        <f t="array" ref="H308">+[9]!DELTA_UP_21_30</f>
        <v>1361421.8382961494</v>
      </c>
      <c r="I308" s="62" cm="1">
        <f t="array" ref="I308">+[10]!DELTA_UP_21_30</f>
        <v>1336676.9825076086</v>
      </c>
      <c r="J308" s="62" cm="1">
        <f t="array" ref="J308">+[11]!DELTA_UP_21_30</f>
        <v>1313657.6488800612</v>
      </c>
      <c r="K308" s="63" cm="1">
        <f t="array" ref="K308">+[12]!DELTA_UP_21_30</f>
        <v>1402513.6365597877</v>
      </c>
      <c r="L308" s="62" cm="1">
        <f t="array" ref="L308">+[13]!DELTA_UP_21_30</f>
        <v>1403915.8380181314</v>
      </c>
      <c r="M308" s="62" cm="1">
        <f t="array" ref="M308">+[14]!DELTA_UP_21_30</f>
        <v>1349190.6811019557</v>
      </c>
      <c r="N308" s="39"/>
      <c r="O308" s="14">
        <f>+C308-SUM(C309:C318)</f>
        <v>0</v>
      </c>
      <c r="P308" s="14">
        <f t="shared" ref="P308:R308" si="102">+D308-SUM(D309:D318)</f>
        <v>0</v>
      </c>
      <c r="Q308" s="14">
        <f t="shared" si="102"/>
        <v>0</v>
      </c>
      <c r="R308" s="14">
        <f t="shared" si="102"/>
        <v>0</v>
      </c>
      <c r="S308" s="14">
        <f t="shared" ref="S308" si="103">+G308-SUM(G309:G318)</f>
        <v>0</v>
      </c>
      <c r="T308" s="14">
        <f t="shared" ref="T308:Z308" si="104">+H308-SUM(H309:H318)</f>
        <v>0</v>
      </c>
      <c r="U308" s="14">
        <f t="shared" si="104"/>
        <v>0</v>
      </c>
      <c r="V308" s="14">
        <f t="shared" si="104"/>
        <v>0</v>
      </c>
      <c r="W308" s="14">
        <f t="shared" si="104"/>
        <v>0</v>
      </c>
      <c r="X308" s="14">
        <f t="shared" si="104"/>
        <v>0</v>
      </c>
      <c r="Y308" s="14">
        <f t="shared" si="104"/>
        <v>0</v>
      </c>
      <c r="Z308" s="14">
        <f t="shared" si="104"/>
        <v>0</v>
      </c>
    </row>
    <row r="309" spans="2:26" hidden="1" outlineLevel="2" x14ac:dyDescent="0.25">
      <c r="B309" s="17" t="s">
        <v>26</v>
      </c>
      <c r="C309" s="62">
        <f>+[1]Result!$H$25</f>
        <v>291593.31104388321</v>
      </c>
      <c r="D309" s="62">
        <f>+[5]Result!$H$25</f>
        <v>295880.3699897544</v>
      </c>
      <c r="E309" s="63">
        <f>+[6]Result!$H$25</f>
        <v>257961.31098638894</v>
      </c>
      <c r="F309" s="62">
        <f>+[7]Result!$H$25</f>
        <v>268438.08721245197</v>
      </c>
      <c r="G309" s="62">
        <f>+[8]Result!$H$25</f>
        <v>260785.67465605494</v>
      </c>
      <c r="H309" s="63">
        <f>+[9]Result!$H$25</f>
        <v>249446.36374019738</v>
      </c>
      <c r="I309" s="62">
        <f>+[10]Result!$H$25</f>
        <v>245174.0123704432</v>
      </c>
      <c r="J309" s="62">
        <f>+[11]Result!$H$25</f>
        <v>241827.1303656369</v>
      </c>
      <c r="K309" s="63">
        <f>+[12]Result!$H$25</f>
        <v>251516.11481160438</v>
      </c>
      <c r="L309" s="62">
        <f>+[13]Result!$H$25</f>
        <v>251985.94892833941</v>
      </c>
      <c r="M309" s="62">
        <f>+[14]Result!$H$25</f>
        <v>243209.594898524</v>
      </c>
      <c r="N309" s="39"/>
    </row>
    <row r="310" spans="2:26" hidden="1" outlineLevel="2" x14ac:dyDescent="0.25">
      <c r="B310" s="17" t="s">
        <v>27</v>
      </c>
      <c r="C310" s="62">
        <f>+[1]Result!$H$26</f>
        <v>255046.27333652694</v>
      </c>
      <c r="D310" s="62">
        <f>+[5]Result!$H$26</f>
        <v>259734.31422435772</v>
      </c>
      <c r="E310" s="63">
        <f>+[6]Result!$H$26</f>
        <v>225732.72075682913</v>
      </c>
      <c r="F310" s="62">
        <f>+[7]Result!$H$26</f>
        <v>234671.89469879109</v>
      </c>
      <c r="G310" s="62">
        <f>+[8]Result!$H$26</f>
        <v>227526.70547910477</v>
      </c>
      <c r="H310" s="63">
        <f>+[9]Result!$H$26</f>
        <v>216720.48810662027</v>
      </c>
      <c r="I310" s="62">
        <f>+[10]Result!$H$26</f>
        <v>212906.65937460086</v>
      </c>
      <c r="J310" s="62">
        <f>+[11]Result!$H$26</f>
        <v>209707.30233159685</v>
      </c>
      <c r="K310" s="63">
        <f>+[12]Result!$H$26</f>
        <v>219861.32298967603</v>
      </c>
      <c r="L310" s="62">
        <f>+[13]Result!$H$26</f>
        <v>220195.31088219269</v>
      </c>
      <c r="M310" s="62">
        <f>+[14]Result!$H$26</f>
        <v>212178.30427880597</v>
      </c>
      <c r="N310" s="39"/>
    </row>
    <row r="311" spans="2:26" hidden="1" outlineLevel="2" x14ac:dyDescent="0.25">
      <c r="B311" s="17" t="s">
        <v>28</v>
      </c>
      <c r="C311" s="62">
        <f>+[1]Result!$H$27</f>
        <v>220003.7066179259</v>
      </c>
      <c r="D311" s="62">
        <f>+[5]Result!$H$27</f>
        <v>224738.32919678814</v>
      </c>
      <c r="E311" s="63">
        <f>+[6]Result!$H$27</f>
        <v>195695.8548785256</v>
      </c>
      <c r="F311" s="62">
        <f>+[7]Result!$H$27</f>
        <v>203264.57210242748</v>
      </c>
      <c r="G311" s="62">
        <f>+[8]Result!$H$27</f>
        <v>196740.01355368365</v>
      </c>
      <c r="H311" s="63">
        <f>+[9]Result!$H$27</f>
        <v>187290.49421842967</v>
      </c>
      <c r="I311" s="62">
        <f>+[10]Result!$H$27</f>
        <v>183913.00474295288</v>
      </c>
      <c r="J311" s="62">
        <f>+[11]Result!$H$27</f>
        <v>180925.51716922724</v>
      </c>
      <c r="K311" s="63">
        <f>+[12]Result!$H$27</f>
        <v>192210.51503590588</v>
      </c>
      <c r="L311" s="62">
        <f>+[13]Result!$H$27</f>
        <v>192450.46265943418</v>
      </c>
      <c r="M311" s="62">
        <f>+[14]Result!$H$27</f>
        <v>185159.41926220478</v>
      </c>
      <c r="N311" s="39"/>
    </row>
    <row r="312" spans="2:26" hidden="1" outlineLevel="2" x14ac:dyDescent="0.25">
      <c r="B312" s="17" t="s">
        <v>29</v>
      </c>
      <c r="C312" s="62">
        <f>+[1]Result!$H$28</f>
        <v>189850.15735773672</v>
      </c>
      <c r="D312" s="62">
        <f>+[5]Result!$H$28</f>
        <v>194433.67477653117</v>
      </c>
      <c r="E312" s="63">
        <f>+[6]Result!$H$28</f>
        <v>170836.43233289826</v>
      </c>
      <c r="F312" s="62">
        <f>+[7]Result!$H$28</f>
        <v>177309.74750135711</v>
      </c>
      <c r="G312" s="62">
        <f>+[8]Result!$H$28</f>
        <v>171380.62004227738</v>
      </c>
      <c r="H312" s="63">
        <f>+[9]Result!$H$28</f>
        <v>165566.70150190196</v>
      </c>
      <c r="I312" s="62">
        <f>+[10]Result!$H$28</f>
        <v>162552.15751683759</v>
      </c>
      <c r="J312" s="62">
        <f>+[11]Result!$H$28</f>
        <v>159705.43925442779</v>
      </c>
      <c r="K312" s="63">
        <f>+[12]Result!$H$28</f>
        <v>171538.8164335402</v>
      </c>
      <c r="L312" s="62">
        <f>+[13]Result!$H$28</f>
        <v>171700.54979592212</v>
      </c>
      <c r="M312" s="62">
        <f>+[14]Result!$H$28</f>
        <v>164985.00189881783</v>
      </c>
      <c r="N312" s="39"/>
    </row>
    <row r="313" spans="2:26" hidden="1" outlineLevel="2" x14ac:dyDescent="0.25">
      <c r="B313" s="17" t="s">
        <v>30</v>
      </c>
      <c r="C313" s="62">
        <f>+[1]Result!$H$29</f>
        <v>168645.13205813547</v>
      </c>
      <c r="D313" s="62">
        <f>+[5]Result!$H$29</f>
        <v>173119.63380732597</v>
      </c>
      <c r="E313" s="63">
        <f>+[6]Result!$H$29</f>
        <v>152354.55417790345</v>
      </c>
      <c r="F313" s="62">
        <f>+[7]Result!$H$29</f>
        <v>158035.45286657708</v>
      </c>
      <c r="G313" s="62">
        <f>+[8]Result!$H$29</f>
        <v>152558.76994346129</v>
      </c>
      <c r="H313" s="63">
        <f>+[9]Result!$H$29</f>
        <v>146598.98243246472</v>
      </c>
      <c r="I313" s="62">
        <f>+[10]Result!$H$29</f>
        <v>143892.26478643296</v>
      </c>
      <c r="J313" s="62">
        <f>+[11]Result!$H$29</f>
        <v>141219.65179674095</v>
      </c>
      <c r="K313" s="63">
        <f>+[12]Result!$H$29</f>
        <v>149971.8735040559</v>
      </c>
      <c r="L313" s="62">
        <f>+[13]Result!$H$29</f>
        <v>150063.97324886813</v>
      </c>
      <c r="M313" s="62">
        <f>+[14]Result!$H$29</f>
        <v>144030.73250900232</v>
      </c>
      <c r="N313" s="39"/>
    </row>
    <row r="314" spans="2:26" hidden="1" outlineLevel="2" x14ac:dyDescent="0.25">
      <c r="B314" s="17" t="s">
        <v>31</v>
      </c>
      <c r="C314" s="62">
        <f>+[1]Result!$H$30</f>
        <v>135489.45784575574</v>
      </c>
      <c r="D314" s="62">
        <f>+[5]Result!$H$30</f>
        <v>139350.8537852061</v>
      </c>
      <c r="E314" s="63">
        <f>+[6]Result!$H$30</f>
        <v>122257.8526959673</v>
      </c>
      <c r="F314" s="62">
        <f>+[7]Result!$H$30</f>
        <v>126754.22382087877</v>
      </c>
      <c r="G314" s="62">
        <f>+[8]Result!$H$30</f>
        <v>122224.32319173659</v>
      </c>
      <c r="H314" s="63">
        <f>+[9]Result!$H$30</f>
        <v>116459.12152985181</v>
      </c>
      <c r="I314" s="62">
        <f>+[10]Result!$H$30</f>
        <v>114269.82696516614</v>
      </c>
      <c r="J314" s="62">
        <f>+[11]Result!$H$30</f>
        <v>112050.51101710956</v>
      </c>
      <c r="K314" s="63">
        <f>+[12]Result!$H$30</f>
        <v>120638.22092672443</v>
      </c>
      <c r="L314" s="62">
        <f>+[13]Result!$H$30</f>
        <v>120684.2928933769</v>
      </c>
      <c r="M314" s="62">
        <f>+[14]Result!$H$30</f>
        <v>115691.15121247567</v>
      </c>
      <c r="N314" s="39"/>
    </row>
    <row r="315" spans="2:26" hidden="1" outlineLevel="2" x14ac:dyDescent="0.25">
      <c r="B315" s="17" t="s">
        <v>32</v>
      </c>
      <c r="C315" s="62">
        <f>+[1]Result!$H$31</f>
        <v>105051.20049044304</v>
      </c>
      <c r="D315" s="62">
        <f>+[5]Result!$H$31</f>
        <v>108217.05214297841</v>
      </c>
      <c r="E315" s="63">
        <f>+[6]Result!$H$31</f>
        <v>95470.475507366995</v>
      </c>
      <c r="F315" s="62">
        <f>+[7]Result!$H$31</f>
        <v>98944.972766059393</v>
      </c>
      <c r="G315" s="62">
        <f>+[8]Result!$H$31</f>
        <v>95303.804913836822</v>
      </c>
      <c r="H315" s="63">
        <f>+[9]Result!$H$31</f>
        <v>90719.844764592533</v>
      </c>
      <c r="I315" s="62">
        <f>+[10]Result!$H$31</f>
        <v>88998.186352453311</v>
      </c>
      <c r="J315" s="62">
        <f>+[11]Result!$H$31</f>
        <v>87205.733967431821</v>
      </c>
      <c r="K315" s="63">
        <f>+[12]Result!$H$31</f>
        <v>95672.347148714936</v>
      </c>
      <c r="L315" s="62">
        <f>+[13]Result!$H$31</f>
        <v>95710.767481932533</v>
      </c>
      <c r="M315" s="62">
        <f>+[14]Result!$H$31</f>
        <v>91653.674134475586</v>
      </c>
      <c r="N315" s="39"/>
    </row>
    <row r="316" spans="2:26" hidden="1" outlineLevel="2" x14ac:dyDescent="0.25">
      <c r="B316" s="17" t="s">
        <v>33</v>
      </c>
      <c r="C316" s="62">
        <f>+[1]Result!$H$32</f>
        <v>77345.706650023552</v>
      </c>
      <c r="D316" s="62">
        <f>+[5]Result!$H$32</f>
        <v>79795.191627148655</v>
      </c>
      <c r="E316" s="63">
        <f>+[6]Result!$H$32</f>
        <v>70843.369960038021</v>
      </c>
      <c r="F316" s="62">
        <f>+[7]Result!$H$32</f>
        <v>73395.027156596043</v>
      </c>
      <c r="G316" s="62">
        <f>+[8]Result!$H$32</f>
        <v>70627.57478835294</v>
      </c>
      <c r="H316" s="63">
        <f>+[9]Result!$H$32</f>
        <v>67364.123808070523</v>
      </c>
      <c r="I316" s="62">
        <f>+[10]Result!$H$32</f>
        <v>66076.216300941102</v>
      </c>
      <c r="J316" s="62">
        <f>+[11]Result!$H$32</f>
        <v>64706.392757508642</v>
      </c>
      <c r="K316" s="63">
        <f>+[12]Result!$H$32</f>
        <v>74266.272725369199</v>
      </c>
      <c r="L316" s="62">
        <f>+[13]Result!$H$32</f>
        <v>74286.379143868835</v>
      </c>
      <c r="M316" s="62">
        <f>+[14]Result!$H$32</f>
        <v>71074.7975927261</v>
      </c>
      <c r="N316" s="39"/>
    </row>
    <row r="317" spans="2:26" hidden="1" outlineLevel="2" x14ac:dyDescent="0.25">
      <c r="B317" s="17" t="s">
        <v>34</v>
      </c>
      <c r="C317" s="62">
        <f>+[1]Result!$H$33</f>
        <v>57238.082064843562</v>
      </c>
      <c r="D317" s="62">
        <f>+[5]Result!$H$33</f>
        <v>59123.381334565318</v>
      </c>
      <c r="E317" s="63">
        <f>+[6]Result!$H$33</f>
        <v>57036.258391066774</v>
      </c>
      <c r="F317" s="62">
        <f>+[7]Result!$H$33</f>
        <v>59070.930307720322</v>
      </c>
      <c r="G317" s="62">
        <f>+[8]Result!$H$33</f>
        <v>56808.015730847925</v>
      </c>
      <c r="H317" s="63">
        <f>+[9]Result!$H$33</f>
        <v>59540.657145001082</v>
      </c>
      <c r="I317" s="62">
        <f>+[10]Result!$H$33</f>
        <v>58387.719652039261</v>
      </c>
      <c r="J317" s="62">
        <f>+[11]Result!$H$33</f>
        <v>57135.374867262726</v>
      </c>
      <c r="K317" s="63">
        <f>+[12]Result!$H$33</f>
        <v>66805.280353500391</v>
      </c>
      <c r="L317" s="62">
        <f>+[13]Result!$H$33</f>
        <v>66805.280353500391</v>
      </c>
      <c r="M317" s="62">
        <f>+[14]Result!$H$33</f>
        <v>63863.610924154666</v>
      </c>
      <c r="N317" s="39"/>
    </row>
    <row r="318" spans="2:26" hidden="1" outlineLevel="2" x14ac:dyDescent="0.25">
      <c r="B318" s="17" t="s">
        <v>35</v>
      </c>
      <c r="C318" s="62">
        <f>+[1]Result!$H$34</f>
        <v>60042.394878405845</v>
      </c>
      <c r="D318" s="62">
        <f>+[5]Result!$H$34</f>
        <v>62078.510435151722</v>
      </c>
      <c r="E318" s="63">
        <f>+[6]Result!$H$34</f>
        <v>59591.649844006199</v>
      </c>
      <c r="F318" s="62">
        <f>+[7]Result!$H$34</f>
        <v>61690.019062153035</v>
      </c>
      <c r="G318" s="62">
        <f>+[8]Result!$H$34</f>
        <v>59301.163318851002</v>
      </c>
      <c r="H318" s="63">
        <f>+[9]Result!$H$34</f>
        <v>61715.06104901951</v>
      </c>
      <c r="I318" s="62">
        <f>+[10]Result!$H$34</f>
        <v>60506.934445741586</v>
      </c>
      <c r="J318" s="62">
        <f>+[11]Result!$H$34</f>
        <v>59174.595353118668</v>
      </c>
      <c r="K318" s="63">
        <f>+[12]Result!$H$34</f>
        <v>60032.872630696336</v>
      </c>
      <c r="L318" s="62">
        <f>+[13]Result!$H$34</f>
        <v>60032.872630696336</v>
      </c>
      <c r="M318" s="62">
        <f>+[14]Result!$H$34</f>
        <v>57344.394390768575</v>
      </c>
      <c r="N318" s="39"/>
    </row>
    <row r="319" spans="2:26" hidden="1" outlineLevel="1" collapsed="1" x14ac:dyDescent="0.25">
      <c r="B319" s="16" t="s">
        <v>36</v>
      </c>
      <c r="C319" s="62" cm="1">
        <f t="array" ref="C319">+[1]!DELTA_UP_31_50</f>
        <v>116348.17033444581</v>
      </c>
      <c r="D319" s="62" cm="1">
        <f t="array" ref="D319">+[5]!DELTA_UP_31_50</f>
        <v>120550.1002727133</v>
      </c>
      <c r="E319" s="63" cm="1">
        <f t="array" ref="E319">+[6]!DELTA_UP_31_50</f>
        <v>113696.33324898381</v>
      </c>
      <c r="F319" s="62" cm="1">
        <f t="array" ref="F319">+[7]!DELTA_UP_31_50</f>
        <v>117619.48974407277</v>
      </c>
      <c r="G319" s="62" cm="1">
        <f t="array" ref="G319">+[8]!DELTA_UP_31_50</f>
        <v>112917.03537781822</v>
      </c>
      <c r="H319" s="63" cm="1">
        <f t="array" ref="H319">+[9]!DELTA_UP_31_50</f>
        <v>114137.62819725589</v>
      </c>
      <c r="I319" s="62" cm="1">
        <f t="array" ref="I319">+[10]!DELTA_UP_31_50</f>
        <v>111878.86841922841</v>
      </c>
      <c r="J319" s="62" cm="1">
        <f t="array" ref="J319">+[11]!DELTA_UP_31_50</f>
        <v>109279.03559898073</v>
      </c>
      <c r="K319" s="63" cm="1">
        <f t="array" ref="K319">+[12]!DELTA_UP_31_50</f>
        <v>114195.53049836752</v>
      </c>
      <c r="L319" s="62" cm="1">
        <f t="array" ref="L319">+[13]!DELTA_UP_31_50</f>
        <v>114156.86030689429</v>
      </c>
      <c r="M319" s="62" cm="1">
        <f t="array" ref="M319">+[14]!DELTA_UP_31_50</f>
        <v>108843.79115165136</v>
      </c>
      <c r="N319" s="39"/>
      <c r="O319" s="14">
        <f>+C319-SUM(C320:C339)</f>
        <v>0</v>
      </c>
      <c r="P319" s="14">
        <f t="shared" ref="P319:R319" si="105">+D319-SUM(D320:D339)</f>
        <v>0</v>
      </c>
      <c r="Q319" s="14">
        <f t="shared" si="105"/>
        <v>0</v>
      </c>
      <c r="R319" s="14">
        <f t="shared" si="105"/>
        <v>0</v>
      </c>
      <c r="S319" s="14">
        <f t="shared" ref="S319" si="106">+G319-SUM(G320:G339)</f>
        <v>0</v>
      </c>
      <c r="T319" s="14">
        <f t="shared" ref="T319:Z319" si="107">+H319-SUM(H320:H339)</f>
        <v>0</v>
      </c>
      <c r="U319" s="14">
        <f t="shared" si="107"/>
        <v>0</v>
      </c>
      <c r="V319" s="14">
        <f t="shared" si="107"/>
        <v>0</v>
      </c>
      <c r="W319" s="14">
        <f t="shared" si="107"/>
        <v>0</v>
      </c>
      <c r="X319" s="14">
        <f t="shared" si="107"/>
        <v>0</v>
      </c>
      <c r="Y319" s="14">
        <f t="shared" si="107"/>
        <v>0</v>
      </c>
      <c r="Z319" s="14">
        <f t="shared" si="107"/>
        <v>0</v>
      </c>
    </row>
    <row r="320" spans="2:26" hidden="1" outlineLevel="2" x14ac:dyDescent="0.25">
      <c r="B320" s="17" t="s">
        <v>37</v>
      </c>
      <c r="C320" s="62">
        <f>+[1]Result!$H$35</f>
        <v>34142.919904032184</v>
      </c>
      <c r="D320" s="62">
        <f>+[5]Result!$H$35</f>
        <v>35328.340657970053</v>
      </c>
      <c r="E320" s="63">
        <f>+[6]Result!$H$35</f>
        <v>33612.871037138946</v>
      </c>
      <c r="F320" s="62">
        <f>+[7]Result!$H$35</f>
        <v>34788.226789955181</v>
      </c>
      <c r="G320" s="62">
        <f>+[8]Result!$H$35</f>
        <v>33423.434793956141</v>
      </c>
      <c r="H320" s="63">
        <f>+[9]Result!$H$35</f>
        <v>34066.666909741383</v>
      </c>
      <c r="I320" s="62">
        <f>+[10]Result!$H$35</f>
        <v>33398.541272439514</v>
      </c>
      <c r="J320" s="62">
        <f>+[11]Result!$H$35</f>
        <v>32649.275363305933</v>
      </c>
      <c r="K320" s="63">
        <f>+[12]Result!$H$35</f>
        <v>33375.029268959974</v>
      </c>
      <c r="L320" s="62">
        <f>+[13]Result!$H$35</f>
        <v>33369.874984241644</v>
      </c>
      <c r="M320" s="62">
        <f>+[14]Result!$H$35</f>
        <v>31856.761686425758</v>
      </c>
      <c r="N320" s="39"/>
    </row>
    <row r="321" spans="2:14" hidden="1" outlineLevel="2" x14ac:dyDescent="0.25">
      <c r="B321" s="17" t="s">
        <v>38</v>
      </c>
      <c r="C321" s="62">
        <f>+[1]Result!$H$36</f>
        <v>20756.018301802411</v>
      </c>
      <c r="D321" s="62">
        <f>+[5]Result!$H$36</f>
        <v>21493.019649924929</v>
      </c>
      <c r="E321" s="63">
        <f>+[6]Result!$H$36</f>
        <v>20152.387673832767</v>
      </c>
      <c r="F321" s="62">
        <f>+[7]Result!$H$36</f>
        <v>20853.351390960852</v>
      </c>
      <c r="G321" s="62">
        <f>+[8]Result!$H$36</f>
        <v>20025.723862643754</v>
      </c>
      <c r="H321" s="63">
        <f>+[9]Result!$H$36</f>
        <v>20078.368318838635</v>
      </c>
      <c r="I321" s="62">
        <f>+[10]Result!$H$36</f>
        <v>19681.478667385651</v>
      </c>
      <c r="J321" s="62">
        <f>+[11]Result!$H$36</f>
        <v>19232.161047131915</v>
      </c>
      <c r="K321" s="63">
        <f>+[12]Result!$H$36</f>
        <v>20197.788560763016</v>
      </c>
      <c r="L321" s="62">
        <f>+[13]Result!$H$36</f>
        <v>20191.443406963728</v>
      </c>
      <c r="M321" s="62">
        <f>+[14]Result!$H$36</f>
        <v>19265.700209209666</v>
      </c>
      <c r="N321" s="39"/>
    </row>
    <row r="322" spans="2:14" hidden="1" outlineLevel="2" x14ac:dyDescent="0.25">
      <c r="B322" s="17" t="s">
        <v>39</v>
      </c>
      <c r="C322" s="62">
        <f>+[1]Result!$H$37</f>
        <v>14721.29636560518</v>
      </c>
      <c r="D322" s="62">
        <f>+[5]Result!$H$37</f>
        <v>15252.819836328068</v>
      </c>
      <c r="E322" s="63">
        <f>+[6]Result!$H$37</f>
        <v>14366.982919392445</v>
      </c>
      <c r="F322" s="62">
        <f>+[7]Result!$H$37</f>
        <v>14860.597592956663</v>
      </c>
      <c r="G322" s="62">
        <f>+[8]Result!$H$37</f>
        <v>14267.007467643511</v>
      </c>
      <c r="H322" s="63">
        <f>+[9]Result!$H$37</f>
        <v>14297.592096626213</v>
      </c>
      <c r="I322" s="62">
        <f>+[10]Result!$H$37</f>
        <v>14015.523442736303</v>
      </c>
      <c r="J322" s="62">
        <f>+[11]Result!$H$37</f>
        <v>13690.280637022181</v>
      </c>
      <c r="K322" s="63">
        <f>+[12]Result!$H$37</f>
        <v>14859.671654841266</v>
      </c>
      <c r="L322" s="62">
        <f>+[13]Result!$H$37</f>
        <v>14854.860197097572</v>
      </c>
      <c r="M322" s="62">
        <f>+[14]Result!$H$37</f>
        <v>14164.798166516863</v>
      </c>
      <c r="N322" s="39"/>
    </row>
    <row r="323" spans="2:14" hidden="1" outlineLevel="2" x14ac:dyDescent="0.25">
      <c r="B323" s="17" t="s">
        <v>40</v>
      </c>
      <c r="C323" s="62">
        <f>+[1]Result!$H$38</f>
        <v>12252.551760577109</v>
      </c>
      <c r="D323" s="62">
        <f>+[5]Result!$H$38</f>
        <v>12699.796565854325</v>
      </c>
      <c r="E323" s="63">
        <f>+[6]Result!$H$38</f>
        <v>12047.190397030474</v>
      </c>
      <c r="F323" s="62">
        <f>+[7]Result!$H$38</f>
        <v>12461.164730762634</v>
      </c>
      <c r="G323" s="62">
        <f>+[8]Result!$H$38</f>
        <v>11958.900224725676</v>
      </c>
      <c r="H323" s="63">
        <f>+[9]Result!$H$38</f>
        <v>12029.167951327312</v>
      </c>
      <c r="I323" s="62">
        <f>+[10]Result!$H$38</f>
        <v>11792.677860484815</v>
      </c>
      <c r="J323" s="62">
        <f>+[11]Result!$H$38</f>
        <v>11514.80444533925</v>
      </c>
      <c r="K323" s="63">
        <f>+[12]Result!$H$38</f>
        <v>12103.05537052725</v>
      </c>
      <c r="L323" s="62">
        <f>+[13]Result!$H$38</f>
        <v>12099.019791438688</v>
      </c>
      <c r="M323" s="62">
        <f>+[14]Result!$H$38</f>
        <v>11530.256856914006</v>
      </c>
      <c r="N323" s="39"/>
    </row>
    <row r="324" spans="2:14" hidden="1" outlineLevel="2" x14ac:dyDescent="0.25">
      <c r="B324" s="17" t="s">
        <v>41</v>
      </c>
      <c r="C324" s="62">
        <f>+[1]Result!$H$39</f>
        <v>10007.806902473127</v>
      </c>
      <c r="D324" s="62">
        <f>+[5]Result!$H$39</f>
        <v>10378.487695637941</v>
      </c>
      <c r="E324" s="63">
        <f>+[6]Result!$H$39</f>
        <v>9591.2079791539982</v>
      </c>
      <c r="F324" s="62">
        <f>+[7]Result!$H$39</f>
        <v>9920.1821967517608</v>
      </c>
      <c r="G324" s="62">
        <f>+[8]Result!$H$39</f>
        <v>9518.894989380573</v>
      </c>
      <c r="H324" s="63">
        <f>+[9]Result!$H$39</f>
        <v>9458.7943313296419</v>
      </c>
      <c r="I324" s="62">
        <f>+[10]Result!$H$39</f>
        <v>9270.6985041980624</v>
      </c>
      <c r="J324" s="62">
        <f>+[11]Result!$H$39</f>
        <v>9050.6840221047678</v>
      </c>
      <c r="K324" s="63">
        <f>+[12]Result!$H$39</f>
        <v>9321.8322099306824</v>
      </c>
      <c r="L324" s="62">
        <f>+[13]Result!$H$39</f>
        <v>9318.6341191010179</v>
      </c>
      <c r="M324" s="62">
        <f>+[14]Result!$H$39</f>
        <v>8877.3344932760083</v>
      </c>
      <c r="N324" s="39"/>
    </row>
    <row r="325" spans="2:14" hidden="1" outlineLevel="2" x14ac:dyDescent="0.25">
      <c r="B325" s="17" t="s">
        <v>42</v>
      </c>
      <c r="C325" s="62">
        <f>+[1]Result!$H$40</f>
        <v>6898.8559660305473</v>
      </c>
      <c r="D325" s="62">
        <f>+[5]Result!$H$40</f>
        <v>7157.8552411683704</v>
      </c>
      <c r="E325" s="63">
        <f>+[6]Result!$H$40</f>
        <v>6667.3187784794445</v>
      </c>
      <c r="F325" s="62">
        <f>+[7]Result!$H$40</f>
        <v>6894.003010028584</v>
      </c>
      <c r="G325" s="62">
        <f>+[8]Result!$H$40</f>
        <v>6614.4641949973429</v>
      </c>
      <c r="H325" s="63">
        <f>+[9]Result!$H$40</f>
        <v>6655.609304248268</v>
      </c>
      <c r="I325" s="62">
        <f>+[10]Result!$H$40</f>
        <v>6521.8782062199007</v>
      </c>
      <c r="J325" s="62">
        <f>+[11]Result!$H$40</f>
        <v>6366.1583462738708</v>
      </c>
      <c r="K325" s="63">
        <f>+[12]Result!$H$40</f>
        <v>6752.1349987845715</v>
      </c>
      <c r="L325" s="62">
        <f>+[13]Result!$H$40</f>
        <v>6748.5514966847768</v>
      </c>
      <c r="M325" s="62">
        <f>+[14]Result!$H$40</f>
        <v>6426.9894887227601</v>
      </c>
      <c r="N325" s="39"/>
    </row>
    <row r="326" spans="2:14" hidden="1" outlineLevel="2" x14ac:dyDescent="0.25">
      <c r="B326" s="17" t="s">
        <v>43</v>
      </c>
      <c r="C326" s="62">
        <f>+[1]Result!$H$41</f>
        <v>5038.4916534001222</v>
      </c>
      <c r="D326" s="62">
        <f>+[5]Result!$H$41</f>
        <v>5229.0902446583787</v>
      </c>
      <c r="E326" s="63">
        <f>+[6]Result!$H$41</f>
        <v>4950.20278297806</v>
      </c>
      <c r="F326" s="62">
        <f>+[7]Result!$H$41</f>
        <v>5117.594591496616</v>
      </c>
      <c r="G326" s="62">
        <f>+[8]Result!$H$41</f>
        <v>4909.0110103080897</v>
      </c>
      <c r="H326" s="63">
        <f>+[9]Result!$H$41</f>
        <v>4990.684963050684</v>
      </c>
      <c r="I326" s="62">
        <f>+[10]Result!$H$41</f>
        <v>4890.3625957519271</v>
      </c>
      <c r="J326" s="62">
        <f>+[11]Result!$H$41</f>
        <v>4772.1739490599757</v>
      </c>
      <c r="K326" s="63">
        <f>+[12]Result!$H$41</f>
        <v>5223.9970492551474</v>
      </c>
      <c r="L326" s="62">
        <f>+[13]Result!$H$41</f>
        <v>5221.1662082355288</v>
      </c>
      <c r="M326" s="62">
        <f>+[14]Result!$H$41</f>
        <v>4970.2360978014076</v>
      </c>
      <c r="N326" s="39"/>
    </row>
    <row r="327" spans="2:14" hidden="1" outlineLevel="2" x14ac:dyDescent="0.25">
      <c r="B327" s="17" t="s">
        <v>44</v>
      </c>
      <c r="C327" s="62">
        <f>+[1]Result!$H$42</f>
        <v>3905.3990143078863</v>
      </c>
      <c r="D327" s="62">
        <f>+[5]Result!$H$42</f>
        <v>4054.0953900121494</v>
      </c>
      <c r="E327" s="63">
        <f>+[6]Result!$H$42</f>
        <v>3941.5474157937315</v>
      </c>
      <c r="F327" s="62">
        <f>+[7]Result!$H$42</f>
        <v>4074.6358191768268</v>
      </c>
      <c r="G327" s="62">
        <f>+[8]Result!$H$42</f>
        <v>3907.8814826727885</v>
      </c>
      <c r="H327" s="63">
        <f>+[9]Result!$H$42</f>
        <v>4037.09783339967</v>
      </c>
      <c r="I327" s="62">
        <f>+[10]Result!$H$42</f>
        <v>3956.010286185543</v>
      </c>
      <c r="J327" s="62">
        <f>+[11]Result!$H$42</f>
        <v>3859.3260748117627</v>
      </c>
      <c r="K327" s="63">
        <f>+[12]Result!$H$42</f>
        <v>4345.2873137579591</v>
      </c>
      <c r="L327" s="62">
        <f>+[13]Result!$H$42</f>
        <v>4342.8564142261075</v>
      </c>
      <c r="M327" s="62">
        <f>+[14]Result!$H$42</f>
        <v>4132.566120756137</v>
      </c>
      <c r="N327" s="39"/>
    </row>
    <row r="328" spans="2:14" hidden="1" outlineLevel="2" x14ac:dyDescent="0.25">
      <c r="B328" s="17" t="s">
        <v>45</v>
      </c>
      <c r="C328" s="62">
        <f>+[1]Result!$H$43</f>
        <v>3535.9177233514301</v>
      </c>
      <c r="D328" s="62">
        <f>+[5]Result!$H$43</f>
        <v>3671.2743965216541</v>
      </c>
      <c r="E328" s="63">
        <f>+[6]Result!$H$43</f>
        <v>3592.1522053849731</v>
      </c>
      <c r="F328" s="62">
        <f>+[7]Result!$H$43</f>
        <v>3713.7898946932146</v>
      </c>
      <c r="G328" s="62">
        <f>+[8]Result!$H$43</f>
        <v>3560.6803632976198</v>
      </c>
      <c r="H328" s="63">
        <f>+[9]Result!$H$43</f>
        <v>3617.5051750697858</v>
      </c>
      <c r="I328" s="62">
        <f>+[10]Result!$H$43</f>
        <v>3544.335815425331</v>
      </c>
      <c r="J328" s="62">
        <f>+[11]Result!$H$43</f>
        <v>3456.8153807638391</v>
      </c>
      <c r="K328" s="63">
        <f>+[12]Result!$H$43</f>
        <v>3595.6315546692349</v>
      </c>
      <c r="L328" s="62">
        <f>+[13]Result!$H$43</f>
        <v>3592.8876425584876</v>
      </c>
      <c r="M328" s="62">
        <f>+[14]Result!$H$43</f>
        <v>3418.4235901996972</v>
      </c>
      <c r="N328" s="39"/>
    </row>
    <row r="329" spans="2:14" hidden="1" outlineLevel="2" x14ac:dyDescent="0.25">
      <c r="B329" s="17" t="s">
        <v>46</v>
      </c>
      <c r="C329" s="62">
        <f>+[1]Result!$H$44</f>
        <v>2868.3358061243998</v>
      </c>
      <c r="D329" s="62">
        <f>+[5]Result!$H$44</f>
        <v>2978.612743104838</v>
      </c>
      <c r="E329" s="63">
        <f>+[6]Result!$H$44</f>
        <v>2655.4985366179208</v>
      </c>
      <c r="F329" s="62">
        <f>+[7]Result!$H$44</f>
        <v>2745.5691562860538</v>
      </c>
      <c r="G329" s="62">
        <f>+[8]Result!$H$44</f>
        <v>2631.6490634653946</v>
      </c>
      <c r="H329" s="63">
        <f>+[9]Result!$H$44</f>
        <v>2726.2495168928081</v>
      </c>
      <c r="I329" s="62">
        <f>+[10]Result!$H$44</f>
        <v>2671.3012394374728</v>
      </c>
      <c r="J329" s="62">
        <f>+[11]Result!$H$44</f>
        <v>2604.7124670299308</v>
      </c>
      <c r="K329" s="63">
        <f>+[12]Result!$H$44</f>
        <v>2450.3883332660907</v>
      </c>
      <c r="L329" s="62">
        <f>+[13]Result!$H$44</f>
        <v>2448.4711638180333</v>
      </c>
      <c r="M329" s="62">
        <f>+[14]Result!$H$44</f>
        <v>2328.921039093535</v>
      </c>
      <c r="N329" s="39"/>
    </row>
    <row r="330" spans="2:14" hidden="1" outlineLevel="2" x14ac:dyDescent="0.25">
      <c r="B330" s="17" t="s">
        <v>47</v>
      </c>
      <c r="C330" s="62">
        <f>+[1]Result!$H$45</f>
        <v>1167.1393128902478</v>
      </c>
      <c r="D330" s="62">
        <f>+[5]Result!$H$45</f>
        <v>1212.158205807083</v>
      </c>
      <c r="E330" s="63">
        <f>+[6]Result!$H$45</f>
        <v>1101.9510138629248</v>
      </c>
      <c r="F330" s="62">
        <f>+[7]Result!$H$45</f>
        <v>1139.1152636557467</v>
      </c>
      <c r="G330" s="62">
        <f>+[8]Result!$H$45</f>
        <v>1091.8119283443634</v>
      </c>
      <c r="H330" s="63">
        <f>+[9]Result!$H$45</f>
        <v>1136.5343115142987</v>
      </c>
      <c r="I330" s="62">
        <f>+[10]Result!$H$45</f>
        <v>1113.7374168434867</v>
      </c>
      <c r="J330" s="62">
        <f>+[11]Result!$H$45</f>
        <v>1085.9537680658132</v>
      </c>
      <c r="K330" s="63">
        <f>+[12]Result!$H$45</f>
        <v>1018.6264983476799</v>
      </c>
      <c r="L330" s="62">
        <f>+[13]Result!$H$45</f>
        <v>1017.8098979473389</v>
      </c>
      <c r="M330" s="62">
        <f>+[14]Result!$H$45</f>
        <v>967.69489560350189</v>
      </c>
      <c r="N330" s="39"/>
    </row>
    <row r="331" spans="2:14" hidden="1" outlineLevel="2" x14ac:dyDescent="0.25">
      <c r="B331" s="17" t="s">
        <v>48</v>
      </c>
      <c r="C331" s="62">
        <f>+[1]Result!$H$46</f>
        <v>485.15423341250971</v>
      </c>
      <c r="D331" s="62">
        <f>+[5]Result!$H$46</f>
        <v>504.01354240440946</v>
      </c>
      <c r="E331" s="63">
        <f>+[6]Result!$H$46</f>
        <v>464.82764808406682</v>
      </c>
      <c r="F331" s="62">
        <f>+[7]Result!$H$46</f>
        <v>480.49228792141287</v>
      </c>
      <c r="G331" s="62">
        <f>+[8]Result!$H$46</f>
        <v>460.54388370128254</v>
      </c>
      <c r="H331" s="63">
        <f>+[9]Result!$H$46</f>
        <v>479.7578865077071</v>
      </c>
      <c r="I331" s="62">
        <f>+[10]Result!$H$46</f>
        <v>470.0989632774224</v>
      </c>
      <c r="J331" s="62">
        <f>+[11]Result!$H$46</f>
        <v>458.37501926475579</v>
      </c>
      <c r="K331" s="63">
        <f>+[12]Result!$H$46</f>
        <v>435.81311918640313</v>
      </c>
      <c r="L331" s="62">
        <f>+[13]Result!$H$46</f>
        <v>435.45534440403117</v>
      </c>
      <c r="M331" s="62">
        <f>+[14]Result!$H$46</f>
        <v>413.93654279090515</v>
      </c>
      <c r="N331" s="39"/>
    </row>
    <row r="332" spans="2:14" hidden="1" outlineLevel="2" x14ac:dyDescent="0.25">
      <c r="B332" s="17" t="s">
        <v>49</v>
      </c>
      <c r="C332" s="62">
        <f>+[1]Result!$H$47</f>
        <v>247.79382426257035</v>
      </c>
      <c r="D332" s="62">
        <f>+[5]Result!$H$47</f>
        <v>257.49276931680822</v>
      </c>
      <c r="E332" s="63">
        <f>+[6]Result!$H$47</f>
        <v>241.86155129452135</v>
      </c>
      <c r="F332" s="62">
        <f>+[7]Result!$H$47</f>
        <v>250.048100067306</v>
      </c>
      <c r="G332" s="62">
        <f>+[8]Result!$H$47</f>
        <v>239.6307930896088</v>
      </c>
      <c r="H332" s="63">
        <f>+[9]Result!$H$47</f>
        <v>247.20788043877656</v>
      </c>
      <c r="I332" s="62">
        <f>+[10]Result!$H$47</f>
        <v>242.21707373488198</v>
      </c>
      <c r="J332" s="62">
        <f>+[11]Result!$H$47</f>
        <v>236.13553352952965</v>
      </c>
      <c r="K332" s="63">
        <f>+[12]Result!$H$47</f>
        <v>227.06682651857363</v>
      </c>
      <c r="L332" s="62">
        <f>+[13]Result!$H$47</f>
        <v>226.87604352802873</v>
      </c>
      <c r="M332" s="62">
        <f>+[14]Result!$H$47</f>
        <v>215.633946685627</v>
      </c>
      <c r="N332" s="39"/>
    </row>
    <row r="333" spans="2:14" hidden="1" outlineLevel="2" x14ac:dyDescent="0.25">
      <c r="B333" s="17" t="s">
        <v>50</v>
      </c>
      <c r="C333" s="62">
        <f>+[1]Result!$H$48</f>
        <v>149.13361914827095</v>
      </c>
      <c r="D333" s="62">
        <f>+[5]Result!$H$48</f>
        <v>154.97315015491819</v>
      </c>
      <c r="E333" s="63">
        <f>+[6]Result!$H$48</f>
        <v>143.92294772082704</v>
      </c>
      <c r="F333" s="62">
        <f>+[7]Result!$H$48</f>
        <v>148.74738720914132</v>
      </c>
      <c r="G333" s="62">
        <f>+[8]Result!$H$48</f>
        <v>142.5652475184512</v>
      </c>
      <c r="H333" s="63">
        <f>+[9]Result!$H$48</f>
        <v>145.77658446511134</v>
      </c>
      <c r="I333" s="62">
        <f>+[10]Result!$H$48</f>
        <v>142.82817303806695</v>
      </c>
      <c r="J333" s="62">
        <f>+[11]Result!$H$48</f>
        <v>139.22069984651517</v>
      </c>
      <c r="K333" s="63">
        <f>+[12]Result!$H$48</f>
        <v>133.80530237196706</v>
      </c>
      <c r="L333" s="62">
        <f>+[13]Result!$H$48</f>
        <v>133.69029983950861</v>
      </c>
      <c r="M333" s="62">
        <f>+[14]Result!$H$48</f>
        <v>127.02664819236256</v>
      </c>
      <c r="N333" s="39"/>
    </row>
    <row r="334" spans="2:14" hidden="1" outlineLevel="2" x14ac:dyDescent="0.25">
      <c r="B334" s="17" t="s">
        <v>51</v>
      </c>
      <c r="C334" s="62">
        <f>+[1]Result!$H$49</f>
        <v>84.026847033720145</v>
      </c>
      <c r="D334" s="62">
        <f>+[5]Result!$H$49</f>
        <v>87.314938241126612</v>
      </c>
      <c r="E334" s="63">
        <f>+[6]Result!$H$49</f>
        <v>82.031407720646712</v>
      </c>
      <c r="F334" s="62">
        <f>+[7]Result!$H$49</f>
        <v>84.769181485436491</v>
      </c>
      <c r="G334" s="62">
        <f>+[8]Result!$H$49</f>
        <v>81.258288194546708</v>
      </c>
      <c r="H334" s="63">
        <f>+[9]Result!$H$49</f>
        <v>83.684700732033861</v>
      </c>
      <c r="I334" s="62">
        <f>+[10]Result!$H$49</f>
        <v>81.990633554580199</v>
      </c>
      <c r="J334" s="62">
        <f>+[11]Result!$H$49</f>
        <v>79.926669183635425</v>
      </c>
      <c r="K334" s="63">
        <f>+[12]Result!$H$49</f>
        <v>77.023209761982997</v>
      </c>
      <c r="L334" s="62">
        <f>+[13]Result!$H$49</f>
        <v>76.955525992761153</v>
      </c>
      <c r="M334" s="62">
        <f>+[14]Result!$H$49</f>
        <v>73.116213218548552</v>
      </c>
      <c r="N334" s="39"/>
    </row>
    <row r="335" spans="2:14" hidden="1" outlineLevel="2" x14ac:dyDescent="0.25">
      <c r="B335" s="17" t="s">
        <v>52</v>
      </c>
      <c r="C335" s="62">
        <f>+[1]Result!$H$50</f>
        <v>46.494440723590429</v>
      </c>
      <c r="D335" s="62">
        <f>+[5]Result!$H$50</f>
        <v>48.321746306269162</v>
      </c>
      <c r="E335" s="63">
        <f>+[6]Result!$H$50</f>
        <v>45.251028855665695</v>
      </c>
      <c r="F335" s="62">
        <f>+[7]Result!$H$50</f>
        <v>46.763245448188911</v>
      </c>
      <c r="G335" s="62">
        <f>+[8]Result!$H$50</f>
        <v>44.825308320159735</v>
      </c>
      <c r="H335" s="63">
        <f>+[9]Result!$H$50</f>
        <v>46.218270834378558</v>
      </c>
      <c r="I335" s="62">
        <f>+[10]Result!$H$50</f>
        <v>45.292911800767115</v>
      </c>
      <c r="J335" s="62">
        <f>+[11]Result!$H$50</f>
        <v>44.147811234757413</v>
      </c>
      <c r="K335" s="63">
        <f>+[12]Result!$H$50</f>
        <v>42.106052947002652</v>
      </c>
      <c r="L335" s="62">
        <f>+[13]Result!$H$50</f>
        <v>42.068241216673044</v>
      </c>
      <c r="M335" s="62">
        <f>+[14]Result!$H$50</f>
        <v>39.969378523120326</v>
      </c>
      <c r="N335" s="39"/>
    </row>
    <row r="336" spans="2:14" hidden="1" outlineLevel="2" x14ac:dyDescent="0.25">
      <c r="B336" s="17" t="s">
        <v>53</v>
      </c>
      <c r="C336" s="62">
        <f>+[1]Result!$H$51</f>
        <v>24.415518685820139</v>
      </c>
      <c r="D336" s="62">
        <f>+[5]Result!$H$51</f>
        <v>25.372606495116692</v>
      </c>
      <c r="E336" s="63">
        <f>+[6]Result!$H$51</f>
        <v>23.817094859653622</v>
      </c>
      <c r="F336" s="62">
        <f>+[7]Result!$H$51</f>
        <v>24.61339149927614</v>
      </c>
      <c r="G336" s="62">
        <f>+[8]Result!$H$51</f>
        <v>23.588247213418171</v>
      </c>
      <c r="H336" s="63">
        <f>+[9]Result!$H$51</f>
        <v>24.591040943949608</v>
      </c>
      <c r="I336" s="62">
        <f>+[10]Result!$H$51</f>
        <v>24.099261909568341</v>
      </c>
      <c r="J336" s="62">
        <f>+[11]Result!$H$51</f>
        <v>23.487882311684956</v>
      </c>
      <c r="K336" s="63">
        <f>+[12]Result!$H$51</f>
        <v>22.059392138900513</v>
      </c>
      <c r="L336" s="62">
        <f>+[13]Result!$H$51</f>
        <v>22.039157575783292</v>
      </c>
      <c r="M336" s="62">
        <f>+[14]Result!$H$51</f>
        <v>20.935772603717318</v>
      </c>
      <c r="N336" s="39"/>
    </row>
    <row r="337" spans="2:26" hidden="1" outlineLevel="2" x14ac:dyDescent="0.25">
      <c r="B337" s="17" t="s">
        <v>54</v>
      </c>
      <c r="C337" s="62">
        <f>+[1]Result!$H$52</f>
        <v>11.16180563053658</v>
      </c>
      <c r="D337" s="62">
        <f>+[5]Result!$H$52</f>
        <v>11.597798271815559</v>
      </c>
      <c r="E337" s="63">
        <f>+[6]Result!$H$52</f>
        <v>10.541396807450397</v>
      </c>
      <c r="F337" s="62">
        <f>+[7]Result!$H$52</f>
        <v>10.896232823922595</v>
      </c>
      <c r="G337" s="62">
        <f>+[8]Result!$H$52</f>
        <v>10.44045163267273</v>
      </c>
      <c r="H337" s="63">
        <f>+[9]Result!$H$52</f>
        <v>11.225341181665474</v>
      </c>
      <c r="I337" s="62">
        <f>+[10]Result!$H$52</f>
        <v>10.998770896766086</v>
      </c>
      <c r="J337" s="62">
        <f>+[11]Result!$H$52</f>
        <v>10.721477940053937</v>
      </c>
      <c r="K337" s="63">
        <f>+[12]Result!$H$52</f>
        <v>9.9664562376232233</v>
      </c>
      <c r="L337" s="62">
        <f>+[13]Result!$H$52</f>
        <v>9.9571222576344596</v>
      </c>
      <c r="M337" s="62">
        <f>+[14]Result!$H$52</f>
        <v>9.4594839929070957</v>
      </c>
      <c r="N337" s="39"/>
    </row>
    <row r="338" spans="2:26" hidden="1" outlineLevel="2" x14ac:dyDescent="0.25">
      <c r="B338" s="17" t="s">
        <v>55</v>
      </c>
      <c r="C338" s="62">
        <f>+[1]Result!$H$53</f>
        <v>4.1621593816993459</v>
      </c>
      <c r="D338" s="62">
        <f>+[5]Result!$H$53</f>
        <v>4.32502247283269</v>
      </c>
      <c r="E338" s="63">
        <f>+[6]Result!$H$53</f>
        <v>3.8289992392438235</v>
      </c>
      <c r="F338" s="62">
        <f>+[7]Result!$H$53</f>
        <v>3.9577318158470902</v>
      </c>
      <c r="G338" s="62">
        <f>+[8]Result!$H$53</f>
        <v>3.7924888626105915</v>
      </c>
      <c r="H338" s="63">
        <f>+[9]Result!$H$53</f>
        <v>3.8889710542435347</v>
      </c>
      <c r="I338" s="62">
        <f>+[10]Result!$H$53</f>
        <v>3.8107009542152266</v>
      </c>
      <c r="J338" s="62">
        <f>+[11]Result!$H$53</f>
        <v>3.7135625946439292</v>
      </c>
      <c r="K338" s="63">
        <f>+[12]Result!$H$53</f>
        <v>3.380183237604566</v>
      </c>
      <c r="L338" s="62">
        <f>+[13]Result!$H$53</f>
        <v>3.3769524329095697</v>
      </c>
      <c r="M338" s="62">
        <f>+[14]Result!$H$53</f>
        <v>3.2078539427956256</v>
      </c>
      <c r="N338" s="39"/>
    </row>
    <row r="339" spans="2:26" hidden="1" outlineLevel="2" x14ac:dyDescent="0.25">
      <c r="B339" s="17" t="s">
        <v>56</v>
      </c>
      <c r="C339" s="62">
        <f>+[1]Result!$H$54</f>
        <v>1.0951755724599892</v>
      </c>
      <c r="D339" s="62">
        <f>+[5]Result!$H$54</f>
        <v>1.1380720622133182</v>
      </c>
      <c r="E339" s="63">
        <f>+[6]Result!$H$54</f>
        <v>0.94043473605268035</v>
      </c>
      <c r="F339" s="62">
        <f>+[7]Result!$H$54</f>
        <v>0.97174907811630806</v>
      </c>
      <c r="G339" s="62">
        <f>+[8]Result!$H$54</f>
        <v>0.93128785022031857</v>
      </c>
      <c r="H339" s="63">
        <f>+[9]Result!$H$54</f>
        <v>1.0068090593369776</v>
      </c>
      <c r="I339" s="62">
        <f>+[10]Result!$H$54</f>
        <v>0.98662295413950485</v>
      </c>
      <c r="J339" s="62">
        <f>+[11]Result!$H$54</f>
        <v>0.96144216593022902</v>
      </c>
      <c r="K339" s="63">
        <f>+[12]Result!$H$54</f>
        <v>0.86714286458888323</v>
      </c>
      <c r="L339" s="62">
        <f>+[13]Result!$H$54</f>
        <v>0.86629733403709408</v>
      </c>
      <c r="M339" s="62">
        <f>+[14]Result!$H$54</f>
        <v>0.82266718202653033</v>
      </c>
      <c r="N339" s="39"/>
    </row>
    <row r="340" spans="2:26" collapsed="1" x14ac:dyDescent="0.25">
      <c r="B340" s="13" t="s">
        <v>62</v>
      </c>
      <c r="C340" s="62" cm="1">
        <f t="array" ref="C340">+[1]!DELTA1PERC</f>
        <v>-265032.76380415505</v>
      </c>
      <c r="D340" s="62" cm="1">
        <f t="array" ref="D340">+[5]!DELTA1PERC</f>
        <v>-267276.14800729218</v>
      </c>
      <c r="E340" s="63" cm="1">
        <f t="array" ref="E340">+[6]!DELTA1PERC</f>
        <v>-259754.72190271452</v>
      </c>
      <c r="F340" s="62" cm="1">
        <f t="array" ref="F340">+[7]!DELTA1PERC</f>
        <v>-264663.42950019619</v>
      </c>
      <c r="G340" s="62" cm="1">
        <f t="array" ref="G340">+[8]!DELTA1PERC</f>
        <v>-262598.27534711722</v>
      </c>
      <c r="H340" s="63" cm="1">
        <f t="array" ref="H340">+[9]!DELTA1PERC</f>
        <v>-259830.97519437835</v>
      </c>
      <c r="I340" s="62" cm="1">
        <f t="array" ref="I340">+[10]!DELTA1PERC</f>
        <v>-258099.13559649407</v>
      </c>
      <c r="J340" s="62" cm="1">
        <f t="array" ref="J340">+[11]!DELTA1PERC</f>
        <v>-257908.29129251678</v>
      </c>
      <c r="K340" s="63" cm="1">
        <f t="array" ref="K340">+[12]!DELTA1PERC</f>
        <v>-263106.75999635109</v>
      </c>
      <c r="L340" s="62" cm="1">
        <f t="array" ref="L340">+[13]!DELTA1PERC</f>
        <v>-263706.79008734855</v>
      </c>
      <c r="M340" s="62" cm="1">
        <f t="array" ref="M340">+[14]!DELTA1PERC</f>
        <v>-261145.66163963135</v>
      </c>
      <c r="N340" s="39"/>
      <c r="O340" s="14">
        <f>+SUM(C341:C345)-C340</f>
        <v>0</v>
      </c>
      <c r="P340" s="14">
        <f t="shared" ref="P340:R340" si="108">+SUM(D341:D345)-D340</f>
        <v>0</v>
      </c>
      <c r="Q340" s="14">
        <f t="shared" si="108"/>
        <v>0</v>
      </c>
      <c r="R340" s="14">
        <f t="shared" si="108"/>
        <v>0</v>
      </c>
      <c r="S340" s="14">
        <f t="shared" ref="S340" si="109">+SUM(G341:G345)-G340</f>
        <v>0</v>
      </c>
      <c r="T340" s="14">
        <f t="shared" ref="T340:Z340" si="110">+SUM(H341:H345)-H340</f>
        <v>0</v>
      </c>
      <c r="U340" s="14">
        <f t="shared" si="110"/>
        <v>0</v>
      </c>
      <c r="V340" s="14">
        <f t="shared" si="110"/>
        <v>0</v>
      </c>
      <c r="W340" s="14">
        <f t="shared" si="110"/>
        <v>0</v>
      </c>
      <c r="X340" s="14">
        <f t="shared" si="110"/>
        <v>0</v>
      </c>
      <c r="Y340" s="14">
        <f t="shared" si="110"/>
        <v>0</v>
      </c>
      <c r="Z340" s="14">
        <f t="shared" si="110"/>
        <v>0</v>
      </c>
    </row>
    <row r="341" spans="2:26" hidden="1" outlineLevel="1" x14ac:dyDescent="0.25">
      <c r="B341" s="16" t="s">
        <v>2</v>
      </c>
      <c r="C341" s="62" cm="1">
        <f t="array" ref="C341">+[1]!DV01_1_5</f>
        <v>-114853.78374200441</v>
      </c>
      <c r="D341" s="62" cm="1">
        <f t="array" ref="D341">+[5]!DV01_1_5</f>
        <v>-115330.41091961565</v>
      </c>
      <c r="E341" s="63" cm="1">
        <f t="array" ref="E341">+[6]!DV01_1_5</f>
        <v>-121328.45494246425</v>
      </c>
      <c r="F341" s="62" cm="1">
        <f t="array" ref="F341">+[7]!DV01_1_5</f>
        <v>-122431.29569334075</v>
      </c>
      <c r="G341" s="62" cm="1">
        <f t="array" ref="G341">+[8]!DV01_1_5</f>
        <v>-122217.69178463142</v>
      </c>
      <c r="H341" s="63" cm="1">
        <f t="array" ref="H341">+[9]!DV01_1_5</f>
        <v>-121010.27987877329</v>
      </c>
      <c r="I341" s="62" cm="1">
        <f t="array" ref="I341">+[10]!DV01_1_5</f>
        <v>-120652.72129249778</v>
      </c>
      <c r="J341" s="62" cm="1">
        <f t="array" ref="J341">+[11]!DV01_1_5</f>
        <v>-120819.32005241723</v>
      </c>
      <c r="K341" s="63" cm="1">
        <f t="array" ref="K341">+[12]!DV01_1_5</f>
        <v>-124363.15204169319</v>
      </c>
      <c r="L341" s="62" cm="1">
        <f t="array" ref="L341">+[13]!DV01_1_5</f>
        <v>-124499.23092760614</v>
      </c>
      <c r="M341" s="62" cm="1">
        <f t="array" ref="M341">+[14]!DV01_1_5</f>
        <v>-124299.92806970765</v>
      </c>
      <c r="N341" s="39"/>
    </row>
    <row r="342" spans="2:26" hidden="1" outlineLevel="1" x14ac:dyDescent="0.25">
      <c r="B342" s="16" t="s">
        <v>8</v>
      </c>
      <c r="C342" s="62" cm="1">
        <f t="array" ref="C342">+[1]!DV01_6_10</f>
        <v>-69626.009493683057</v>
      </c>
      <c r="D342" s="62" cm="1">
        <f t="array" ref="D342">+[5]!DV01_6_10</f>
        <v>-70253.500062941457</v>
      </c>
      <c r="E342" s="63" cm="1">
        <f t="array" ref="E342">+[6]!DV01_6_10</f>
        <v>-66851.79049853317</v>
      </c>
      <c r="F342" s="62" cm="1">
        <f t="array" ref="F342">+[7]!DV01_6_10</f>
        <v>-68269.683287668144</v>
      </c>
      <c r="G342" s="62" cm="1">
        <f t="array" ref="G342">+[8]!DV01_6_10</f>
        <v>-67868.659169573773</v>
      </c>
      <c r="H342" s="63" cm="1">
        <f t="array" ref="H342">+[9]!DV01_6_10</f>
        <v>-67862.211269007545</v>
      </c>
      <c r="I342" s="62" cm="1">
        <f t="array" ref="I342">+[10]!DV01_6_10</f>
        <v>-67408.743843574717</v>
      </c>
      <c r="J342" s="62" cm="1">
        <f t="array" ref="J342">+[11]!DV01_6_10</f>
        <v>-67570.089066686851</v>
      </c>
      <c r="K342" s="63" cm="1">
        <f t="array" ref="K342">+[12]!DV01_6_10</f>
        <v>-67615.54874568386</v>
      </c>
      <c r="L342" s="62" cm="1">
        <f t="array" ref="L342">+[13]!DV01_6_10</f>
        <v>-67861.13755013996</v>
      </c>
      <c r="M342" s="62" cm="1">
        <f t="array" ref="M342">+[14]!DV01_6_10</f>
        <v>-67314.304875595786</v>
      </c>
      <c r="N342" s="39"/>
    </row>
    <row r="343" spans="2:26" hidden="1" outlineLevel="1" x14ac:dyDescent="0.25">
      <c r="B343" s="16" t="s">
        <v>14</v>
      </c>
      <c r="C343" s="62" cm="1">
        <f t="array" ref="C343">+[1]!DV01_11_20</f>
        <v>-61627.092688356184</v>
      </c>
      <c r="D343" s="62" cm="1">
        <f t="array" ref="D343">+[5]!DV01_11_20</f>
        <v>-62307.384591273934</v>
      </c>
      <c r="E343" s="63" cm="1">
        <f t="array" ref="E343">+[6]!DV01_11_20</f>
        <v>-54395.574619738749</v>
      </c>
      <c r="F343" s="62" cm="1">
        <f t="array" ref="F343">+[7]!DV01_11_20</f>
        <v>-56129.750198825823</v>
      </c>
      <c r="G343" s="62" cm="1">
        <f t="array" ref="G343">+[8]!DV01_11_20</f>
        <v>-55281.004895292222</v>
      </c>
      <c r="H343" s="63" cm="1">
        <f t="array" ref="H343">+[9]!DV01_11_20</f>
        <v>-54295.714918078229</v>
      </c>
      <c r="I343" s="62" cm="1">
        <f t="array" ref="I343">+[10]!DV01_11_20</f>
        <v>-53681.165252472696</v>
      </c>
      <c r="J343" s="62" cm="1">
        <f t="array" ref="J343">+[11]!DV01_11_20</f>
        <v>-53453.394404204228</v>
      </c>
      <c r="K343" s="63" cm="1">
        <f t="array" ref="K343">+[12]!DV01_11_20</f>
        <v>-54000.997430571842</v>
      </c>
      <c r="L343" s="62" cm="1">
        <f t="array" ref="L343">+[13]!DV01_11_20</f>
        <v>-54204.056643210206</v>
      </c>
      <c r="M343" s="62" cm="1">
        <f t="array" ref="M343">+[14]!DV01_11_20</f>
        <v>-53070.360994201161</v>
      </c>
      <c r="N343" s="39"/>
    </row>
    <row r="344" spans="2:26" hidden="1" outlineLevel="1" x14ac:dyDescent="0.25">
      <c r="B344" s="16" t="s">
        <v>25</v>
      </c>
      <c r="C344" s="62" cm="1">
        <f t="array" ref="C344">+[1]!DV01_21_30</f>
        <v>-17558.256878699991</v>
      </c>
      <c r="D344" s="62" cm="1">
        <f t="array" ref="D344">+[5]!DV01_21_30</f>
        <v>-17967.615750039258</v>
      </c>
      <c r="E344" s="63" cm="1">
        <f t="array" ref="E344">+[6]!DV01_21_30</f>
        <v>-15842.806445676726</v>
      </c>
      <c r="F344" s="62" cm="1">
        <f t="array" ref="F344">+[7]!DV01_21_30</f>
        <v>-16450.314000970026</v>
      </c>
      <c r="G344" s="62" cm="1">
        <f t="array" ref="G344">+[8]!DV01_21_30</f>
        <v>-15904.033237854923</v>
      </c>
      <c r="H344" s="63" cm="1">
        <f t="array" ref="H344">+[9]!DV01_21_30</f>
        <v>-15321.763155946701</v>
      </c>
      <c r="I344" s="62" cm="1">
        <f t="array" ref="I344">+[10]!DV01_21_30</f>
        <v>-15042.148230914587</v>
      </c>
      <c r="J344" s="62" cm="1">
        <f t="array" ref="J344">+[11]!DV01_21_30</f>
        <v>-14781.807656239647</v>
      </c>
      <c r="K344" s="63" cm="1">
        <f t="array" ref="K344">+[12]!DV01_21_30</f>
        <v>-15785.576646525224</v>
      </c>
      <c r="L344" s="62" cm="1">
        <f t="array" ref="L344">+[13]!DV01_21_30</f>
        <v>-15801.337721581334</v>
      </c>
      <c r="M344" s="62" cm="1">
        <f t="array" ref="M344">+[14]!DV01_21_30</f>
        <v>-15182.719865522526</v>
      </c>
      <c r="N344" s="39"/>
    </row>
    <row r="345" spans="2:26" hidden="1" outlineLevel="1" x14ac:dyDescent="0.25">
      <c r="B345" s="16" t="s">
        <v>36</v>
      </c>
      <c r="C345" s="62" cm="1">
        <f t="array" ref="C345">+[1]!DV01_31_50</f>
        <v>-1367.6210014114072</v>
      </c>
      <c r="D345" s="62" cm="1">
        <f t="array" ref="D345">+[5]!DV01_31_50</f>
        <v>-1417.2366834219506</v>
      </c>
      <c r="E345" s="63" cm="1">
        <f t="array" ref="E345">+[6]!DV01_31_50</f>
        <v>-1336.0953963016243</v>
      </c>
      <c r="F345" s="62" cm="1">
        <f t="array" ref="F345">+[7]!DV01_31_50</f>
        <v>-1382.3863193914528</v>
      </c>
      <c r="G345" s="62" cm="1">
        <f t="array" ref="G345">+[8]!DV01_31_50</f>
        <v>-1326.8862597649036</v>
      </c>
      <c r="H345" s="63" cm="1">
        <f t="array" ref="H345">+[9]!DV01_31_50</f>
        <v>-1341.0059725725832</v>
      </c>
      <c r="I345" s="62" cm="1">
        <f t="array" ref="I345">+[10]!DV01_31_50</f>
        <v>-1314.356977034322</v>
      </c>
      <c r="J345" s="62" cm="1">
        <f t="array" ref="J345">+[11]!DV01_31_50</f>
        <v>-1283.6801129687904</v>
      </c>
      <c r="K345" s="63" cm="1">
        <f t="array" ref="K345">+[12]!DV01_31_50</f>
        <v>-1341.4851318769634</v>
      </c>
      <c r="L345" s="62" cm="1">
        <f t="array" ref="L345">+[13]!DV01_31_50</f>
        <v>-1341.0272448108374</v>
      </c>
      <c r="M345" s="62" cm="1">
        <f t="array" ref="M345">+[14]!DV01_31_50</f>
        <v>-1278.3478346042641</v>
      </c>
      <c r="N345" s="39"/>
    </row>
    <row r="346" spans="2:26" ht="14.25" collapsed="1" thickBot="1" x14ac:dyDescent="0.3">
      <c r="B346" s="18" t="s">
        <v>63</v>
      </c>
      <c r="C346" s="19" cm="1">
        <f t="array" ref="C346">+[1]!DURATION</f>
        <v>2.7631233276737537</v>
      </c>
      <c r="D346" s="19" cm="1">
        <f t="array" ref="D346">+[5]!DURATION</f>
        <v>2.7753077540930295</v>
      </c>
      <c r="E346" s="35" cm="1">
        <f t="array" ref="E346">+[6]!DURATION</f>
        <v>2.6214552953640671</v>
      </c>
      <c r="F346" s="19" cm="1">
        <f t="array" ref="F346">+[7]!DURATION</f>
        <v>2.6473572386580559</v>
      </c>
      <c r="G346" s="19" cm="1">
        <f t="array" ref="G346">+[8]!DURATION</f>
        <v>2.6332351865040566</v>
      </c>
      <c r="H346" s="35" cm="1">
        <f t="array" ref="H346">+[9]!DURATION</f>
        <v>2.694947099391463</v>
      </c>
      <c r="I346" s="19" cm="1">
        <f t="array" ref="I346">+[10]!DURATION</f>
        <v>2.6849560816031026</v>
      </c>
      <c r="J346" s="19" cm="1">
        <f t="array" ref="J346">+[11]!DURATION</f>
        <v>2.6814297491280494</v>
      </c>
      <c r="K346" s="35" cm="1">
        <f t="array" ref="K346">+[12]!DURATION</f>
        <v>2.7314885683699024</v>
      </c>
      <c r="L346" s="19" cm="1">
        <f t="array" ref="L346">+[13]!DURATION</f>
        <v>2.7347200632056343</v>
      </c>
      <c r="M346" s="19" cm="1">
        <f t="array" ref="M346">+[14]!DURATION</f>
        <v>2.7163299489247752</v>
      </c>
      <c r="N346" s="40"/>
    </row>
    <row r="347" spans="2:26" ht="14.25" thickBot="1" x14ac:dyDescent="0.3"/>
    <row r="348" spans="2:26" ht="14.25" thickBot="1" x14ac:dyDescent="0.3">
      <c r="B348" s="64" t="s">
        <v>64</v>
      </c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6"/>
    </row>
    <row r="349" spans="2:26" x14ac:dyDescent="0.25">
      <c r="B349" s="12"/>
      <c r="C349" s="20" t="s">
        <v>97</v>
      </c>
      <c r="D349" s="20" t="s">
        <v>110</v>
      </c>
      <c r="E349" s="21" t="s">
        <v>111</v>
      </c>
      <c r="F349" s="20" t="s">
        <v>112</v>
      </c>
      <c r="G349" s="20" t="s">
        <v>113</v>
      </c>
      <c r="H349" s="21" t="s">
        <v>114</v>
      </c>
      <c r="I349" s="20" t="s">
        <v>115</v>
      </c>
      <c r="J349" s="20" t="s">
        <v>116</v>
      </c>
      <c r="K349" s="21" t="s">
        <v>117</v>
      </c>
      <c r="L349" s="22" t="s">
        <v>118</v>
      </c>
      <c r="M349" s="20" t="s">
        <v>119</v>
      </c>
      <c r="N349" s="23" t="s">
        <v>120</v>
      </c>
    </row>
    <row r="350" spans="2:26" x14ac:dyDescent="0.25">
      <c r="B350" s="13" t="s">
        <v>88</v>
      </c>
      <c r="C350" s="14">
        <f>+SUM([1]Pricing_BEL!$L$5:$L$54)-SUM([15]Pricing_BEL!$L$5:$L$54)</f>
        <v>0</v>
      </c>
      <c r="D350" s="14">
        <f>+SUM([5]Pricing_BEL!$L$5:$L$54)-SUM([1]Pricing_BEL!$L$5:$L$54)</f>
        <v>0</v>
      </c>
      <c r="E350" s="36">
        <f>+SUM([6]Pricing_BEL!$L$5:$L$54)-SUM([5]Pricing_BEL!$L$5:$L$54)</f>
        <v>-35647752.818717957</v>
      </c>
      <c r="F350" s="14">
        <f>+SUM([7]Pricing_BEL!$L$5:$L$54)-SUM([6]Pricing_BEL!$L$5:$L$54)</f>
        <v>0</v>
      </c>
      <c r="G350" s="14">
        <f>+SUM([8]Pricing_BEL!$L$5:$L$54)-SUM([7]Pricing_BEL!$L$5:$L$54)</f>
        <v>0</v>
      </c>
      <c r="H350" s="36">
        <f>+SUM([9]Pricing_BEL!$L$5:$L$54)-SUM([8]Pricing_BEL!$L$5:$L$54)</f>
        <v>30793870.04016912</v>
      </c>
      <c r="I350" s="14">
        <f>+SUM([10]Pricing_BEL!$L$5:$L$54)-SUM([9]Pricing_BEL!$L$5:$L$54)</f>
        <v>0</v>
      </c>
      <c r="J350" s="14">
        <f>+SUM([11]Pricing_BEL!$L$5:$L$54)-SUM([10]Pricing_BEL!$L$5:$L$54)</f>
        <v>0</v>
      </c>
      <c r="K350" s="36">
        <f>+SUM([12]Pricing_BEL!$L$5:$L$54)-SUM([11]Pricing_BEL!$L$5:$L$54)</f>
        <v>-4501156.3884005547</v>
      </c>
      <c r="L350" s="14">
        <f>+SUM([13]Pricing_BEL!$L$5:$L$54)-SUM([12]Pricing_BEL!$L$5:$L$54)</f>
        <v>0</v>
      </c>
      <c r="M350" s="14">
        <f>+SUM([14]Pricing_BEL!$L$5:$L$54)-SUM([13]Pricing_BEL!$L$5:$L$54)</f>
        <v>0</v>
      </c>
      <c r="N350" s="39"/>
      <c r="O350" s="14">
        <f>+C350-(C351+C357+C363+C374+C385)</f>
        <v>0</v>
      </c>
      <c r="P350" s="14">
        <f t="shared" ref="P350:R350" si="111">+D350-(D351+D357+D363+D374+D385)</f>
        <v>0</v>
      </c>
      <c r="Q350" s="14">
        <f t="shared" si="111"/>
        <v>-1.7136335372924805E-7</v>
      </c>
      <c r="R350" s="14">
        <f t="shared" si="111"/>
        <v>0</v>
      </c>
      <c r="S350" s="14">
        <f t="shared" ref="S350" si="112">+G350-(G351+G357+G363+G374+G385)</f>
        <v>0</v>
      </c>
      <c r="T350" s="14">
        <f t="shared" ref="T350:Z350" si="113">+H350-(H351+H357+H363+H374+H385)</f>
        <v>-2.8312206268310547E-7</v>
      </c>
      <c r="U350" s="14">
        <f t="shared" si="113"/>
        <v>0</v>
      </c>
      <c r="V350" s="14">
        <f t="shared" si="113"/>
        <v>0</v>
      </c>
      <c r="W350" s="14">
        <f t="shared" si="113"/>
        <v>-6.0535967350006104E-8</v>
      </c>
      <c r="X350" s="14">
        <f t="shared" si="113"/>
        <v>0</v>
      </c>
      <c r="Y350" s="14">
        <f t="shared" si="113"/>
        <v>0</v>
      </c>
      <c r="Z350" s="14">
        <f t="shared" si="113"/>
        <v>0</v>
      </c>
    </row>
    <row r="351" spans="2:26" hidden="1" outlineLevel="1" x14ac:dyDescent="0.25">
      <c r="B351" s="16" t="s">
        <v>2</v>
      </c>
      <c r="C351" s="14">
        <f>'[1]Stat by Mat'!$D$3-'[15]Stat by Mat'!$D$3</f>
        <v>0</v>
      </c>
      <c r="D351" s="14">
        <f>'[5]Stat by Mat'!$D$3-'[1]Stat by Mat'!$D$3</f>
        <v>0</v>
      </c>
      <c r="E351" s="36">
        <f>'[6]Stat by Mat'!$D$3-'[5]Stat by Mat'!$D$3</f>
        <v>-43694455.30928421</v>
      </c>
      <c r="F351" s="14">
        <f>'[7]Stat by Mat'!$D$3-'[6]Stat by Mat'!$D$3</f>
        <v>0</v>
      </c>
      <c r="G351" s="14">
        <f>'[8]Stat by Mat'!$D$3-'[7]Stat by Mat'!$D$3</f>
        <v>0</v>
      </c>
      <c r="H351" s="36">
        <f>'[9]Stat by Mat'!$D$3-'[8]Stat by Mat'!$D$3</f>
        <v>31591265.032512188</v>
      </c>
      <c r="I351" s="14">
        <f>'[10]Stat by Mat'!$D$3-'[9]Stat by Mat'!$D$3</f>
        <v>0</v>
      </c>
      <c r="J351" s="14">
        <f>'[11]Stat by Mat'!$D$3-'[10]Stat by Mat'!$D$3</f>
        <v>0</v>
      </c>
      <c r="K351" s="36">
        <f>'[12]Stat by Mat'!$D$3-'[11]Stat by Mat'!$D$3</f>
        <v>-2692073.1261308193</v>
      </c>
      <c r="L351" s="14">
        <f>'[13]Stat by Mat'!$D$3-'[12]Stat by Mat'!$D$3</f>
        <v>0</v>
      </c>
      <c r="M351" s="14">
        <f>'[14]Stat by Mat'!$D$3-'[13]Stat by Mat'!$D$3</f>
        <v>0</v>
      </c>
      <c r="N351" s="39"/>
      <c r="O351" s="14">
        <f>+C351-SUM(C352:C356)</f>
        <v>0</v>
      </c>
      <c r="P351" s="14">
        <f t="shared" ref="P351:R351" si="114">+D351-SUM(D352:D356)</f>
        <v>0</v>
      </c>
      <c r="Q351" s="14">
        <f t="shared" si="114"/>
        <v>0</v>
      </c>
      <c r="R351" s="14">
        <f t="shared" si="114"/>
        <v>0</v>
      </c>
      <c r="S351" s="14">
        <f t="shared" ref="S351" si="115">+G351-SUM(G352:G356)</f>
        <v>0</v>
      </c>
      <c r="T351" s="14">
        <f t="shared" ref="T351:Z351" si="116">+H351-SUM(H352:H356)</f>
        <v>0</v>
      </c>
      <c r="U351" s="14">
        <f t="shared" si="116"/>
        <v>0</v>
      </c>
      <c r="V351" s="14">
        <f t="shared" si="116"/>
        <v>0</v>
      </c>
      <c r="W351" s="14">
        <f t="shared" si="116"/>
        <v>1.1175870895385742E-7</v>
      </c>
      <c r="X351" s="14">
        <f t="shared" si="116"/>
        <v>0</v>
      </c>
      <c r="Y351" s="14">
        <f t="shared" si="116"/>
        <v>0</v>
      </c>
      <c r="Z351" s="14">
        <f t="shared" si="116"/>
        <v>0</v>
      </c>
    </row>
    <row r="352" spans="2:26" hidden="1" outlineLevel="2" x14ac:dyDescent="0.25">
      <c r="B352" s="17" t="s">
        <v>3</v>
      </c>
      <c r="C352" s="14">
        <f>+[1]Pricing_BEL!$L$5-[15]Pricing_BEL!$L$5</f>
        <v>0</v>
      </c>
      <c r="D352" s="14">
        <f>+[5]Pricing_BEL!$L$5-[1]Pricing_BEL!$L$5</f>
        <v>0</v>
      </c>
      <c r="E352" s="36">
        <f>+[6]Pricing_BEL!$L$5-[5]Pricing_BEL!$L$5</f>
        <v>-1016467.3202769756</v>
      </c>
      <c r="F352" s="14">
        <f>+[7]Pricing_BEL!$L$5-[6]Pricing_BEL!$L$5</f>
        <v>0</v>
      </c>
      <c r="G352" s="14">
        <f>+[8]Pricing_BEL!$L$5-[7]Pricing_BEL!$L$5</f>
        <v>0</v>
      </c>
      <c r="H352" s="36">
        <f>+[9]Pricing_BEL!$L$5-[8]Pricing_BEL!$L$5</f>
        <v>37564980.799788594</v>
      </c>
      <c r="I352" s="14">
        <f>+[10]Pricing_BEL!$L$5-[9]Pricing_BEL!$L$5</f>
        <v>0</v>
      </c>
      <c r="J352" s="14">
        <f>+[11]Pricing_BEL!$L$5-[10]Pricing_BEL!$L$5</f>
        <v>0</v>
      </c>
      <c r="K352" s="36">
        <f>+[12]Pricing_BEL!$L$5-[11]Pricing_BEL!$L$5</f>
        <v>19961395.620846748</v>
      </c>
      <c r="L352" s="14">
        <f>+[13]Pricing_BEL!$L$5-[12]Pricing_BEL!$L$5</f>
        <v>0</v>
      </c>
      <c r="M352" s="14">
        <f>+[14]Pricing_BEL!$L$5-[13]Pricing_BEL!$L$5</f>
        <v>0</v>
      </c>
      <c r="N352" s="39"/>
    </row>
    <row r="353" spans="2:26" hidden="1" outlineLevel="2" x14ac:dyDescent="0.25">
      <c r="B353" s="17" t="s">
        <v>4</v>
      </c>
      <c r="C353" s="14">
        <f>+[1]Pricing_BEL!$L$6-[15]Pricing_BEL!$L$6</f>
        <v>0</v>
      </c>
      <c r="D353" s="14">
        <f>+[5]Pricing_BEL!$L$6-[1]Pricing_BEL!$L$6</f>
        <v>0</v>
      </c>
      <c r="E353" s="36">
        <f>+[6]Pricing_BEL!$L$6-[5]Pricing_BEL!$L$6</f>
        <v>-40444397.525750697</v>
      </c>
      <c r="F353" s="14">
        <f>+[7]Pricing_BEL!$L$6-[6]Pricing_BEL!$L$6</f>
        <v>0</v>
      </c>
      <c r="G353" s="14">
        <f>+[8]Pricing_BEL!$L$6-[7]Pricing_BEL!$L$6</f>
        <v>0</v>
      </c>
      <c r="H353" s="36">
        <f>+[9]Pricing_BEL!$L$6-[8]Pricing_BEL!$L$6</f>
        <v>-6143832.6138676405</v>
      </c>
      <c r="I353" s="14">
        <f>+[10]Pricing_BEL!$L$6-[9]Pricing_BEL!$L$6</f>
        <v>0</v>
      </c>
      <c r="J353" s="14">
        <f>+[11]Pricing_BEL!$L$6-[10]Pricing_BEL!$L$6</f>
        <v>0</v>
      </c>
      <c r="K353" s="36">
        <f>+[12]Pricing_BEL!$L$6-[11]Pricing_BEL!$L$6</f>
        <v>-9762412.2446053028</v>
      </c>
      <c r="L353" s="14">
        <f>+[13]Pricing_BEL!$L$6-[12]Pricing_BEL!$L$6</f>
        <v>0</v>
      </c>
      <c r="M353" s="14">
        <f>+[14]Pricing_BEL!$L$6-[13]Pricing_BEL!$L$6</f>
        <v>0</v>
      </c>
      <c r="N353" s="39"/>
    </row>
    <row r="354" spans="2:26" hidden="1" outlineLevel="2" x14ac:dyDescent="0.25">
      <c r="B354" s="17" t="s">
        <v>5</v>
      </c>
      <c r="C354" s="14">
        <f>+[1]Pricing_BEL!$L$7-[15]Pricing_BEL!$L$7</f>
        <v>0</v>
      </c>
      <c r="D354" s="14">
        <f>+[5]Pricing_BEL!$L$7-[1]Pricing_BEL!$L$7</f>
        <v>0</v>
      </c>
      <c r="E354" s="36">
        <f>+[6]Pricing_BEL!$L$7-[5]Pricing_BEL!$L$7</f>
        <v>-988767.80121046305</v>
      </c>
      <c r="F354" s="14">
        <f>+[7]Pricing_BEL!$L$7-[6]Pricing_BEL!$L$7</f>
        <v>0</v>
      </c>
      <c r="G354" s="14">
        <f>+[8]Pricing_BEL!$L$7-[7]Pricing_BEL!$L$7</f>
        <v>0</v>
      </c>
      <c r="H354" s="36">
        <f>+[9]Pricing_BEL!$L$7-[8]Pricing_BEL!$L$7</f>
        <v>511062.90140284598</v>
      </c>
      <c r="I354" s="14">
        <f>+[10]Pricing_BEL!$L$7-[9]Pricing_BEL!$L$7</f>
        <v>0</v>
      </c>
      <c r="J354" s="14">
        <f>+[11]Pricing_BEL!$L$7-[10]Pricing_BEL!$L$7</f>
        <v>0</v>
      </c>
      <c r="K354" s="36">
        <f>+[12]Pricing_BEL!$L$7-[11]Pricing_BEL!$L$7</f>
        <v>-8904502.6248304397</v>
      </c>
      <c r="L354" s="14">
        <f>+[13]Pricing_BEL!$L$7-[12]Pricing_BEL!$L$7</f>
        <v>0</v>
      </c>
      <c r="M354" s="14">
        <f>+[14]Pricing_BEL!$L$7-[13]Pricing_BEL!$L$7</f>
        <v>0</v>
      </c>
      <c r="N354" s="39"/>
    </row>
    <row r="355" spans="2:26" hidden="1" outlineLevel="2" x14ac:dyDescent="0.25">
      <c r="B355" s="17" t="s">
        <v>6</v>
      </c>
      <c r="C355" s="14">
        <f>+[1]Pricing_BEL!$L$8-[15]Pricing_BEL!$L$8</f>
        <v>0</v>
      </c>
      <c r="D355" s="14">
        <f>+[5]Pricing_BEL!$L$8-[1]Pricing_BEL!$L$8</f>
        <v>0</v>
      </c>
      <c r="E355" s="36">
        <f>+[6]Pricing_BEL!$L$8-[5]Pricing_BEL!$L$8</f>
        <v>-1436476.9813208804</v>
      </c>
      <c r="F355" s="14">
        <f>+[7]Pricing_BEL!$L$8-[6]Pricing_BEL!$L$8</f>
        <v>0</v>
      </c>
      <c r="G355" s="14">
        <f>+[8]Pricing_BEL!$L$8-[7]Pricing_BEL!$L$8</f>
        <v>0</v>
      </c>
      <c r="H355" s="36">
        <f>+[9]Pricing_BEL!$L$8-[8]Pricing_BEL!$L$8</f>
        <v>-133342.85437842458</v>
      </c>
      <c r="I355" s="14">
        <f>+[10]Pricing_BEL!$L$8-[9]Pricing_BEL!$L$8</f>
        <v>0</v>
      </c>
      <c r="J355" s="14">
        <f>+[11]Pricing_BEL!$L$8-[10]Pricing_BEL!$L$8</f>
        <v>0</v>
      </c>
      <c r="K355" s="36">
        <f>+[12]Pricing_BEL!$L$8-[11]Pricing_BEL!$L$8</f>
        <v>-2871764.2401293069</v>
      </c>
      <c r="L355" s="14">
        <f>+[13]Pricing_BEL!$L$8-[12]Pricing_BEL!$L$8</f>
        <v>0</v>
      </c>
      <c r="M355" s="14">
        <f>+[14]Pricing_BEL!$L$8-[13]Pricing_BEL!$L$8</f>
        <v>0</v>
      </c>
      <c r="N355" s="39"/>
    </row>
    <row r="356" spans="2:26" hidden="1" outlineLevel="2" x14ac:dyDescent="0.25">
      <c r="B356" s="17" t="s">
        <v>7</v>
      </c>
      <c r="C356" s="14">
        <f>+[1]Pricing_BEL!$L$9-[15]Pricing_BEL!$L$9</f>
        <v>0</v>
      </c>
      <c r="D356" s="14">
        <f>+[5]Pricing_BEL!$L$9-[1]Pricing_BEL!$L$9</f>
        <v>0</v>
      </c>
      <c r="E356" s="36">
        <f>+[6]Pricing_BEL!$L$9-[5]Pricing_BEL!$L$9</f>
        <v>191654.31927482039</v>
      </c>
      <c r="F356" s="14">
        <f>+[7]Pricing_BEL!$L$9-[6]Pricing_BEL!$L$9</f>
        <v>0</v>
      </c>
      <c r="G356" s="14">
        <f>+[8]Pricing_BEL!$L$9-[7]Pricing_BEL!$L$9</f>
        <v>0</v>
      </c>
      <c r="H356" s="36">
        <f>+[9]Pricing_BEL!$L$9-[8]Pricing_BEL!$L$9</f>
        <v>-207603.20043318719</v>
      </c>
      <c r="I356" s="14">
        <f>+[10]Pricing_BEL!$L$9-[9]Pricing_BEL!$L$9</f>
        <v>0</v>
      </c>
      <c r="J356" s="14">
        <f>+[11]Pricing_BEL!$L$9-[10]Pricing_BEL!$L$9</f>
        <v>0</v>
      </c>
      <c r="K356" s="36">
        <f>+[12]Pricing_BEL!$L$9-[11]Pricing_BEL!$L$9</f>
        <v>-1114789.63741263</v>
      </c>
      <c r="L356" s="14">
        <f>+[13]Pricing_BEL!$L$9-[12]Pricing_BEL!$L$9</f>
        <v>0</v>
      </c>
      <c r="M356" s="14">
        <f>+[14]Pricing_BEL!$L$9-[13]Pricing_BEL!$L$9</f>
        <v>0</v>
      </c>
      <c r="N356" s="39"/>
    </row>
    <row r="357" spans="2:26" hidden="1" outlineLevel="1" collapsed="1" x14ac:dyDescent="0.25">
      <c r="B357" s="16" t="s">
        <v>8</v>
      </c>
      <c r="C357" s="14">
        <f>'[1]Stat by Mat'!$D$4-'[15]Stat by Mat'!$D$4</f>
        <v>0</v>
      </c>
      <c r="D357" s="14">
        <f>'[5]Stat by Mat'!$D$4-'[1]Stat by Mat'!$D$4</f>
        <v>0</v>
      </c>
      <c r="E357" s="36">
        <f>'[6]Stat by Mat'!$D$4-'[5]Stat by Mat'!$D$4</f>
        <v>2671026.6091557443</v>
      </c>
      <c r="F357" s="14">
        <f>'[7]Stat by Mat'!$D$4-'[6]Stat by Mat'!$D$4</f>
        <v>0</v>
      </c>
      <c r="G357" s="14">
        <f>'[8]Stat by Mat'!$D$4-'[7]Stat by Mat'!$D$4</f>
        <v>0</v>
      </c>
      <c r="H357" s="36">
        <f>'[9]Stat by Mat'!$D$4-'[8]Stat by Mat'!$D$4</f>
        <v>-767944.5235851258</v>
      </c>
      <c r="I357" s="14">
        <f>'[10]Stat by Mat'!$D$4-'[9]Stat by Mat'!$D$4</f>
        <v>0</v>
      </c>
      <c r="J357" s="14">
        <f>'[11]Stat by Mat'!$D$4-'[10]Stat by Mat'!$D$4</f>
        <v>0</v>
      </c>
      <c r="K357" s="36">
        <f>'[12]Stat by Mat'!$D$4-'[11]Stat by Mat'!$D$4</f>
        <v>-546559.00327372551</v>
      </c>
      <c r="L357" s="14">
        <f>'[13]Stat by Mat'!$D$4-'[12]Stat by Mat'!$D$4</f>
        <v>0</v>
      </c>
      <c r="M357" s="14">
        <f>'[14]Stat by Mat'!$D$4-'[13]Stat by Mat'!$D$4</f>
        <v>0</v>
      </c>
      <c r="N357" s="39"/>
      <c r="O357" s="14">
        <f>+C357-SUM(C358:C362)</f>
        <v>0</v>
      </c>
      <c r="P357" s="14">
        <f t="shared" ref="P357:R357" si="117">+D357-SUM(D358:D362)</f>
        <v>0</v>
      </c>
      <c r="Q357" s="14">
        <f t="shared" si="117"/>
        <v>0</v>
      </c>
      <c r="R357" s="14">
        <f t="shared" si="117"/>
        <v>0</v>
      </c>
      <c r="S357" s="14">
        <f t="shared" ref="S357" si="118">+G357-SUM(G358:G362)</f>
        <v>0</v>
      </c>
      <c r="T357" s="14">
        <f t="shared" ref="T357:Z357" si="119">+H357-SUM(H358:H362)</f>
        <v>-1.862645149230957E-9</v>
      </c>
      <c r="U357" s="14">
        <f t="shared" si="119"/>
        <v>0</v>
      </c>
      <c r="V357" s="14">
        <f t="shared" si="119"/>
        <v>0</v>
      </c>
      <c r="W357" s="14">
        <f t="shared" si="119"/>
        <v>1.862645149230957E-9</v>
      </c>
      <c r="X357" s="14">
        <f t="shared" si="119"/>
        <v>0</v>
      </c>
      <c r="Y357" s="14">
        <f t="shared" si="119"/>
        <v>0</v>
      </c>
      <c r="Z357" s="14">
        <f t="shared" si="119"/>
        <v>0</v>
      </c>
    </row>
    <row r="358" spans="2:26" hidden="1" outlineLevel="2" x14ac:dyDescent="0.25">
      <c r="B358" s="17" t="s">
        <v>9</v>
      </c>
      <c r="C358" s="14">
        <f>+[1]Pricing_BEL!$L$10-[15]Pricing_BEL!$L$10</f>
        <v>0</v>
      </c>
      <c r="D358" s="14">
        <f>+[5]Pricing_BEL!$L$10-[1]Pricing_BEL!$L$10</f>
        <v>0</v>
      </c>
      <c r="E358" s="36">
        <f>+[6]Pricing_BEL!$L$10-[5]Pricing_BEL!$L$10</f>
        <v>455202.48820608854</v>
      </c>
      <c r="F358" s="14">
        <f>+[7]Pricing_BEL!$L$10-[6]Pricing_BEL!$L$10</f>
        <v>0</v>
      </c>
      <c r="G358" s="14">
        <f>+[8]Pricing_BEL!$L$10-[7]Pricing_BEL!$L$10</f>
        <v>0</v>
      </c>
      <c r="H358" s="36">
        <f>+[9]Pricing_BEL!$L$10-[8]Pricing_BEL!$L$10</f>
        <v>-35165.384636849165</v>
      </c>
      <c r="I358" s="14">
        <f>+[10]Pricing_BEL!$L$10-[9]Pricing_BEL!$L$10</f>
        <v>0</v>
      </c>
      <c r="J358" s="14">
        <f>+[11]Pricing_BEL!$L$10-[10]Pricing_BEL!$L$10</f>
        <v>0</v>
      </c>
      <c r="K358" s="36">
        <f>+[12]Pricing_BEL!$L$10-[11]Pricing_BEL!$L$10</f>
        <v>-359287.57776067406</v>
      </c>
      <c r="L358" s="14">
        <f>+[13]Pricing_BEL!$L$10-[12]Pricing_BEL!$L$10</f>
        <v>0</v>
      </c>
      <c r="M358" s="14">
        <f>+[14]Pricing_BEL!$L$10-[13]Pricing_BEL!$L$10</f>
        <v>0</v>
      </c>
      <c r="N358" s="39"/>
    </row>
    <row r="359" spans="2:26" hidden="1" outlineLevel="2" x14ac:dyDescent="0.25">
      <c r="B359" s="17" t="s">
        <v>10</v>
      </c>
      <c r="C359" s="14">
        <f>+[1]Pricing_BEL!$L$11-[15]Pricing_BEL!$L$11</f>
        <v>0</v>
      </c>
      <c r="D359" s="14">
        <f>+[5]Pricing_BEL!$L$11-[1]Pricing_BEL!$L$11</f>
        <v>0</v>
      </c>
      <c r="E359" s="36">
        <f>+[6]Pricing_BEL!$L$11-[5]Pricing_BEL!$L$11</f>
        <v>373996.98563934863</v>
      </c>
      <c r="F359" s="14">
        <f>+[7]Pricing_BEL!$L$11-[6]Pricing_BEL!$L$11</f>
        <v>0</v>
      </c>
      <c r="G359" s="14">
        <f>+[8]Pricing_BEL!$L$11-[7]Pricing_BEL!$L$11</f>
        <v>0</v>
      </c>
      <c r="H359" s="36">
        <f>+[9]Pricing_BEL!$L$11-[8]Pricing_BEL!$L$11</f>
        <v>-177675.50177592039</v>
      </c>
      <c r="I359" s="14">
        <f>+[10]Pricing_BEL!$L$11-[9]Pricing_BEL!$L$11</f>
        <v>0</v>
      </c>
      <c r="J359" s="14">
        <f>+[11]Pricing_BEL!$L$11-[10]Pricing_BEL!$L$11</f>
        <v>0</v>
      </c>
      <c r="K359" s="36">
        <f>+[12]Pricing_BEL!$L$11-[11]Pricing_BEL!$L$11</f>
        <v>-200027.76527502388</v>
      </c>
      <c r="L359" s="14">
        <f>+[13]Pricing_BEL!$L$11-[12]Pricing_BEL!$L$11</f>
        <v>0</v>
      </c>
      <c r="M359" s="14">
        <f>+[14]Pricing_BEL!$L$11-[13]Pricing_BEL!$L$11</f>
        <v>0</v>
      </c>
      <c r="N359" s="39"/>
    </row>
    <row r="360" spans="2:26" hidden="1" outlineLevel="2" x14ac:dyDescent="0.25">
      <c r="B360" s="17" t="s">
        <v>11</v>
      </c>
      <c r="C360" s="14">
        <f>+[1]Pricing_BEL!$L$12-[15]Pricing_BEL!$L$12</f>
        <v>0</v>
      </c>
      <c r="D360" s="14">
        <f>+[5]Pricing_BEL!$L$12-[1]Pricing_BEL!$L$12</f>
        <v>0</v>
      </c>
      <c r="E360" s="36">
        <f>+[6]Pricing_BEL!$L$12-[5]Pricing_BEL!$L$12</f>
        <v>349413.94661094621</v>
      </c>
      <c r="F360" s="14">
        <f>+[7]Pricing_BEL!$L$12-[6]Pricing_BEL!$L$12</f>
        <v>0</v>
      </c>
      <c r="G360" s="14">
        <f>+[8]Pricing_BEL!$L$12-[7]Pricing_BEL!$L$12</f>
        <v>0</v>
      </c>
      <c r="H360" s="36">
        <f>+[9]Pricing_BEL!$L$12-[8]Pricing_BEL!$L$12</f>
        <v>-240216.72769823298</v>
      </c>
      <c r="I360" s="14">
        <f>+[10]Pricing_BEL!$L$12-[9]Pricing_BEL!$L$12</f>
        <v>0</v>
      </c>
      <c r="J360" s="14">
        <f>+[11]Pricing_BEL!$L$12-[10]Pricing_BEL!$L$12</f>
        <v>0</v>
      </c>
      <c r="K360" s="36">
        <f>+[12]Pricing_BEL!$L$12-[11]Pricing_BEL!$L$12</f>
        <v>-114045.25563834608</v>
      </c>
      <c r="L360" s="14">
        <f>+[13]Pricing_BEL!$L$12-[12]Pricing_BEL!$L$12</f>
        <v>0</v>
      </c>
      <c r="M360" s="14">
        <f>+[14]Pricing_BEL!$L$12-[13]Pricing_BEL!$L$12</f>
        <v>0</v>
      </c>
      <c r="N360" s="39"/>
    </row>
    <row r="361" spans="2:26" hidden="1" outlineLevel="2" x14ac:dyDescent="0.25">
      <c r="B361" s="17" t="s">
        <v>12</v>
      </c>
      <c r="C361" s="14">
        <f>+[1]Pricing_BEL!$L$13-[15]Pricing_BEL!$L$13</f>
        <v>0</v>
      </c>
      <c r="D361" s="14">
        <f>+[5]Pricing_BEL!$L$13-[1]Pricing_BEL!$L$13</f>
        <v>0</v>
      </c>
      <c r="E361" s="36">
        <f>+[6]Pricing_BEL!$L$13-[5]Pricing_BEL!$L$13</f>
        <v>917171.40858770162</v>
      </c>
      <c r="F361" s="14">
        <f>+[7]Pricing_BEL!$L$13-[6]Pricing_BEL!$L$13</f>
        <v>0</v>
      </c>
      <c r="G361" s="14">
        <f>+[8]Pricing_BEL!$L$13-[7]Pricing_BEL!$L$13</f>
        <v>0</v>
      </c>
      <c r="H361" s="36">
        <f>+[9]Pricing_BEL!$L$13-[8]Pricing_BEL!$L$13</f>
        <v>-66866.041795343161</v>
      </c>
      <c r="I361" s="14">
        <f>+[10]Pricing_BEL!$L$13-[9]Pricing_BEL!$L$13</f>
        <v>0</v>
      </c>
      <c r="J361" s="14">
        <f>+[11]Pricing_BEL!$L$13-[10]Pricing_BEL!$L$13</f>
        <v>0</v>
      </c>
      <c r="K361" s="36">
        <f>+[12]Pricing_BEL!$L$13-[11]Pricing_BEL!$L$13</f>
        <v>11711.029126461595</v>
      </c>
      <c r="L361" s="14">
        <f>+[13]Pricing_BEL!$L$13-[12]Pricing_BEL!$L$13</f>
        <v>0</v>
      </c>
      <c r="M361" s="14">
        <f>+[14]Pricing_BEL!$L$13-[13]Pricing_BEL!$L$13</f>
        <v>0</v>
      </c>
      <c r="N361" s="39"/>
    </row>
    <row r="362" spans="2:26" hidden="1" outlineLevel="2" x14ac:dyDescent="0.25">
      <c r="B362" s="17" t="s">
        <v>13</v>
      </c>
      <c r="C362" s="14">
        <f>+[1]Pricing_BEL!$L$14-[15]Pricing_BEL!$L$14</f>
        <v>0</v>
      </c>
      <c r="D362" s="14">
        <f>+[5]Pricing_BEL!$L$14-[1]Pricing_BEL!$L$14</f>
        <v>0</v>
      </c>
      <c r="E362" s="36">
        <f>+[6]Pricing_BEL!$L$14-[5]Pricing_BEL!$L$14</f>
        <v>575241.78011165746</v>
      </c>
      <c r="F362" s="14">
        <f>+[7]Pricing_BEL!$L$14-[6]Pricing_BEL!$L$14</f>
        <v>0</v>
      </c>
      <c r="G362" s="14">
        <f>+[8]Pricing_BEL!$L$14-[7]Pricing_BEL!$L$14</f>
        <v>0</v>
      </c>
      <c r="H362" s="36">
        <f>+[9]Pricing_BEL!$L$14-[8]Pricing_BEL!$L$14</f>
        <v>-248020.86767877825</v>
      </c>
      <c r="I362" s="14">
        <f>+[10]Pricing_BEL!$L$14-[9]Pricing_BEL!$L$14</f>
        <v>0</v>
      </c>
      <c r="J362" s="14">
        <f>+[11]Pricing_BEL!$L$14-[10]Pricing_BEL!$L$14</f>
        <v>0</v>
      </c>
      <c r="K362" s="36">
        <f>+[12]Pricing_BEL!$L$14-[11]Pricing_BEL!$L$14</f>
        <v>115090.56627385505</v>
      </c>
      <c r="L362" s="14">
        <f>+[13]Pricing_BEL!$L$14-[12]Pricing_BEL!$L$14</f>
        <v>0</v>
      </c>
      <c r="M362" s="14">
        <f>+[14]Pricing_BEL!$L$14-[13]Pricing_BEL!$L$14</f>
        <v>0</v>
      </c>
      <c r="N362" s="39"/>
    </row>
    <row r="363" spans="2:26" hidden="1" outlineLevel="1" collapsed="1" x14ac:dyDescent="0.25">
      <c r="B363" s="16" t="s">
        <v>14</v>
      </c>
      <c r="C363" s="14">
        <f>'[1]Stat by Mat'!$D$5-'[15]Stat by Mat'!$D$5</f>
        <v>0</v>
      </c>
      <c r="D363" s="14">
        <f>'[5]Stat by Mat'!$D$5-'[1]Stat by Mat'!$D$5</f>
        <v>0</v>
      </c>
      <c r="E363" s="36">
        <f>'[6]Stat by Mat'!$D$5-'[5]Stat by Mat'!$D$5</f>
        <v>4877014.3732751682</v>
      </c>
      <c r="F363" s="14">
        <f>'[7]Stat by Mat'!$D$5-'[6]Stat by Mat'!$D$5</f>
        <v>0</v>
      </c>
      <c r="G363" s="14">
        <f>'[8]Stat by Mat'!$D$5-'[7]Stat by Mat'!$D$5</f>
        <v>0</v>
      </c>
      <c r="H363" s="36">
        <f>'[9]Stat by Mat'!$D$5-'[8]Stat by Mat'!$D$5</f>
        <v>25003.657499723136</v>
      </c>
      <c r="I363" s="14">
        <f>'[10]Stat by Mat'!$D$5-'[9]Stat by Mat'!$D$5</f>
        <v>0</v>
      </c>
      <c r="J363" s="14">
        <f>'[11]Stat by Mat'!$D$5-'[10]Stat by Mat'!$D$5</f>
        <v>0</v>
      </c>
      <c r="K363" s="36">
        <f>'[12]Stat by Mat'!$D$5-'[11]Stat by Mat'!$D$5</f>
        <v>-453843.52824870497</v>
      </c>
      <c r="L363" s="14">
        <f>'[13]Stat by Mat'!$D$5-'[12]Stat by Mat'!$D$5</f>
        <v>0</v>
      </c>
      <c r="M363" s="14">
        <f>'[14]Stat by Mat'!$D$5-'[13]Stat by Mat'!$D$5</f>
        <v>0</v>
      </c>
      <c r="N363" s="39"/>
      <c r="O363" s="14">
        <f>+C363-SUM(C364:C373)</f>
        <v>0</v>
      </c>
      <c r="P363" s="14">
        <f t="shared" ref="P363:R363" si="120">+D363-SUM(D364:D373)</f>
        <v>0</v>
      </c>
      <c r="Q363" s="14">
        <f t="shared" si="120"/>
        <v>0</v>
      </c>
      <c r="R363" s="14">
        <f t="shared" si="120"/>
        <v>0</v>
      </c>
      <c r="S363" s="14">
        <f t="shared" ref="S363" si="121">+G363-SUM(G364:G373)</f>
        <v>0</v>
      </c>
      <c r="T363" s="14">
        <f t="shared" ref="T363:Z363" si="122">+H363-SUM(H364:H373)</f>
        <v>2.7939677238464355E-9</v>
      </c>
      <c r="U363" s="14">
        <f t="shared" si="122"/>
        <v>0</v>
      </c>
      <c r="V363" s="14">
        <f t="shared" si="122"/>
        <v>0</v>
      </c>
      <c r="W363" s="14">
        <f t="shared" si="122"/>
        <v>-2.3283064365386963E-9</v>
      </c>
      <c r="X363" s="14">
        <f t="shared" si="122"/>
        <v>0</v>
      </c>
      <c r="Y363" s="14">
        <f t="shared" si="122"/>
        <v>0</v>
      </c>
      <c r="Z363" s="14">
        <f t="shared" si="122"/>
        <v>0</v>
      </c>
    </row>
    <row r="364" spans="2:26" hidden="1" outlineLevel="2" x14ac:dyDescent="0.25">
      <c r="B364" s="17" t="s">
        <v>15</v>
      </c>
      <c r="C364" s="14">
        <f>+[1]Pricing_BEL!$L$15-[15]Pricing_BEL!$L$15</f>
        <v>0</v>
      </c>
      <c r="D364" s="14">
        <f>+[5]Pricing_BEL!$L$15-[1]Pricing_BEL!$L$15</f>
        <v>0</v>
      </c>
      <c r="E364" s="36">
        <f>+[6]Pricing_BEL!$L$15-[5]Pricing_BEL!$L$15</f>
        <v>735391.11316909641</v>
      </c>
      <c r="F364" s="14">
        <f>+[7]Pricing_BEL!$L$15-[6]Pricing_BEL!$L$15</f>
        <v>0</v>
      </c>
      <c r="G364" s="14">
        <f>+[8]Pricing_BEL!$L$15-[7]Pricing_BEL!$L$15</f>
        <v>0</v>
      </c>
      <c r="H364" s="36">
        <f>+[9]Pricing_BEL!$L$15-[8]Pricing_BEL!$L$15</f>
        <v>-166009.98993048072</v>
      </c>
      <c r="I364" s="14">
        <f>+[10]Pricing_BEL!$L$15-[9]Pricing_BEL!$L$15</f>
        <v>0</v>
      </c>
      <c r="J364" s="14">
        <f>+[11]Pricing_BEL!$L$15-[10]Pricing_BEL!$L$15</f>
        <v>0</v>
      </c>
      <c r="K364" s="36">
        <f>+[12]Pricing_BEL!$L$15-[11]Pricing_BEL!$L$15</f>
        <v>10366.291819518432</v>
      </c>
      <c r="L364" s="14">
        <f>+[13]Pricing_BEL!$L$15-[12]Pricing_BEL!$L$15</f>
        <v>0</v>
      </c>
      <c r="M364" s="14">
        <f>+[14]Pricing_BEL!$L$15-[13]Pricing_BEL!$L$15</f>
        <v>0</v>
      </c>
      <c r="N364" s="39"/>
    </row>
    <row r="365" spans="2:26" hidden="1" outlineLevel="2" x14ac:dyDescent="0.25">
      <c r="B365" s="17" t="s">
        <v>16</v>
      </c>
      <c r="C365" s="14">
        <f>+[1]Pricing_BEL!$L$16-[15]Pricing_BEL!$L$16</f>
        <v>0</v>
      </c>
      <c r="D365" s="14">
        <f>+[5]Pricing_BEL!$L$16-[1]Pricing_BEL!$L$16</f>
        <v>0</v>
      </c>
      <c r="E365" s="36">
        <f>+[6]Pricing_BEL!$L$16-[5]Pricing_BEL!$L$16</f>
        <v>893157.19221591577</v>
      </c>
      <c r="F365" s="14">
        <f>+[7]Pricing_BEL!$L$16-[6]Pricing_BEL!$L$16</f>
        <v>0</v>
      </c>
      <c r="G365" s="14">
        <f>+[8]Pricing_BEL!$L$16-[7]Pricing_BEL!$L$16</f>
        <v>0</v>
      </c>
      <c r="H365" s="36">
        <f>+[9]Pricing_BEL!$L$16-[8]Pricing_BEL!$L$16</f>
        <v>-18132.781336480752</v>
      </c>
      <c r="I365" s="14">
        <f>+[10]Pricing_BEL!$L$16-[9]Pricing_BEL!$L$16</f>
        <v>0</v>
      </c>
      <c r="J365" s="14">
        <f>+[11]Pricing_BEL!$L$16-[10]Pricing_BEL!$L$16</f>
        <v>0</v>
      </c>
      <c r="K365" s="36">
        <f>+[12]Pricing_BEL!$L$16-[11]Pricing_BEL!$L$16</f>
        <v>-62629.515538025647</v>
      </c>
      <c r="L365" s="14">
        <f>+[13]Pricing_BEL!$L$16-[12]Pricing_BEL!$L$16</f>
        <v>0</v>
      </c>
      <c r="M365" s="14">
        <f>+[14]Pricing_BEL!$L$16-[13]Pricing_BEL!$L$16</f>
        <v>0</v>
      </c>
      <c r="N365" s="39"/>
    </row>
    <row r="366" spans="2:26" hidden="1" outlineLevel="2" x14ac:dyDescent="0.25">
      <c r="B366" s="17" t="s">
        <v>17</v>
      </c>
      <c r="C366" s="14">
        <f>+[1]Pricing_BEL!$L$17-[15]Pricing_BEL!$L$17</f>
        <v>0</v>
      </c>
      <c r="D366" s="14">
        <f>+[5]Pricing_BEL!$L$17-[1]Pricing_BEL!$L$17</f>
        <v>0</v>
      </c>
      <c r="E366" s="36">
        <f>+[6]Pricing_BEL!$L$17-[5]Pricing_BEL!$L$17</f>
        <v>750178.10824672133</v>
      </c>
      <c r="F366" s="14">
        <f>+[7]Pricing_BEL!$L$17-[6]Pricing_BEL!$L$17</f>
        <v>0</v>
      </c>
      <c r="G366" s="14">
        <f>+[8]Pricing_BEL!$L$17-[7]Pricing_BEL!$L$17</f>
        <v>0</v>
      </c>
      <c r="H366" s="36">
        <f>+[9]Pricing_BEL!$L$17-[8]Pricing_BEL!$L$17</f>
        <v>11708.563740540296</v>
      </c>
      <c r="I366" s="14">
        <f>+[10]Pricing_BEL!$L$17-[9]Pricing_BEL!$L$17</f>
        <v>0</v>
      </c>
      <c r="J366" s="14">
        <f>+[11]Pricing_BEL!$L$17-[10]Pricing_BEL!$L$17</f>
        <v>0</v>
      </c>
      <c r="K366" s="36">
        <f>+[12]Pricing_BEL!$L$17-[11]Pricing_BEL!$L$17</f>
        <v>-40500.883573835716</v>
      </c>
      <c r="L366" s="14">
        <f>+[13]Pricing_BEL!$L$17-[12]Pricing_BEL!$L$17</f>
        <v>0</v>
      </c>
      <c r="M366" s="14">
        <f>+[14]Pricing_BEL!$L$17-[13]Pricing_BEL!$L$17</f>
        <v>0</v>
      </c>
      <c r="N366" s="39"/>
    </row>
    <row r="367" spans="2:26" hidden="1" outlineLevel="2" x14ac:dyDescent="0.25">
      <c r="B367" s="17" t="s">
        <v>18</v>
      </c>
      <c r="C367" s="14">
        <f>+[1]Pricing_BEL!$L$18-[15]Pricing_BEL!$L$18</f>
        <v>0</v>
      </c>
      <c r="D367" s="14">
        <f>+[5]Pricing_BEL!$L$18-[1]Pricing_BEL!$L$18</f>
        <v>0</v>
      </c>
      <c r="E367" s="36">
        <f>+[6]Pricing_BEL!$L$18-[5]Pricing_BEL!$L$18</f>
        <v>612556.98416872602</v>
      </c>
      <c r="F367" s="14">
        <f>+[7]Pricing_BEL!$L$18-[6]Pricing_BEL!$L$18</f>
        <v>0</v>
      </c>
      <c r="G367" s="14">
        <f>+[8]Pricing_BEL!$L$18-[7]Pricing_BEL!$L$18</f>
        <v>0</v>
      </c>
      <c r="H367" s="36">
        <f>+[9]Pricing_BEL!$L$18-[8]Pricing_BEL!$L$18</f>
        <v>-24770.401560698636</v>
      </c>
      <c r="I367" s="14">
        <f>+[10]Pricing_BEL!$L$18-[9]Pricing_BEL!$L$18</f>
        <v>0</v>
      </c>
      <c r="J367" s="14">
        <f>+[11]Pricing_BEL!$L$18-[10]Pricing_BEL!$L$18</f>
        <v>0</v>
      </c>
      <c r="K367" s="36">
        <f>+[12]Pricing_BEL!$L$18-[11]Pricing_BEL!$L$18</f>
        <v>-45031.664120562375</v>
      </c>
      <c r="L367" s="14">
        <f>+[13]Pricing_BEL!$L$18-[12]Pricing_BEL!$L$18</f>
        <v>0</v>
      </c>
      <c r="M367" s="14">
        <f>+[14]Pricing_BEL!$L$18-[13]Pricing_BEL!$L$18</f>
        <v>0</v>
      </c>
      <c r="N367" s="39"/>
    </row>
    <row r="368" spans="2:26" hidden="1" outlineLevel="2" x14ac:dyDescent="0.25">
      <c r="B368" s="17" t="s">
        <v>19</v>
      </c>
      <c r="C368" s="14">
        <f>+[1]Pricing_BEL!$L$19-[15]Pricing_BEL!$L$19</f>
        <v>0</v>
      </c>
      <c r="D368" s="14">
        <f>+[5]Pricing_BEL!$L$19-[1]Pricing_BEL!$L$19</f>
        <v>0</v>
      </c>
      <c r="E368" s="36">
        <f>+[6]Pricing_BEL!$L$19-[5]Pricing_BEL!$L$19</f>
        <v>516071.69698422495</v>
      </c>
      <c r="F368" s="14">
        <f>+[7]Pricing_BEL!$L$19-[6]Pricing_BEL!$L$19</f>
        <v>0</v>
      </c>
      <c r="G368" s="14">
        <f>+[8]Pricing_BEL!$L$19-[7]Pricing_BEL!$L$19</f>
        <v>0</v>
      </c>
      <c r="H368" s="36">
        <f>+[9]Pricing_BEL!$L$19-[8]Pricing_BEL!$L$19</f>
        <v>21823.55141571071</v>
      </c>
      <c r="I368" s="14">
        <f>+[10]Pricing_BEL!$L$19-[9]Pricing_BEL!$L$19</f>
        <v>0</v>
      </c>
      <c r="J368" s="14">
        <f>+[11]Pricing_BEL!$L$19-[10]Pricing_BEL!$L$19</f>
        <v>0</v>
      </c>
      <c r="K368" s="36">
        <f>+[12]Pricing_BEL!$L$19-[11]Pricing_BEL!$L$19</f>
        <v>4111.0173129886389</v>
      </c>
      <c r="L368" s="14">
        <f>+[13]Pricing_BEL!$L$19-[12]Pricing_BEL!$L$19</f>
        <v>0</v>
      </c>
      <c r="M368" s="14">
        <f>+[14]Pricing_BEL!$L$19-[13]Pricing_BEL!$L$19</f>
        <v>0</v>
      </c>
      <c r="N368" s="39"/>
    </row>
    <row r="369" spans="2:26" hidden="1" outlineLevel="2" x14ac:dyDescent="0.25">
      <c r="B369" s="17" t="s">
        <v>20</v>
      </c>
      <c r="C369" s="14">
        <f>+[1]Pricing_BEL!$L$20-[15]Pricing_BEL!$L$20</f>
        <v>0</v>
      </c>
      <c r="D369" s="14">
        <f>+[5]Pricing_BEL!$L$20-[1]Pricing_BEL!$L$20</f>
        <v>0</v>
      </c>
      <c r="E369" s="36">
        <f>+[6]Pricing_BEL!$L$20-[5]Pricing_BEL!$L$20</f>
        <v>429675.03693817277</v>
      </c>
      <c r="F369" s="14">
        <f>+[7]Pricing_BEL!$L$20-[6]Pricing_BEL!$L$20</f>
        <v>0</v>
      </c>
      <c r="G369" s="14">
        <f>+[8]Pricing_BEL!$L$20-[7]Pricing_BEL!$L$20</f>
        <v>0</v>
      </c>
      <c r="H369" s="36">
        <f>+[9]Pricing_BEL!$L$20-[8]Pricing_BEL!$L$20</f>
        <v>48150.612361242995</v>
      </c>
      <c r="I369" s="14">
        <f>+[10]Pricing_BEL!$L$20-[9]Pricing_BEL!$L$20</f>
        <v>0</v>
      </c>
      <c r="J369" s="14">
        <f>+[11]Pricing_BEL!$L$20-[10]Pricing_BEL!$L$20</f>
        <v>0</v>
      </c>
      <c r="K369" s="36">
        <f>+[12]Pricing_BEL!$L$20-[11]Pricing_BEL!$L$20</f>
        <v>-20048.62233164534</v>
      </c>
      <c r="L369" s="14">
        <f>+[13]Pricing_BEL!$L$20-[12]Pricing_BEL!$L$20</f>
        <v>0</v>
      </c>
      <c r="M369" s="14">
        <f>+[14]Pricing_BEL!$L$20-[13]Pricing_BEL!$L$20</f>
        <v>0</v>
      </c>
      <c r="N369" s="39"/>
    </row>
    <row r="370" spans="2:26" hidden="1" outlineLevel="2" x14ac:dyDescent="0.25">
      <c r="B370" s="17" t="s">
        <v>21</v>
      </c>
      <c r="C370" s="14">
        <f>+[1]Pricing_BEL!$L$21-[15]Pricing_BEL!$L$21</f>
        <v>0</v>
      </c>
      <c r="D370" s="14">
        <f>+[5]Pricing_BEL!$L$21-[1]Pricing_BEL!$L$21</f>
        <v>0</v>
      </c>
      <c r="E370" s="36">
        <f>+[6]Pricing_BEL!$L$21-[5]Pricing_BEL!$L$21</f>
        <v>350703.25362720899</v>
      </c>
      <c r="F370" s="14">
        <f>+[7]Pricing_BEL!$L$21-[6]Pricing_BEL!$L$21</f>
        <v>0</v>
      </c>
      <c r="G370" s="14">
        <f>+[8]Pricing_BEL!$L$21-[7]Pricing_BEL!$L$21</f>
        <v>0</v>
      </c>
      <c r="H370" s="36">
        <f>+[9]Pricing_BEL!$L$21-[8]Pricing_BEL!$L$21</f>
        <v>48787.902769573033</v>
      </c>
      <c r="I370" s="14">
        <f>+[10]Pricing_BEL!$L$21-[9]Pricing_BEL!$L$21</f>
        <v>0</v>
      </c>
      <c r="J370" s="14">
        <f>+[11]Pricing_BEL!$L$21-[10]Pricing_BEL!$L$21</f>
        <v>0</v>
      </c>
      <c r="K370" s="36">
        <f>+[12]Pricing_BEL!$L$21-[11]Pricing_BEL!$L$21</f>
        <v>-37662.803427423351</v>
      </c>
      <c r="L370" s="14">
        <f>+[13]Pricing_BEL!$L$21-[12]Pricing_BEL!$L$21</f>
        <v>0</v>
      </c>
      <c r="M370" s="14">
        <f>+[14]Pricing_BEL!$L$21-[13]Pricing_BEL!$L$21</f>
        <v>0</v>
      </c>
      <c r="N370" s="39"/>
    </row>
    <row r="371" spans="2:26" hidden="1" outlineLevel="2" x14ac:dyDescent="0.25">
      <c r="B371" s="17" t="s">
        <v>22</v>
      </c>
      <c r="C371" s="14">
        <f>+[1]Pricing_BEL!$L$22-[15]Pricing_BEL!$L$22</f>
        <v>0</v>
      </c>
      <c r="D371" s="14">
        <f>+[5]Pricing_BEL!$L$22-[1]Pricing_BEL!$L$22</f>
        <v>0</v>
      </c>
      <c r="E371" s="36">
        <f>+[6]Pricing_BEL!$L$22-[5]Pricing_BEL!$L$22</f>
        <v>260972.4419694664</v>
      </c>
      <c r="F371" s="14">
        <f>+[7]Pricing_BEL!$L$22-[6]Pricing_BEL!$L$22</f>
        <v>0</v>
      </c>
      <c r="G371" s="14">
        <f>+[8]Pricing_BEL!$L$22-[7]Pricing_BEL!$L$22</f>
        <v>0</v>
      </c>
      <c r="H371" s="36">
        <f>+[9]Pricing_BEL!$L$22-[8]Pricing_BEL!$L$22</f>
        <v>46362.52213836927</v>
      </c>
      <c r="I371" s="14">
        <f>+[10]Pricing_BEL!$L$22-[9]Pricing_BEL!$L$22</f>
        <v>0</v>
      </c>
      <c r="J371" s="14">
        <f>+[11]Pricing_BEL!$L$22-[10]Pricing_BEL!$L$22</f>
        <v>0</v>
      </c>
      <c r="K371" s="36">
        <f>+[12]Pricing_BEL!$L$22-[11]Pricing_BEL!$L$22</f>
        <v>-75767.292985167354</v>
      </c>
      <c r="L371" s="14">
        <f>+[13]Pricing_BEL!$L$22-[12]Pricing_BEL!$L$22</f>
        <v>0</v>
      </c>
      <c r="M371" s="14">
        <f>+[14]Pricing_BEL!$L$22-[13]Pricing_BEL!$L$22</f>
        <v>0</v>
      </c>
      <c r="N371" s="39"/>
    </row>
    <row r="372" spans="2:26" hidden="1" outlineLevel="2" x14ac:dyDescent="0.25">
      <c r="B372" s="17" t="s">
        <v>23</v>
      </c>
      <c r="C372" s="14">
        <f>+[1]Pricing_BEL!$L$23-[15]Pricing_BEL!$L$23</f>
        <v>0</v>
      </c>
      <c r="D372" s="14">
        <f>+[5]Pricing_BEL!$L$23-[1]Pricing_BEL!$L$23</f>
        <v>0</v>
      </c>
      <c r="E372" s="36">
        <f>+[6]Pricing_BEL!$L$23-[5]Pricing_BEL!$L$23</f>
        <v>171693.77536615171</v>
      </c>
      <c r="F372" s="14">
        <f>+[7]Pricing_BEL!$L$23-[6]Pricing_BEL!$L$23</f>
        <v>0</v>
      </c>
      <c r="G372" s="14">
        <f>+[8]Pricing_BEL!$L$23-[7]Pricing_BEL!$L$23</f>
        <v>0</v>
      </c>
      <c r="H372" s="36">
        <f>+[9]Pricing_BEL!$L$23-[8]Pricing_BEL!$L$23</f>
        <v>22080.411089051981</v>
      </c>
      <c r="I372" s="14">
        <f>+[10]Pricing_BEL!$L$23-[9]Pricing_BEL!$L$23</f>
        <v>0</v>
      </c>
      <c r="J372" s="14">
        <f>+[11]Pricing_BEL!$L$23-[10]Pricing_BEL!$L$23</f>
        <v>0</v>
      </c>
      <c r="K372" s="36">
        <f>+[12]Pricing_BEL!$L$23-[11]Pricing_BEL!$L$23</f>
        <v>-107450.97715783445</v>
      </c>
      <c r="L372" s="14">
        <f>+[13]Pricing_BEL!$L$23-[12]Pricing_BEL!$L$23</f>
        <v>0</v>
      </c>
      <c r="M372" s="14">
        <f>+[14]Pricing_BEL!$L$23-[13]Pricing_BEL!$L$23</f>
        <v>0</v>
      </c>
      <c r="N372" s="39"/>
    </row>
    <row r="373" spans="2:26" hidden="1" outlineLevel="2" x14ac:dyDescent="0.25">
      <c r="B373" s="17" t="s">
        <v>24</v>
      </c>
      <c r="C373" s="14">
        <f>+[1]Pricing_BEL!$L$24-[15]Pricing_BEL!$L$24</f>
        <v>0</v>
      </c>
      <c r="D373" s="14">
        <f>+[5]Pricing_BEL!$L$24-[1]Pricing_BEL!$L$24</f>
        <v>0</v>
      </c>
      <c r="E373" s="36">
        <f>+[6]Pricing_BEL!$L$24-[5]Pricing_BEL!$L$24</f>
        <v>156614.7705894853</v>
      </c>
      <c r="F373" s="14">
        <f>+[7]Pricing_BEL!$L$24-[6]Pricing_BEL!$L$24</f>
        <v>0</v>
      </c>
      <c r="G373" s="14">
        <f>+[8]Pricing_BEL!$L$24-[7]Pricing_BEL!$L$24</f>
        <v>0</v>
      </c>
      <c r="H373" s="36">
        <f>+[9]Pricing_BEL!$L$24-[8]Pricing_BEL!$L$24</f>
        <v>35003.266812892165</v>
      </c>
      <c r="I373" s="14">
        <f>+[10]Pricing_BEL!$L$24-[9]Pricing_BEL!$L$24</f>
        <v>0</v>
      </c>
      <c r="J373" s="14">
        <f>+[11]Pricing_BEL!$L$24-[10]Pricing_BEL!$L$24</f>
        <v>0</v>
      </c>
      <c r="K373" s="36">
        <f>+[12]Pricing_BEL!$L$24-[11]Pricing_BEL!$L$24</f>
        <v>-79229.078246715479</v>
      </c>
      <c r="L373" s="14">
        <f>+[13]Pricing_BEL!$L$24-[12]Pricing_BEL!$L$24</f>
        <v>0</v>
      </c>
      <c r="M373" s="14">
        <f>+[14]Pricing_BEL!$L$24-[13]Pricing_BEL!$L$24</f>
        <v>0</v>
      </c>
      <c r="N373" s="39"/>
    </row>
    <row r="374" spans="2:26" hidden="1" outlineLevel="1" collapsed="1" x14ac:dyDescent="0.25">
      <c r="B374" s="16" t="s">
        <v>25</v>
      </c>
      <c r="C374" s="14">
        <f>'[1]Stat by Mat'!$D$6-'[15]Stat by Mat'!$D$6</f>
        <v>0</v>
      </c>
      <c r="D374" s="14">
        <f>'[5]Stat by Mat'!$D$6-'[1]Stat by Mat'!$D$6</f>
        <v>0</v>
      </c>
      <c r="E374" s="36">
        <f>'[6]Stat by Mat'!$D$6-'[5]Stat by Mat'!$D$6</f>
        <v>530991.98636597767</v>
      </c>
      <c r="F374" s="14">
        <f>'[7]Stat by Mat'!$D$6-'[6]Stat by Mat'!$D$6</f>
        <v>0</v>
      </c>
      <c r="G374" s="14">
        <f>'[8]Stat by Mat'!$D$6-'[7]Stat by Mat'!$D$6</f>
        <v>0</v>
      </c>
      <c r="H374" s="36">
        <f>'[9]Stat by Mat'!$D$6-'[8]Stat by Mat'!$D$6</f>
        <v>7136.3994855992496</v>
      </c>
      <c r="I374" s="14">
        <f>'[10]Stat by Mat'!$D$6-'[9]Stat by Mat'!$D$6</f>
        <v>0</v>
      </c>
      <c r="J374" s="14">
        <f>'[11]Stat by Mat'!$D$6-'[10]Stat by Mat'!$D$6</f>
        <v>0</v>
      </c>
      <c r="K374" s="36">
        <f>'[12]Stat by Mat'!$D$6-'[11]Stat by Mat'!$D$6</f>
        <v>-770125.49159192108</v>
      </c>
      <c r="L374" s="14">
        <f>'[13]Stat by Mat'!$D$6-'[12]Stat by Mat'!$D$6</f>
        <v>0</v>
      </c>
      <c r="M374" s="14">
        <f>'[14]Stat by Mat'!$D$6-'[13]Stat by Mat'!$D$6</f>
        <v>0</v>
      </c>
      <c r="N374" s="39"/>
      <c r="O374" s="14">
        <f>+C374-SUM(C375:C384)</f>
        <v>0</v>
      </c>
      <c r="P374" s="14">
        <f t="shared" ref="P374:R374" si="123">+D374-SUM(D375:D384)</f>
        <v>0</v>
      </c>
      <c r="Q374" s="14">
        <f t="shared" si="123"/>
        <v>0</v>
      </c>
      <c r="R374" s="14">
        <f t="shared" si="123"/>
        <v>0</v>
      </c>
      <c r="S374" s="14">
        <f t="shared" ref="S374" si="124">+G374-SUM(G375:G384)</f>
        <v>0</v>
      </c>
      <c r="T374" s="14">
        <f t="shared" ref="T374:Z374" si="125">+H374-SUM(H375:H384)</f>
        <v>1.7462298274040222E-9</v>
      </c>
      <c r="U374" s="14">
        <f t="shared" si="125"/>
        <v>0</v>
      </c>
      <c r="V374" s="14">
        <f t="shared" si="125"/>
        <v>0</v>
      </c>
      <c r="W374" s="14">
        <f t="shared" si="125"/>
        <v>-1.1641532182693481E-9</v>
      </c>
      <c r="X374" s="14">
        <f t="shared" si="125"/>
        <v>0</v>
      </c>
      <c r="Y374" s="14">
        <f t="shared" si="125"/>
        <v>0</v>
      </c>
      <c r="Z374" s="14">
        <f t="shared" si="125"/>
        <v>0</v>
      </c>
    </row>
    <row r="375" spans="2:26" hidden="1" outlineLevel="2" x14ac:dyDescent="0.25">
      <c r="B375" s="17" t="s">
        <v>26</v>
      </c>
      <c r="C375" s="14">
        <f>+[1]Pricing_BEL!$L$25-[15]Pricing_BEL!$L$25</f>
        <v>0</v>
      </c>
      <c r="D375" s="14">
        <f>+[5]Pricing_BEL!$L$25-[1]Pricing_BEL!$L$25</f>
        <v>0</v>
      </c>
      <c r="E375" s="36">
        <f>+[6]Pricing_BEL!$L$25-[5]Pricing_BEL!$L$25</f>
        <v>139711.09885725239</v>
      </c>
      <c r="F375" s="14">
        <f>+[7]Pricing_BEL!$L$25-[6]Pricing_BEL!$L$25</f>
        <v>0</v>
      </c>
      <c r="G375" s="14">
        <f>+[8]Pricing_BEL!$L$25-[7]Pricing_BEL!$L$25</f>
        <v>0</v>
      </c>
      <c r="H375" s="36">
        <f>+[9]Pricing_BEL!$L$25-[8]Pricing_BEL!$L$25</f>
        <v>35584.414066019934</v>
      </c>
      <c r="I375" s="14">
        <f>+[10]Pricing_BEL!$L$25-[9]Pricing_BEL!$L$25</f>
        <v>0</v>
      </c>
      <c r="J375" s="14">
        <f>+[11]Pricing_BEL!$L$25-[10]Pricing_BEL!$L$25</f>
        <v>0</v>
      </c>
      <c r="K375" s="36">
        <f>+[12]Pricing_BEL!$L$25-[11]Pricing_BEL!$L$25</f>
        <v>-82503.398579550441</v>
      </c>
      <c r="L375" s="14">
        <f>+[13]Pricing_BEL!$L$25-[12]Pricing_BEL!$L$25</f>
        <v>0</v>
      </c>
      <c r="M375" s="14">
        <f>+[14]Pricing_BEL!$L$25-[13]Pricing_BEL!$L$25</f>
        <v>0</v>
      </c>
      <c r="N375" s="39"/>
    </row>
    <row r="376" spans="2:26" hidden="1" outlineLevel="2" x14ac:dyDescent="0.25">
      <c r="B376" s="17" t="s">
        <v>27</v>
      </c>
      <c r="C376" s="14">
        <f>+[1]Pricing_BEL!$L$26-[15]Pricing_BEL!$L$26</f>
        <v>0</v>
      </c>
      <c r="D376" s="14">
        <f>+[5]Pricing_BEL!$L$26-[1]Pricing_BEL!$L$26</f>
        <v>0</v>
      </c>
      <c r="E376" s="36">
        <f>+[6]Pricing_BEL!$L$26-[5]Pricing_BEL!$L$26</f>
        <v>122958.86710502161</v>
      </c>
      <c r="F376" s="14">
        <f>+[7]Pricing_BEL!$L$26-[6]Pricing_BEL!$L$26</f>
        <v>0</v>
      </c>
      <c r="G376" s="14">
        <f>+[8]Pricing_BEL!$L$26-[7]Pricing_BEL!$L$26</f>
        <v>0</v>
      </c>
      <c r="H376" s="36">
        <f>+[9]Pricing_BEL!$L$26-[8]Pricing_BEL!$L$26</f>
        <v>32993.967863015831</v>
      </c>
      <c r="I376" s="14">
        <f>+[10]Pricing_BEL!$L$26-[9]Pricing_BEL!$L$26</f>
        <v>0</v>
      </c>
      <c r="J376" s="14">
        <f>+[11]Pricing_BEL!$L$26-[10]Pricing_BEL!$L$26</f>
        <v>0</v>
      </c>
      <c r="K376" s="36">
        <f>+[12]Pricing_BEL!$L$26-[11]Pricing_BEL!$L$26</f>
        <v>-87040.185159289744</v>
      </c>
      <c r="L376" s="14">
        <f>+[13]Pricing_BEL!$L$26-[12]Pricing_BEL!$L$26</f>
        <v>0</v>
      </c>
      <c r="M376" s="14">
        <f>+[14]Pricing_BEL!$L$26-[13]Pricing_BEL!$L$26</f>
        <v>0</v>
      </c>
      <c r="N376" s="39"/>
    </row>
    <row r="377" spans="2:26" hidden="1" outlineLevel="2" x14ac:dyDescent="0.25">
      <c r="B377" s="17" t="s">
        <v>28</v>
      </c>
      <c r="C377" s="14">
        <f>+[1]Pricing_BEL!$L$27-[15]Pricing_BEL!$L$27</f>
        <v>0</v>
      </c>
      <c r="D377" s="14">
        <f>+[5]Pricing_BEL!$L$27-[1]Pricing_BEL!$L$27</f>
        <v>0</v>
      </c>
      <c r="E377" s="36">
        <f>+[6]Pricing_BEL!$L$27-[5]Pricing_BEL!$L$27</f>
        <v>98409.956185022136</v>
      </c>
      <c r="F377" s="14">
        <f>+[7]Pricing_BEL!$L$27-[6]Pricing_BEL!$L$27</f>
        <v>0</v>
      </c>
      <c r="G377" s="14">
        <f>+[8]Pricing_BEL!$L$27-[7]Pricing_BEL!$L$27</f>
        <v>0</v>
      </c>
      <c r="H377" s="36">
        <f>+[9]Pricing_BEL!$L$27-[8]Pricing_BEL!$L$27</f>
        <v>24528.034495648229</v>
      </c>
      <c r="I377" s="14">
        <f>+[10]Pricing_BEL!$L$27-[9]Pricing_BEL!$L$27</f>
        <v>0</v>
      </c>
      <c r="J377" s="14">
        <f>+[11]Pricing_BEL!$L$27-[10]Pricing_BEL!$L$27</f>
        <v>0</v>
      </c>
      <c r="K377" s="36">
        <f>+[12]Pricing_BEL!$L$27-[11]Pricing_BEL!$L$27</f>
        <v>-98332.278102906886</v>
      </c>
      <c r="L377" s="14">
        <f>+[13]Pricing_BEL!$L$27-[12]Pricing_BEL!$L$27</f>
        <v>0</v>
      </c>
      <c r="M377" s="14">
        <f>+[14]Pricing_BEL!$L$27-[13]Pricing_BEL!$L$27</f>
        <v>0</v>
      </c>
      <c r="N377" s="39"/>
    </row>
    <row r="378" spans="2:26" hidden="1" outlineLevel="2" x14ac:dyDescent="0.25">
      <c r="B378" s="17" t="s">
        <v>29</v>
      </c>
      <c r="C378" s="14">
        <f>+[1]Pricing_BEL!$L$28-[15]Pricing_BEL!$L$28</f>
        <v>0</v>
      </c>
      <c r="D378" s="14">
        <f>+[5]Pricing_BEL!$L$28-[1]Pricing_BEL!$L$28</f>
        <v>0</v>
      </c>
      <c r="E378" s="36">
        <f>+[6]Pricing_BEL!$L$28-[5]Pricing_BEL!$L$28</f>
        <v>68152.340574565809</v>
      </c>
      <c r="F378" s="14">
        <f>+[7]Pricing_BEL!$L$28-[6]Pricing_BEL!$L$28</f>
        <v>0</v>
      </c>
      <c r="G378" s="14">
        <f>+[8]Pricing_BEL!$L$28-[7]Pricing_BEL!$L$28</f>
        <v>0</v>
      </c>
      <c r="H378" s="36">
        <f>+[9]Pricing_BEL!$L$28-[8]Pricing_BEL!$L$28</f>
        <v>-5215.2905855821446</v>
      </c>
      <c r="I378" s="14">
        <f>+[10]Pricing_BEL!$L$28-[9]Pricing_BEL!$L$28</f>
        <v>0</v>
      </c>
      <c r="J378" s="14">
        <f>+[11]Pricing_BEL!$L$28-[10]Pricing_BEL!$L$28</f>
        <v>0</v>
      </c>
      <c r="K378" s="36">
        <f>+[12]Pricing_BEL!$L$28-[11]Pricing_BEL!$L$28</f>
        <v>-103479.97792683728</v>
      </c>
      <c r="L378" s="14">
        <f>+[13]Pricing_BEL!$L$28-[12]Pricing_BEL!$L$28</f>
        <v>0</v>
      </c>
      <c r="M378" s="14">
        <f>+[14]Pricing_BEL!$L$28-[13]Pricing_BEL!$L$28</f>
        <v>0</v>
      </c>
      <c r="N378" s="39"/>
    </row>
    <row r="379" spans="2:26" hidden="1" outlineLevel="2" x14ac:dyDescent="0.25">
      <c r="B379" s="17" t="s">
        <v>30</v>
      </c>
      <c r="C379" s="14">
        <f>+[1]Pricing_BEL!$L$29-[15]Pricing_BEL!$L$29</f>
        <v>0</v>
      </c>
      <c r="D379" s="14">
        <f>+[5]Pricing_BEL!$L$29-[1]Pricing_BEL!$L$29</f>
        <v>0</v>
      </c>
      <c r="E379" s="36">
        <f>+[6]Pricing_BEL!$L$29-[5]Pricing_BEL!$L$29</f>
        <v>56159.582783691352</v>
      </c>
      <c r="F379" s="14">
        <f>+[7]Pricing_BEL!$L$29-[6]Pricing_BEL!$L$29</f>
        <v>0</v>
      </c>
      <c r="G379" s="14">
        <f>+[8]Pricing_BEL!$L$29-[7]Pricing_BEL!$L$29</f>
        <v>0</v>
      </c>
      <c r="H379" s="36">
        <f>+[9]Pricing_BEL!$L$29-[8]Pricing_BEL!$L$29</f>
        <v>-94.954868017230183</v>
      </c>
      <c r="I379" s="14">
        <f>+[10]Pricing_BEL!$L$29-[9]Pricing_BEL!$L$29</f>
        <v>0</v>
      </c>
      <c r="J379" s="14">
        <f>+[11]Pricing_BEL!$L$29-[10]Pricing_BEL!$L$29</f>
        <v>0</v>
      </c>
      <c r="K379" s="36">
        <f>+[12]Pricing_BEL!$L$29-[11]Pricing_BEL!$L$29</f>
        <v>-74004.198445861693</v>
      </c>
      <c r="L379" s="14">
        <f>+[13]Pricing_BEL!$L$29-[12]Pricing_BEL!$L$29</f>
        <v>0</v>
      </c>
      <c r="M379" s="14">
        <f>+[14]Pricing_BEL!$L$29-[13]Pricing_BEL!$L$29</f>
        <v>0</v>
      </c>
      <c r="N379" s="39"/>
    </row>
    <row r="380" spans="2:26" hidden="1" outlineLevel="2" x14ac:dyDescent="0.25">
      <c r="B380" s="17" t="s">
        <v>31</v>
      </c>
      <c r="C380" s="14">
        <f>+[1]Pricing_BEL!$L$30-[15]Pricing_BEL!$L$30</f>
        <v>0</v>
      </c>
      <c r="D380" s="14">
        <f>+[5]Pricing_BEL!$L$30-[1]Pricing_BEL!$L$30</f>
        <v>0</v>
      </c>
      <c r="E380" s="36">
        <f>+[6]Pricing_BEL!$L$30-[5]Pricing_BEL!$L$30</f>
        <v>47205.229597161291</v>
      </c>
      <c r="F380" s="14">
        <f>+[7]Pricing_BEL!$L$30-[6]Pricing_BEL!$L$30</f>
        <v>0</v>
      </c>
      <c r="G380" s="14">
        <f>+[8]Pricing_BEL!$L$30-[7]Pricing_BEL!$L$30</f>
        <v>0</v>
      </c>
      <c r="H380" s="36">
        <f>+[9]Pricing_BEL!$L$30-[8]Pricing_BEL!$L$30</f>
        <v>7236.2735708216205</v>
      </c>
      <c r="I380" s="14">
        <f>+[10]Pricing_BEL!$L$30-[9]Pricing_BEL!$L$30</f>
        <v>0</v>
      </c>
      <c r="J380" s="14">
        <f>+[11]Pricing_BEL!$L$30-[10]Pricing_BEL!$L$30</f>
        <v>0</v>
      </c>
      <c r="K380" s="36">
        <f>+[12]Pricing_BEL!$L$30-[11]Pricing_BEL!$L$30</f>
        <v>-73784.181502879132</v>
      </c>
      <c r="L380" s="14">
        <f>+[13]Pricing_BEL!$L$30-[12]Pricing_BEL!$L$30</f>
        <v>0</v>
      </c>
      <c r="M380" s="14">
        <f>+[14]Pricing_BEL!$L$30-[13]Pricing_BEL!$L$30</f>
        <v>0</v>
      </c>
      <c r="N380" s="39"/>
    </row>
    <row r="381" spans="2:26" hidden="1" outlineLevel="2" x14ac:dyDescent="0.25">
      <c r="B381" s="17" t="s">
        <v>32</v>
      </c>
      <c r="C381" s="14">
        <f>+[1]Pricing_BEL!$L$31-[15]Pricing_BEL!$L$31</f>
        <v>0</v>
      </c>
      <c r="D381" s="14">
        <f>+[5]Pricing_BEL!$L$31-[1]Pricing_BEL!$L$31</f>
        <v>0</v>
      </c>
      <c r="E381" s="36">
        <f>+[6]Pricing_BEL!$L$31-[5]Pricing_BEL!$L$31</f>
        <v>31209.639107181923</v>
      </c>
      <c r="F381" s="14">
        <f>+[7]Pricing_BEL!$L$31-[6]Pricing_BEL!$L$31</f>
        <v>0</v>
      </c>
      <c r="G381" s="14">
        <f>+[8]Pricing_BEL!$L$31-[7]Pricing_BEL!$L$31</f>
        <v>0</v>
      </c>
      <c r="H381" s="36">
        <f>+[9]Pricing_BEL!$L$31-[8]Pricing_BEL!$L$31</f>
        <v>5234.9670209340984</v>
      </c>
      <c r="I381" s="14">
        <f>+[10]Pricing_BEL!$L$31-[9]Pricing_BEL!$L$31</f>
        <v>0</v>
      </c>
      <c r="J381" s="14">
        <f>+[11]Pricing_BEL!$L$31-[10]Pricing_BEL!$L$31</f>
        <v>0</v>
      </c>
      <c r="K381" s="36">
        <f>+[12]Pricing_BEL!$L$31-[11]Pricing_BEL!$L$31</f>
        <v>-74175.162413002108</v>
      </c>
      <c r="L381" s="14">
        <f>+[13]Pricing_BEL!$L$31-[12]Pricing_BEL!$L$31</f>
        <v>0</v>
      </c>
      <c r="M381" s="14">
        <f>+[14]Pricing_BEL!$L$31-[13]Pricing_BEL!$L$31</f>
        <v>0</v>
      </c>
      <c r="N381" s="39"/>
    </row>
    <row r="382" spans="2:26" hidden="1" outlineLevel="2" x14ac:dyDescent="0.25">
      <c r="B382" s="17" t="s">
        <v>33</v>
      </c>
      <c r="C382" s="14">
        <f>+[1]Pricing_BEL!$L$32-[15]Pricing_BEL!$L$32</f>
        <v>0</v>
      </c>
      <c r="D382" s="14">
        <f>+[5]Pricing_BEL!$L$32-[1]Pricing_BEL!$L$32</f>
        <v>0</v>
      </c>
      <c r="E382" s="36">
        <f>+[6]Pricing_BEL!$L$32-[5]Pricing_BEL!$L$32</f>
        <v>18530.439906843589</v>
      </c>
      <c r="F382" s="14">
        <f>+[7]Pricing_BEL!$L$32-[6]Pricing_BEL!$L$32</f>
        <v>0</v>
      </c>
      <c r="G382" s="14">
        <f>+[8]Pricing_BEL!$L$32-[7]Pricing_BEL!$L$32</f>
        <v>0</v>
      </c>
      <c r="H382" s="36">
        <f>+[9]Pricing_BEL!$L$32-[8]Pricing_BEL!$L$32</f>
        <v>1849.5681053160224</v>
      </c>
      <c r="I382" s="14">
        <f>+[10]Pricing_BEL!$L$32-[9]Pricing_BEL!$L$32</f>
        <v>0</v>
      </c>
      <c r="J382" s="14">
        <f>+[11]Pricing_BEL!$L$32-[10]Pricing_BEL!$L$32</f>
        <v>0</v>
      </c>
      <c r="K382" s="36">
        <f>+[12]Pricing_BEL!$L$32-[11]Pricing_BEL!$L$32</f>
        <v>-85936.478729328956</v>
      </c>
      <c r="L382" s="14">
        <f>+[13]Pricing_BEL!$L$32-[12]Pricing_BEL!$L$32</f>
        <v>0</v>
      </c>
      <c r="M382" s="14">
        <f>+[13]Pricing_BEL!$L$32-[13]Pricing_BEL!$L$32</f>
        <v>0</v>
      </c>
      <c r="N382" s="39"/>
    </row>
    <row r="383" spans="2:26" hidden="1" outlineLevel="2" x14ac:dyDescent="0.25">
      <c r="B383" s="17" t="s">
        <v>34</v>
      </c>
      <c r="C383" s="14">
        <f>+[1]Pricing_BEL!$L$33-[15]Pricing_BEL!$L$33</f>
        <v>0</v>
      </c>
      <c r="D383" s="14">
        <f>+[5]Pricing_BEL!$L$33-[1]Pricing_BEL!$L$33</f>
        <v>0</v>
      </c>
      <c r="E383" s="36">
        <f>+[6]Pricing_BEL!$L$33-[5]Pricing_BEL!$L$33</f>
        <v>-26226.126610705454</v>
      </c>
      <c r="F383" s="14">
        <f>+[7]Pricing_BEL!$L$33-[6]Pricing_BEL!$L$33</f>
        <v>0</v>
      </c>
      <c r="G383" s="14">
        <f>+[8]Pricing_BEL!$L$33-[7]Pricing_BEL!$L$33</f>
        <v>0</v>
      </c>
      <c r="H383" s="36">
        <f>+[9]Pricing_BEL!$L$33-[8]Pricing_BEL!$L$33</f>
        <v>-48181.069897818146</v>
      </c>
      <c r="I383" s="14">
        <f>+[10]Pricing_BEL!$L$33-[9]Pricing_BEL!$L$33</f>
        <v>0</v>
      </c>
      <c r="J383" s="14">
        <f>+[11]Pricing_BEL!$L$33-[10]Pricing_BEL!$L$33</f>
        <v>0</v>
      </c>
      <c r="K383" s="36">
        <f>+[12]Pricing_BEL!$L$33-[11]Pricing_BEL!$L$33</f>
        <v>-87295.541317380033</v>
      </c>
      <c r="L383" s="14">
        <f>+[13]Pricing_BEL!$L$33-[12]Pricing_BEL!$L$33</f>
        <v>0</v>
      </c>
      <c r="M383" s="14">
        <f>+[14]Pricing_BEL!$L$33-[13]Pricing_BEL!$L$33</f>
        <v>0</v>
      </c>
      <c r="N383" s="39"/>
    </row>
    <row r="384" spans="2:26" hidden="1" outlineLevel="2" x14ac:dyDescent="0.25">
      <c r="B384" s="17" t="s">
        <v>35</v>
      </c>
      <c r="C384" s="14">
        <f>+[1]Pricing_BEL!$L$34-[15]Pricing_BEL!$L$34</f>
        <v>0</v>
      </c>
      <c r="D384" s="14">
        <f>+[5]Pricing_BEL!$L$34-[1]Pricing_BEL!$L$34</f>
        <v>0</v>
      </c>
      <c r="E384" s="36">
        <f>+[6]Pricing_BEL!$L$34-[5]Pricing_BEL!$L$34</f>
        <v>-25119.041140056099</v>
      </c>
      <c r="F384" s="14">
        <f>+[7]Pricing_BEL!$L$34-[6]Pricing_BEL!$L$34</f>
        <v>0</v>
      </c>
      <c r="G384" s="14">
        <f>+[8]Pricing_BEL!$L$34-[7]Pricing_BEL!$L$34</f>
        <v>0</v>
      </c>
      <c r="H384" s="36">
        <f>+[9]Pricing_BEL!$L$34-[8]Pricing_BEL!$L$34</f>
        <v>-46799.510284740711</v>
      </c>
      <c r="I384" s="14">
        <f>+[10]Pricing_BEL!$L$34-[9]Pricing_BEL!$L$34</f>
        <v>0</v>
      </c>
      <c r="J384" s="14">
        <f>+[11]Pricing_BEL!$L$34-[10]Pricing_BEL!$L$34</f>
        <v>0</v>
      </c>
      <c r="K384" s="36">
        <f>+[12]Pricing_BEL!$L$34-[11]Pricing_BEL!$L$34</f>
        <v>-3574.0894148836378</v>
      </c>
      <c r="L384" s="14">
        <f>+[13]Pricing_BEL!$L$34-[12]Pricing_BEL!$L$34</f>
        <v>0</v>
      </c>
      <c r="M384" s="14">
        <f>+[14]Pricing_BEL!$L$34-[13]Pricing_BEL!$L$34</f>
        <v>0</v>
      </c>
      <c r="N384" s="39"/>
    </row>
    <row r="385" spans="2:26" hidden="1" outlineLevel="1" collapsed="1" x14ac:dyDescent="0.25">
      <c r="B385" s="16" t="s">
        <v>36</v>
      </c>
      <c r="C385" s="14">
        <f>'[1]Stat by Mat'!$D$7-'[15]Stat by Mat'!$D$7</f>
        <v>0</v>
      </c>
      <c r="D385" s="14">
        <f>'[5]Stat by Mat'!$D$7-'[1]Stat by Mat'!$D$7</f>
        <v>0</v>
      </c>
      <c r="E385" s="36">
        <f>'[6]Stat by Mat'!$D$7-'[5]Stat by Mat'!$D$7</f>
        <v>-32330.478230468114</v>
      </c>
      <c r="F385" s="14">
        <f>'[7]Stat by Mat'!$D$7-'[6]Stat by Mat'!$D$7</f>
        <v>0</v>
      </c>
      <c r="G385" s="14">
        <f>'[8]Stat by Mat'!$D$7-'[7]Stat by Mat'!$D$7</f>
        <v>0</v>
      </c>
      <c r="H385" s="36">
        <f>'[9]Stat by Mat'!$D$7-'[8]Stat by Mat'!$D$7</f>
        <v>-61590.525742981699</v>
      </c>
      <c r="I385" s="14">
        <f>'[10]Stat by Mat'!$D$7-'[9]Stat by Mat'!$D$7</f>
        <v>0</v>
      </c>
      <c r="J385" s="14">
        <f>'[11]Stat by Mat'!$D$7-'[10]Stat by Mat'!$D$7</f>
        <v>0</v>
      </c>
      <c r="K385" s="36">
        <f>'[12]Stat by Mat'!$D$7-'[11]Stat by Mat'!$D$7</f>
        <v>-38555.239155323477</v>
      </c>
      <c r="L385" s="14">
        <f>'[13]Stat by Mat'!$D$7-'[12]Stat by Mat'!$D$7</f>
        <v>0</v>
      </c>
      <c r="M385" s="14">
        <f>'[14]Stat by Mat'!$D$7-'[13]Stat by Mat'!$D$7</f>
        <v>0</v>
      </c>
      <c r="N385" s="39"/>
      <c r="O385" s="14">
        <f>+C385-SUM(C386:C405)</f>
        <v>0</v>
      </c>
      <c r="P385" s="14">
        <f t="shared" ref="P385:R385" si="126">+D385-SUM(D386:D405)</f>
        <v>0</v>
      </c>
      <c r="Q385" s="14">
        <f t="shared" si="126"/>
        <v>-8.7311491370201111E-11</v>
      </c>
      <c r="R385" s="14">
        <f t="shared" si="126"/>
        <v>0</v>
      </c>
      <c r="S385" s="14">
        <f t="shared" ref="S385" si="127">+G385-SUM(G386:G405)</f>
        <v>0</v>
      </c>
      <c r="T385" s="14">
        <f t="shared" ref="T385:Z385" si="128">+H385-SUM(H386:H405)</f>
        <v>0</v>
      </c>
      <c r="U385" s="14">
        <f t="shared" si="128"/>
        <v>0</v>
      </c>
      <c r="V385" s="14">
        <f t="shared" si="128"/>
        <v>0</v>
      </c>
      <c r="W385" s="14">
        <f t="shared" si="128"/>
        <v>0</v>
      </c>
      <c r="X385" s="14">
        <f t="shared" si="128"/>
        <v>0</v>
      </c>
      <c r="Y385" s="14">
        <f t="shared" si="128"/>
        <v>0</v>
      </c>
      <c r="Z385" s="14">
        <f t="shared" si="128"/>
        <v>0</v>
      </c>
    </row>
    <row r="386" spans="2:26" hidden="1" outlineLevel="2" x14ac:dyDescent="0.25">
      <c r="B386" s="17" t="s">
        <v>37</v>
      </c>
      <c r="C386" s="14">
        <f>+[1]Pricing_BEL!$L$35-[15]Pricing_BEL!$L$35</f>
        <v>0</v>
      </c>
      <c r="D386" s="14">
        <f>+[5]Pricing_BEL!$L$35-[1]Pricing_BEL!$L$35</f>
        <v>0</v>
      </c>
      <c r="E386" s="36">
        <f>+[6]Pricing_BEL!$L$35-[5]Pricing_BEL!$L$35</f>
        <v>-11785.435274837248</v>
      </c>
      <c r="F386" s="14">
        <f>+[7]Pricing_BEL!$L$35-[6]Pricing_BEL!$L$35</f>
        <v>0</v>
      </c>
      <c r="G386" s="14">
        <f>+[8]Pricing_BEL!$L$35-[7]Pricing_BEL!$L$35</f>
        <v>0</v>
      </c>
      <c r="H386" s="36">
        <f>+[9]Pricing_BEL!$L$35-[8]Pricing_BEL!$L$35</f>
        <v>-20106.68686792755</v>
      </c>
      <c r="I386" s="14">
        <f>+[10]Pricing_BEL!$L$35-[9]Pricing_BEL!$L$35</f>
        <v>0</v>
      </c>
      <c r="J386" s="14">
        <f>+[11]Pricing_BEL!$L$35-[10]Pricing_BEL!$L$35</f>
        <v>0</v>
      </c>
      <c r="K386" s="36">
        <f>+[12]Pricing_BEL!$L$35-[11]Pricing_BEL!$L$35</f>
        <v>-4340.4784589266055</v>
      </c>
      <c r="L386" s="14">
        <f>+[13]Pricing_BEL!$L$35-[12]Pricing_BEL!$L$35</f>
        <v>0</v>
      </c>
      <c r="M386" s="14">
        <f>+[14]Pricing_BEL!$L$35-[13]Pricing_BEL!$L$35</f>
        <v>0</v>
      </c>
      <c r="N386" s="39"/>
    </row>
    <row r="387" spans="2:26" hidden="1" outlineLevel="2" x14ac:dyDescent="0.25">
      <c r="B387" s="17" t="s">
        <v>38</v>
      </c>
      <c r="C387" s="14">
        <f>+[1]Pricing_BEL!$L$36-[15]Pricing_BEL!$L$36</f>
        <v>0</v>
      </c>
      <c r="D387" s="14">
        <f>+[5]Pricing_BEL!$L$36-[1]Pricing_BEL!$L$36</f>
        <v>0</v>
      </c>
      <c r="E387" s="36">
        <f>+[6]Pricing_BEL!$L$36-[5]Pricing_BEL!$L$36</f>
        <v>-4648.9615564595442</v>
      </c>
      <c r="F387" s="14">
        <f>+[7]Pricing_BEL!$L$36-[6]Pricing_BEL!$L$36</f>
        <v>0</v>
      </c>
      <c r="G387" s="14">
        <f>+[8]Pricing_BEL!$L$36-[7]Pricing_BEL!$L$36</f>
        <v>0</v>
      </c>
      <c r="H387" s="36">
        <f>+[9]Pricing_BEL!$L$36-[8]Pricing_BEL!$L$36</f>
        <v>-9142.2199265735399</v>
      </c>
      <c r="I387" s="14">
        <f>+[10]Pricing_BEL!$L$36-[9]Pricing_BEL!$L$36</f>
        <v>0</v>
      </c>
      <c r="J387" s="14">
        <f>+[11]Pricing_BEL!$L$36-[10]Pricing_BEL!$L$36</f>
        <v>0</v>
      </c>
      <c r="K387" s="36">
        <f>+[12]Pricing_BEL!$L$36-[11]Pricing_BEL!$L$36</f>
        <v>-7686.9034952860384</v>
      </c>
      <c r="L387" s="14">
        <f>+[13]Pricing_BEL!$L$36-[12]Pricing_BEL!$L$36</f>
        <v>0</v>
      </c>
      <c r="M387" s="14">
        <f>+[14]Pricing_BEL!$L$36-[13]Pricing_BEL!$L$36</f>
        <v>0</v>
      </c>
      <c r="N387" s="39"/>
    </row>
    <row r="388" spans="2:26" hidden="1" outlineLevel="2" x14ac:dyDescent="0.25">
      <c r="B388" s="17" t="s">
        <v>39</v>
      </c>
      <c r="C388" s="14">
        <f>+[1]Pricing_BEL!$L$37-[15]Pricing_BEL!$L$37</f>
        <v>0</v>
      </c>
      <c r="D388" s="14">
        <f>+[5]Pricing_BEL!$L$37-[1]Pricing_BEL!$L$37</f>
        <v>0</v>
      </c>
      <c r="E388" s="36">
        <f>+[6]Pricing_BEL!$L$37-[5]Pricing_BEL!$L$37</f>
        <v>-3907.6641183605534</v>
      </c>
      <c r="F388" s="14">
        <f>+[7]Pricing_BEL!$L$37-[6]Pricing_BEL!$L$37</f>
        <v>0</v>
      </c>
      <c r="G388" s="14">
        <f>+[8]Pricing_BEL!$L$37-[7]Pricing_BEL!$L$37</f>
        <v>0</v>
      </c>
      <c r="H388" s="36">
        <f>+[9]Pricing_BEL!$L$37-[8]Pricing_BEL!$L$37</f>
        <v>-6562.037387303295</v>
      </c>
      <c r="I388" s="14">
        <f>+[10]Pricing_BEL!$L$37-[9]Pricing_BEL!$L$37</f>
        <v>0</v>
      </c>
      <c r="J388" s="14">
        <f>+[11]Pricing_BEL!$L$37-[10]Pricing_BEL!$L$37</f>
        <v>0</v>
      </c>
      <c r="K388" s="36">
        <f>+[12]Pricing_BEL!$L$37-[11]Pricing_BEL!$L$37</f>
        <v>-10133.982517533615</v>
      </c>
      <c r="L388" s="14">
        <f>+[13]Pricing_BEL!$L$37-[12]Pricing_BEL!$L$37</f>
        <v>0</v>
      </c>
      <c r="M388" s="14">
        <f>+[14]Pricing_BEL!$L$37-[13]Pricing_BEL!$L$37</f>
        <v>0</v>
      </c>
      <c r="N388" s="39"/>
    </row>
    <row r="389" spans="2:26" hidden="1" outlineLevel="2" x14ac:dyDescent="0.25">
      <c r="B389" s="17" t="s">
        <v>40</v>
      </c>
      <c r="C389" s="14">
        <f>+[1]Pricing_BEL!$L$38-[15]Pricing_BEL!$L$38</f>
        <v>0</v>
      </c>
      <c r="D389" s="14">
        <f>+[5]Pricing_BEL!$L$38-[1]Pricing_BEL!$L$38</f>
        <v>0</v>
      </c>
      <c r="E389" s="36">
        <f>+[6]Pricing_BEL!$L$38-[5]Pricing_BEL!$L$38</f>
        <v>-4037.7658165806643</v>
      </c>
      <c r="F389" s="14">
        <f>+[7]Pricing_BEL!$L$38-[6]Pricing_BEL!$L$38</f>
        <v>0</v>
      </c>
      <c r="G389" s="14">
        <f>+[8]Pricing_BEL!$L$38-[7]Pricing_BEL!$L$38</f>
        <v>0</v>
      </c>
      <c r="H389" s="36">
        <f>+[9]Pricing_BEL!$L$38-[8]Pricing_BEL!$L$38</f>
        <v>-6012.1354791869817</v>
      </c>
      <c r="I389" s="14">
        <f>+[10]Pricing_BEL!$L$38-[9]Pricing_BEL!$L$38</f>
        <v>0</v>
      </c>
      <c r="J389" s="14">
        <f>+[11]Pricing_BEL!$L$38-[10]Pricing_BEL!$L$38</f>
        <v>0</v>
      </c>
      <c r="K389" s="36">
        <f>+[12]Pricing_BEL!$L$38-[11]Pricing_BEL!$L$38</f>
        <v>-4748.2190751603775</v>
      </c>
      <c r="L389" s="14">
        <f>+[13]Pricing_BEL!$L$38-[12]Pricing_BEL!$L$38</f>
        <v>0</v>
      </c>
      <c r="M389" s="14">
        <f>+[14]Pricing_BEL!$L$38-[13]Pricing_BEL!$L$38</f>
        <v>0</v>
      </c>
      <c r="N389" s="39"/>
    </row>
    <row r="390" spans="2:26" hidden="1" outlineLevel="2" x14ac:dyDescent="0.25">
      <c r="B390" s="17" t="s">
        <v>41</v>
      </c>
      <c r="C390" s="14">
        <f>+[1]Pricing_BEL!$L$39-[15]Pricing_BEL!$L$39</f>
        <v>0</v>
      </c>
      <c r="D390" s="14">
        <f>+[5]Pricing_BEL!$L$39-[1]Pricing_BEL!$L$39</f>
        <v>0</v>
      </c>
      <c r="E390" s="36">
        <f>+[6]Pricing_BEL!$L$39-[5]Pricing_BEL!$L$39</f>
        <v>-1088.997471346971</v>
      </c>
      <c r="F390" s="14">
        <f>+[7]Pricing_BEL!$L$39-[6]Pricing_BEL!$L$39</f>
        <v>0</v>
      </c>
      <c r="G390" s="14">
        <f>+[8]Pricing_BEL!$L$39-[7]Pricing_BEL!$L$39</f>
        <v>0</v>
      </c>
      <c r="H390" s="36">
        <f>+[9]Pricing_BEL!$L$39-[8]Pricing_BEL!$L$39</f>
        <v>-3776.6096173517435</v>
      </c>
      <c r="I390" s="14">
        <f>+[10]Pricing_BEL!$L$39-[9]Pricing_BEL!$L$39</f>
        <v>0</v>
      </c>
      <c r="J390" s="14">
        <f>+[11]Pricing_BEL!$L$39-[10]Pricing_BEL!$L$39</f>
        <v>0</v>
      </c>
      <c r="K390" s="36">
        <f>+[12]Pricing_BEL!$L$39-[11]Pricing_BEL!$L$39</f>
        <v>-1893.1306534713367</v>
      </c>
      <c r="L390" s="14">
        <f>+[13]Pricing_BEL!$L$39-[12]Pricing_BEL!$L$39</f>
        <v>0</v>
      </c>
      <c r="M390" s="14">
        <f>+[14]Pricing_BEL!$L$39-[13]Pricing_BEL!$L$39</f>
        <v>0</v>
      </c>
      <c r="N390" s="39"/>
    </row>
    <row r="391" spans="2:26" hidden="1" outlineLevel="2" x14ac:dyDescent="0.25">
      <c r="B391" s="17" t="s">
        <v>42</v>
      </c>
      <c r="C391" s="14">
        <f>+[1]Pricing_BEL!$L$40-[15]Pricing_BEL!$L$40</f>
        <v>0</v>
      </c>
      <c r="D391" s="14">
        <f>+[5]Pricing_BEL!$L$40-[1]Pricing_BEL!$L$40</f>
        <v>0</v>
      </c>
      <c r="E391" s="36">
        <f>+[6]Pricing_BEL!$L$40-[5]Pricing_BEL!$L$40</f>
        <v>-1229.0263687714541</v>
      </c>
      <c r="F391" s="14">
        <f>+[7]Pricing_BEL!$L$40-[6]Pricing_BEL!$L$40</f>
        <v>0</v>
      </c>
      <c r="G391" s="14">
        <f>+[8]Pricing_BEL!$L$40-[7]Pricing_BEL!$L$40</f>
        <v>0</v>
      </c>
      <c r="H391" s="36">
        <f>+[9]Pricing_BEL!$L$40-[8]Pricing_BEL!$L$40</f>
        <v>-3446.9471025809617</v>
      </c>
      <c r="I391" s="14">
        <f>+[10]Pricing_BEL!$L$40-[9]Pricing_BEL!$L$40</f>
        <v>0</v>
      </c>
      <c r="J391" s="14">
        <f>+[11]Pricing_BEL!$L$40-[10]Pricing_BEL!$L$40</f>
        <v>0</v>
      </c>
      <c r="K391" s="36">
        <f>+[12]Pricing_BEL!$L$40-[11]Pricing_BEL!$L$40</f>
        <v>-3250.4066480758993</v>
      </c>
      <c r="L391" s="14">
        <f>+[13]Pricing_BEL!$L$40-[12]Pricing_BEL!$L$40</f>
        <v>0</v>
      </c>
      <c r="M391" s="14">
        <f>+[14]Pricing_BEL!$L$40-[13]Pricing_BEL!$L$40</f>
        <v>0</v>
      </c>
      <c r="N391" s="39"/>
    </row>
    <row r="392" spans="2:26" hidden="1" outlineLevel="2" x14ac:dyDescent="0.25">
      <c r="B392" s="17" t="s">
        <v>43</v>
      </c>
      <c r="C392" s="14">
        <f>+[1]Pricing_BEL!$L$41-[15]Pricing_BEL!$L$41</f>
        <v>0</v>
      </c>
      <c r="D392" s="14">
        <f>+[5]Pricing_BEL!$L$41-[1]Pricing_BEL!$L$41</f>
        <v>0</v>
      </c>
      <c r="E392" s="36">
        <f>+[6]Pricing_BEL!$L$41-[5]Pricing_BEL!$L$41</f>
        <v>-1616.8317096362662</v>
      </c>
      <c r="F392" s="14">
        <f>+[7]Pricing_BEL!$L$41-[6]Pricing_BEL!$L$41</f>
        <v>0</v>
      </c>
      <c r="G392" s="14">
        <f>+[8]Pricing_BEL!$L$41-[7]Pricing_BEL!$L$41</f>
        <v>0</v>
      </c>
      <c r="H392" s="36">
        <f>+[9]Pricing_BEL!$L$41-[8]Pricing_BEL!$L$41</f>
        <v>-3079.3864237346133</v>
      </c>
      <c r="I392" s="14">
        <f>+[10]Pricing_BEL!$L$41-[9]Pricing_BEL!$L$41</f>
        <v>0</v>
      </c>
      <c r="J392" s="14">
        <f>+[11]Pricing_BEL!$L$41-[10]Pricing_BEL!$L$41</f>
        <v>0</v>
      </c>
      <c r="K392" s="36">
        <f>+[12]Pricing_BEL!$L$41-[11]Pricing_BEL!$L$41</f>
        <v>-4060.4222803191806</v>
      </c>
      <c r="L392" s="14">
        <f>+[13]Pricing_BEL!$L$41-[12]Pricing_BEL!$L$41</f>
        <v>0</v>
      </c>
      <c r="M392" s="14">
        <f>+[14]Pricing_BEL!$L$41-[13]Pricing_BEL!$L$41</f>
        <v>0</v>
      </c>
      <c r="N392" s="39"/>
    </row>
    <row r="393" spans="2:26" hidden="1" outlineLevel="2" x14ac:dyDescent="0.25">
      <c r="B393" s="17" t="s">
        <v>44</v>
      </c>
      <c r="C393" s="14">
        <f>+[1]Pricing_BEL!$L$42-[15]Pricing_BEL!$L$42</f>
        <v>0</v>
      </c>
      <c r="D393" s="14">
        <f>+[5]Pricing_BEL!$L$42-[1]Pricing_BEL!$L$42</f>
        <v>0</v>
      </c>
      <c r="E393" s="36">
        <f>+[6]Pricing_BEL!$L$42-[5]Pricing_BEL!$L$42</f>
        <v>-2204.0388735542147</v>
      </c>
      <c r="F393" s="14">
        <f>+[7]Pricing_BEL!$L$42-[6]Pricing_BEL!$L$42</f>
        <v>0</v>
      </c>
      <c r="G393" s="14">
        <f>+[8]Pricing_BEL!$L$42-[7]Pricing_BEL!$L$42</f>
        <v>0</v>
      </c>
      <c r="H393" s="36">
        <f>+[9]Pricing_BEL!$L$42-[8]Pricing_BEL!$L$42</f>
        <v>-3105.932505811943</v>
      </c>
      <c r="I393" s="14">
        <f>+[10]Pricing_BEL!$L$42-[9]Pricing_BEL!$L$42</f>
        <v>0</v>
      </c>
      <c r="J393" s="14">
        <f>+[11]Pricing_BEL!$L$42-[10]Pricing_BEL!$L$42</f>
        <v>0</v>
      </c>
      <c r="K393" s="36">
        <f>+[12]Pricing_BEL!$L$42-[11]Pricing_BEL!$L$42</f>
        <v>-4515.545529183888</v>
      </c>
      <c r="L393" s="14">
        <f>+[13]Pricing_BEL!$L$42-[12]Pricing_BEL!$L$42</f>
        <v>0</v>
      </c>
      <c r="M393" s="14">
        <f>+[14]Pricing_BEL!$L$42-[13]Pricing_BEL!$L$42</f>
        <v>0</v>
      </c>
      <c r="N393" s="39"/>
    </row>
    <row r="394" spans="2:26" hidden="1" outlineLevel="2" x14ac:dyDescent="0.25">
      <c r="B394" s="17" t="s">
        <v>45</v>
      </c>
      <c r="C394" s="14">
        <f>+[1]Pricing_BEL!$L$43-[15]Pricing_BEL!$L$43</f>
        <v>0</v>
      </c>
      <c r="D394" s="14">
        <f>+[5]Pricing_BEL!$L$43-[1]Pricing_BEL!$L$43</f>
        <v>0</v>
      </c>
      <c r="E394" s="36">
        <f>+[6]Pricing_BEL!$L$43-[5]Pricing_BEL!$L$43</f>
        <v>-2225.8155462876202</v>
      </c>
      <c r="F394" s="14">
        <f>+[7]Pricing_BEL!$L$43-[6]Pricing_BEL!$L$43</f>
        <v>0</v>
      </c>
      <c r="G394" s="14">
        <f>+[8]Pricing_BEL!$L$43-[7]Pricing_BEL!$L$43</f>
        <v>0</v>
      </c>
      <c r="H394" s="36">
        <f>+[9]Pricing_BEL!$L$43-[8]Pricing_BEL!$L$43</f>
        <v>-2272.1927416841063</v>
      </c>
      <c r="I394" s="14">
        <f>+[10]Pricing_BEL!$L$43-[9]Pricing_BEL!$L$43</f>
        <v>0</v>
      </c>
      <c r="J394" s="14">
        <f>+[11]Pricing_BEL!$L$43-[10]Pricing_BEL!$L$43</f>
        <v>0</v>
      </c>
      <c r="K394" s="36">
        <f>+[12]Pricing_BEL!$L$43-[11]Pricing_BEL!$L$43</f>
        <v>-1091.3370499299708</v>
      </c>
      <c r="L394" s="14">
        <f>+[13]Pricing_BEL!$L$43-[12]Pricing_BEL!$L$43</f>
        <v>0</v>
      </c>
      <c r="M394" s="14">
        <f>+[14]Pricing_BEL!$L$43-[13]Pricing_BEL!$L$43</f>
        <v>0</v>
      </c>
      <c r="N394" s="39"/>
    </row>
    <row r="395" spans="2:26" hidden="1" outlineLevel="2" x14ac:dyDescent="0.25">
      <c r="B395" s="17" t="s">
        <v>46</v>
      </c>
      <c r="C395" s="14">
        <f>+[1]Pricing_BEL!$L$44-[15]Pricing_BEL!$L$44</f>
        <v>0</v>
      </c>
      <c r="D395" s="14">
        <f>+[5]Pricing_BEL!$L$44-[1]Pricing_BEL!$L$44</f>
        <v>0</v>
      </c>
      <c r="E395" s="36">
        <f>+[6]Pricing_BEL!$L$44-[5]Pricing_BEL!$L$44</f>
        <v>564.36339158476039</v>
      </c>
      <c r="F395" s="14">
        <f>+[7]Pricing_BEL!$L$44-[6]Pricing_BEL!$L$44</f>
        <v>0</v>
      </c>
      <c r="G395" s="14">
        <f>+[8]Pricing_BEL!$L$44-[7]Pricing_BEL!$L$44</f>
        <v>0</v>
      </c>
      <c r="H395" s="36">
        <f>+[9]Pricing_BEL!$L$44-[8]Pricing_BEL!$L$44</f>
        <v>-2216.4939777334621</v>
      </c>
      <c r="I395" s="14">
        <f>+[10]Pricing_BEL!$L$44-[9]Pricing_BEL!$L$44</f>
        <v>0</v>
      </c>
      <c r="J395" s="14">
        <f>+[11]Pricing_BEL!$L$44-[10]Pricing_BEL!$L$44</f>
        <v>0</v>
      </c>
      <c r="K395" s="36">
        <f>+[12]Pricing_BEL!$L$44-[11]Pricing_BEL!$L$44</f>
        <v>1806.0860010488359</v>
      </c>
      <c r="L395" s="14">
        <f>+[13]Pricing_BEL!$L$44-[12]Pricing_BEL!$L$44</f>
        <v>0</v>
      </c>
      <c r="M395" s="14">
        <f>+[14]Pricing_BEL!$L$44-[13]Pricing_BEL!$L$44</f>
        <v>0</v>
      </c>
      <c r="N395" s="39"/>
    </row>
    <row r="396" spans="2:26" hidden="1" outlineLevel="2" x14ac:dyDescent="0.25">
      <c r="B396" s="17" t="s">
        <v>47</v>
      </c>
      <c r="C396" s="14">
        <f>+[1]Pricing_BEL!$L$45-[15]Pricing_BEL!$L$45</f>
        <v>0</v>
      </c>
      <c r="D396" s="14">
        <f>+[5]Pricing_BEL!$L$45-[1]Pricing_BEL!$L$45</f>
        <v>0</v>
      </c>
      <c r="E396" s="36">
        <f>+[6]Pricing_BEL!$L$45-[5]Pricing_BEL!$L$45</f>
        <v>32.80780058306118</v>
      </c>
      <c r="F396" s="14">
        <f>+[7]Pricing_BEL!$L$45-[6]Pricing_BEL!$L$45</f>
        <v>0</v>
      </c>
      <c r="G396" s="14">
        <f>+[8]Pricing_BEL!$L$45-[7]Pricing_BEL!$L$45</f>
        <v>0</v>
      </c>
      <c r="H396" s="36">
        <f>+[9]Pricing_BEL!$L$45-[8]Pricing_BEL!$L$45</f>
        <v>-987.20583191990409</v>
      </c>
      <c r="I396" s="14">
        <f>+[10]Pricing_BEL!$L$45-[9]Pricing_BEL!$L$45</f>
        <v>0</v>
      </c>
      <c r="J396" s="14">
        <f>+[11]Pricing_BEL!$L$45-[10]Pricing_BEL!$L$45</f>
        <v>0</v>
      </c>
      <c r="K396" s="36">
        <f>+[12]Pricing_BEL!$L$45-[11]Pricing_BEL!$L$45</f>
        <v>792.59039808346824</v>
      </c>
      <c r="L396" s="14">
        <f>+[13]Pricing_BEL!$L$45-[12]Pricing_BEL!$L$45</f>
        <v>0</v>
      </c>
      <c r="M396" s="14">
        <f>+[14]Pricing_BEL!$L$45-[13]Pricing_BEL!$L$45</f>
        <v>0</v>
      </c>
      <c r="N396" s="39"/>
    </row>
    <row r="397" spans="2:26" hidden="1" outlineLevel="2" x14ac:dyDescent="0.25">
      <c r="B397" s="17" t="s">
        <v>48</v>
      </c>
      <c r="C397" s="14">
        <f>+[1]Pricing_BEL!$L$46-[15]Pricing_BEL!$L$46</f>
        <v>0</v>
      </c>
      <c r="D397" s="14">
        <f>+[5]Pricing_BEL!$L$46-[1]Pricing_BEL!$L$46</f>
        <v>0</v>
      </c>
      <c r="E397" s="36">
        <f>+[6]Pricing_BEL!$L$46-[5]Pricing_BEL!$L$46</f>
        <v>-49.625277141657534</v>
      </c>
      <c r="F397" s="14">
        <f>+[7]Pricing_BEL!$L$46-[6]Pricing_BEL!$L$46</f>
        <v>0</v>
      </c>
      <c r="G397" s="14">
        <f>+[8]Pricing_BEL!$L$46-[7]Pricing_BEL!$L$46</f>
        <v>0</v>
      </c>
      <c r="H397" s="36">
        <f>+[9]Pricing_BEL!$L$46-[8]Pricing_BEL!$L$46</f>
        <v>-425.88166512071803</v>
      </c>
      <c r="I397" s="14">
        <f>+[10]Pricing_BEL!$L$46-[9]Pricing_BEL!$L$46</f>
        <v>0</v>
      </c>
      <c r="J397" s="14">
        <f>+[11]Pricing_BEL!$L$46-[10]Pricing_BEL!$L$46</f>
        <v>0</v>
      </c>
      <c r="K397" s="36">
        <f>+[12]Pricing_BEL!$L$46-[11]Pricing_BEL!$L$46</f>
        <v>277.59355824918021</v>
      </c>
      <c r="L397" s="14">
        <f>+[13]Pricing_BEL!$L$46-[12]Pricing_BEL!$L$46</f>
        <v>0</v>
      </c>
      <c r="M397" s="14">
        <f>+[14]Pricing_BEL!$L$46-[13]Pricing_BEL!$L$46</f>
        <v>0</v>
      </c>
      <c r="N397" s="39"/>
    </row>
    <row r="398" spans="2:26" hidden="1" outlineLevel="2" x14ac:dyDescent="0.25">
      <c r="B398" s="17" t="s">
        <v>49</v>
      </c>
      <c r="C398" s="14">
        <f>+[1]Pricing_BEL!$L$47-[15]Pricing_BEL!$L$47</f>
        <v>0</v>
      </c>
      <c r="D398" s="14">
        <f>+[5]Pricing_BEL!$L$47-[1]Pricing_BEL!$L$47</f>
        <v>0</v>
      </c>
      <c r="E398" s="36">
        <f>+[6]Pricing_BEL!$L$47-[5]Pricing_BEL!$L$47</f>
        <v>-68.285424818819592</v>
      </c>
      <c r="F398" s="14">
        <f>+[7]Pricing_BEL!$L$47-[6]Pricing_BEL!$L$47</f>
        <v>0</v>
      </c>
      <c r="G398" s="14">
        <f>+[8]Pricing_BEL!$L$47-[7]Pricing_BEL!$L$47</f>
        <v>0</v>
      </c>
      <c r="H398" s="36">
        <f>+[9]Pricing_BEL!$L$47-[8]Pricing_BEL!$L$47</f>
        <v>-199.64475434654514</v>
      </c>
      <c r="I398" s="14">
        <f>+[10]Pricing_BEL!$L$47-[9]Pricing_BEL!$L$47</f>
        <v>0</v>
      </c>
      <c r="J398" s="14">
        <f>+[11]Pricing_BEL!$L$47-[10]Pricing_BEL!$L$47</f>
        <v>0</v>
      </c>
      <c r="K398" s="36">
        <f>+[12]Pricing_BEL!$L$47-[11]Pricing_BEL!$L$47</f>
        <v>117.86853240694973</v>
      </c>
      <c r="L398" s="14">
        <f>+[13]Pricing_BEL!$L$47-[12]Pricing_BEL!$L$47</f>
        <v>0</v>
      </c>
      <c r="M398" s="14">
        <f>+[14]Pricing_BEL!$L$47-[13]Pricing_BEL!$L$47</f>
        <v>0</v>
      </c>
      <c r="N398" s="39"/>
    </row>
    <row r="399" spans="2:26" hidden="1" outlineLevel="2" x14ac:dyDescent="0.25">
      <c r="B399" s="17" t="s">
        <v>50</v>
      </c>
      <c r="C399" s="14">
        <f>+[1]Pricing_BEL!$L$48-[15]Pricing_BEL!$L$48</f>
        <v>0</v>
      </c>
      <c r="D399" s="14">
        <f>+[5]Pricing_BEL!$L$48-[1]Pricing_BEL!$L$48</f>
        <v>0</v>
      </c>
      <c r="E399" s="36">
        <f>+[6]Pricing_BEL!$L$48-[5]Pricing_BEL!$L$48</f>
        <v>-25.349156656924606</v>
      </c>
      <c r="F399" s="14">
        <f>+[7]Pricing_BEL!$L$48-[6]Pricing_BEL!$L$48</f>
        <v>0</v>
      </c>
      <c r="G399" s="14">
        <f>+[8]Pricing_BEL!$L$48-[7]Pricing_BEL!$L$48</f>
        <v>0</v>
      </c>
      <c r="H399" s="36">
        <f>+[9]Pricing_BEL!$L$48-[8]Pricing_BEL!$L$48</f>
        <v>-107.13748842913992</v>
      </c>
      <c r="I399" s="14">
        <f>+[10]Pricing_BEL!$L$48-[9]Pricing_BEL!$L$48</f>
        <v>0</v>
      </c>
      <c r="J399" s="14">
        <f>+[11]Pricing_BEL!$L$48-[10]Pricing_BEL!$L$48</f>
        <v>0</v>
      </c>
      <c r="K399" s="36">
        <f>+[12]Pricing_BEL!$L$48-[11]Pricing_BEL!$L$48</f>
        <v>71.457526367786841</v>
      </c>
      <c r="L399" s="14">
        <f>+[13]Pricing_BEL!$L$48-[12]Pricing_BEL!$L$48</f>
        <v>0</v>
      </c>
      <c r="M399" s="14">
        <f>+[14]Pricing_BEL!$L$48-[13]Pricing_BEL!$L$48</f>
        <v>0</v>
      </c>
      <c r="N399" s="39"/>
    </row>
    <row r="400" spans="2:26" hidden="1" outlineLevel="2" x14ac:dyDescent="0.25">
      <c r="B400" s="17" t="s">
        <v>51</v>
      </c>
      <c r="C400" s="14">
        <f>+[1]Pricing_BEL!$L$49-[15]Pricing_BEL!$L$49</f>
        <v>0</v>
      </c>
      <c r="D400" s="14">
        <f>+[5]Pricing_BEL!$L$49-[1]Pricing_BEL!$L$49</f>
        <v>0</v>
      </c>
      <c r="E400" s="36">
        <f>+[6]Pricing_BEL!$L$49-[5]Pricing_BEL!$L$49</f>
        <v>-23.636472077908252</v>
      </c>
      <c r="F400" s="14">
        <f>+[7]Pricing_BEL!$L$49-[6]Pricing_BEL!$L$49</f>
        <v>0</v>
      </c>
      <c r="G400" s="14">
        <f>+[8]Pricing_BEL!$L$49-[7]Pricing_BEL!$L$49</f>
        <v>0</v>
      </c>
      <c r="H400" s="36">
        <f>+[9]Pricing_BEL!$L$49-[8]Pricing_BEL!$L$49</f>
        <v>-68.375877482279407</v>
      </c>
      <c r="I400" s="14">
        <f>+[10]Pricing_BEL!$L$49-[9]Pricing_BEL!$L$49</f>
        <v>0</v>
      </c>
      <c r="J400" s="14">
        <f>+[11]Pricing_BEL!$L$49-[10]Pricing_BEL!$L$49</f>
        <v>0</v>
      </c>
      <c r="K400" s="36">
        <f>+[12]Pricing_BEL!$L$49-[11]Pricing_BEL!$L$49</f>
        <v>39.350062597511624</v>
      </c>
      <c r="L400" s="14">
        <f>+[13]Pricing_BEL!$L$49-[12]Pricing_BEL!$L$49</f>
        <v>0</v>
      </c>
      <c r="M400" s="14">
        <f>+[14]Pricing_BEL!$L$49-[13]Pricing_BEL!$L$49</f>
        <v>0</v>
      </c>
      <c r="N400" s="39"/>
    </row>
    <row r="401" spans="2:26" hidden="1" outlineLevel="2" x14ac:dyDescent="0.25">
      <c r="B401" s="17" t="s">
        <v>52</v>
      </c>
      <c r="C401" s="14">
        <f>+[1]Pricing_BEL!$L$50-[15]Pricing_BEL!$L$50</f>
        <v>0</v>
      </c>
      <c r="D401" s="14">
        <f>+[5]Pricing_BEL!$L$50-[1]Pricing_BEL!$L$50</f>
        <v>0</v>
      </c>
      <c r="E401" s="36">
        <f>+[6]Pricing_BEL!$L$50-[5]Pricing_BEL!$L$50</f>
        <v>-11.899784655311805</v>
      </c>
      <c r="F401" s="14">
        <f>+[7]Pricing_BEL!$L$50-[6]Pricing_BEL!$L$50</f>
        <v>0</v>
      </c>
      <c r="G401" s="14">
        <f>+[8]Pricing_BEL!$L$50-[7]Pricing_BEL!$L$50</f>
        <v>0</v>
      </c>
      <c r="H401" s="36">
        <f>+[9]Pricing_BEL!$L$50-[8]Pricing_BEL!$L$50</f>
        <v>-38.956247505104443</v>
      </c>
      <c r="I401" s="14">
        <f>+[10]Pricing_BEL!$L$50-[9]Pricing_BEL!$L$50</f>
        <v>0</v>
      </c>
      <c r="J401" s="14">
        <f>+[11]Pricing_BEL!$L$50-[10]Pricing_BEL!$L$50</f>
        <v>0</v>
      </c>
      <c r="K401" s="36">
        <f>+[12]Pricing_BEL!$L$50-[11]Pricing_BEL!$L$50</f>
        <v>26.86009616316943</v>
      </c>
      <c r="L401" s="14">
        <f>+[13]Pricing_BEL!$L$50-[12]Pricing_BEL!$L$50</f>
        <v>0</v>
      </c>
      <c r="M401" s="14">
        <f>+[14]Pricing_BEL!$L$50-[13]Pricing_BEL!$L$50</f>
        <v>0</v>
      </c>
      <c r="N401" s="39"/>
    </row>
    <row r="402" spans="2:26" hidden="1" outlineLevel="2" x14ac:dyDescent="0.25">
      <c r="B402" s="17" t="s">
        <v>53</v>
      </c>
      <c r="C402" s="14">
        <f>+[1]Pricing_BEL!$L$51-[15]Pricing_BEL!$L$51</f>
        <v>0</v>
      </c>
      <c r="D402" s="14">
        <f>+[5]Pricing_BEL!$L$51-[1]Pricing_BEL!$L$51</f>
        <v>0</v>
      </c>
      <c r="E402" s="36">
        <f>+[6]Pricing_BEL!$L$51-[5]Pricing_BEL!$L$51</f>
        <v>-6.8944355133651527</v>
      </c>
      <c r="F402" s="14">
        <f>+[7]Pricing_BEL!$L$51-[6]Pricing_BEL!$L$51</f>
        <v>0</v>
      </c>
      <c r="G402" s="14">
        <f>+[8]Pricing_BEL!$L$51-[7]Pricing_BEL!$L$51</f>
        <v>0</v>
      </c>
      <c r="H402" s="36">
        <f>+[9]Pricing_BEL!$L$51-[8]Pricing_BEL!$L$51</f>
        <v>-23.705547362480928</v>
      </c>
      <c r="I402" s="14">
        <f>+[10]Pricing_BEL!$L$51-[9]Pricing_BEL!$L$51</f>
        <v>0</v>
      </c>
      <c r="J402" s="14">
        <f>+[11]Pricing_BEL!$L$51-[10]Pricing_BEL!$L$51</f>
        <v>0</v>
      </c>
      <c r="K402" s="36">
        <f>+[12]Pricing_BEL!$L$51-[11]Pricing_BEL!$L$51</f>
        <v>18.320599041479682</v>
      </c>
      <c r="L402" s="14">
        <f>+[13]Pricing_BEL!$L$51-[12]Pricing_BEL!$L$51</f>
        <v>0</v>
      </c>
      <c r="M402" s="14">
        <f>+[14]Pricing_BEL!$L$51-[13]Pricing_BEL!$L$51</f>
        <v>0</v>
      </c>
      <c r="N402" s="39"/>
    </row>
    <row r="403" spans="2:26" hidden="1" outlineLevel="2" x14ac:dyDescent="0.25">
      <c r="B403" s="17" t="s">
        <v>54</v>
      </c>
      <c r="C403" s="14">
        <f>+[1]Pricing_BEL!$L$52-[15]Pricing_BEL!$L$52</f>
        <v>0</v>
      </c>
      <c r="D403" s="14">
        <f>+[5]Pricing_BEL!$L$52-[1]Pricing_BEL!$L$52</f>
        <v>0</v>
      </c>
      <c r="E403" s="36">
        <f>+[6]Pricing_BEL!$L$52-[5]Pricing_BEL!$L$52</f>
        <v>0.34426687101715459</v>
      </c>
      <c r="F403" s="14">
        <f>+[7]Pricing_BEL!$L$52-[6]Pricing_BEL!$L$52</f>
        <v>0</v>
      </c>
      <c r="G403" s="14">
        <f>+[8]Pricing_BEL!$L$52-[7]Pricing_BEL!$L$52</f>
        <v>0</v>
      </c>
      <c r="H403" s="36">
        <f>+[9]Pricing_BEL!$L$52-[8]Pricing_BEL!$L$52</f>
        <v>-14.374333802347451</v>
      </c>
      <c r="I403" s="14">
        <f>+[10]Pricing_BEL!$L$52-[9]Pricing_BEL!$L$52</f>
        <v>0</v>
      </c>
      <c r="J403" s="14">
        <f>+[11]Pricing_BEL!$L$52-[10]Pricing_BEL!$L$52</f>
        <v>0</v>
      </c>
      <c r="K403" s="36">
        <f>+[12]Pricing_BEL!$L$52-[11]Pricing_BEL!$L$52</f>
        <v>9.6280883826553492</v>
      </c>
      <c r="L403" s="14">
        <f>+[13]Pricing_BEL!$L$52-[12]Pricing_BEL!$L$52</f>
        <v>0</v>
      </c>
      <c r="M403" s="14">
        <f>+[14]Pricing_BEL!$L$52-[13]Pricing_BEL!$L$52</f>
        <v>0</v>
      </c>
      <c r="N403" s="39"/>
    </row>
    <row r="404" spans="2:26" hidden="1" outlineLevel="2" x14ac:dyDescent="0.25">
      <c r="B404" s="17" t="s">
        <v>55</v>
      </c>
      <c r="C404" s="14">
        <f>+[1]Pricing_BEL!$L$53-[15]Pricing_BEL!$L$53</f>
        <v>0</v>
      </c>
      <c r="D404" s="14">
        <f>+[5]Pricing_BEL!$L$53-[1]Pricing_BEL!$L$53</f>
        <v>0</v>
      </c>
      <c r="E404" s="36">
        <f>+[6]Pricing_BEL!$L$53-[5]Pricing_BEL!$L$53</f>
        <v>1.1973705077929537</v>
      </c>
      <c r="F404" s="14">
        <f>+[7]Pricing_BEL!$L$53-[6]Pricing_BEL!$L$53</f>
        <v>0</v>
      </c>
      <c r="G404" s="14">
        <f>+[8]Pricing_BEL!$L$53-[7]Pricing_BEL!$L$53</f>
        <v>0</v>
      </c>
      <c r="H404" s="36">
        <f>+[9]Pricing_BEL!$L$53-[8]Pricing_BEL!$L$53</f>
        <v>-3.2138061406405001</v>
      </c>
      <c r="I404" s="14">
        <f>+[10]Pricing_BEL!$L$53-[9]Pricing_BEL!$L$53</f>
        <v>0</v>
      </c>
      <c r="J404" s="14">
        <f>+[11]Pricing_BEL!$L$53-[10]Pricing_BEL!$L$53</f>
        <v>0</v>
      </c>
      <c r="K404" s="36">
        <f>+[12]Pricing_BEL!$L$53-[11]Pricing_BEL!$L$53</f>
        <v>4.2245630097333304</v>
      </c>
      <c r="L404" s="14">
        <f>+[13]Pricing_BEL!$L$53-[12]Pricing_BEL!$L$53</f>
        <v>0</v>
      </c>
      <c r="M404" s="14">
        <f>+[14]Pricing_BEL!$L$53-[13]Pricing_BEL!$L$53</f>
        <v>0</v>
      </c>
      <c r="N404" s="39"/>
    </row>
    <row r="405" spans="2:26" hidden="1" outlineLevel="2" x14ac:dyDescent="0.25">
      <c r="B405" s="17" t="s">
        <v>56</v>
      </c>
      <c r="C405" s="14">
        <f>+[1]Pricing_BEL!$L$54-[15]Pricing_BEL!$L$54</f>
        <v>0</v>
      </c>
      <c r="D405" s="14">
        <f>+[5]Pricing_BEL!$L$54-[1]Pricing_BEL!$L$54</f>
        <v>0</v>
      </c>
      <c r="E405" s="36">
        <f>+[6]Pricing_BEL!$L$54-[5]Pricing_BEL!$L$54</f>
        <v>1.0362266838632976</v>
      </c>
      <c r="F405" s="14">
        <f>+[7]Pricing_BEL!$L$54-[6]Pricing_BEL!$L$54</f>
        <v>0</v>
      </c>
      <c r="G405" s="14">
        <f>+[8]Pricing_BEL!$L$54-[7]Pricing_BEL!$L$54</f>
        <v>0</v>
      </c>
      <c r="H405" s="36">
        <f>+[9]Pricing_BEL!$L$54-[8]Pricing_BEL!$L$54</f>
        <v>-1.3881609843111811</v>
      </c>
      <c r="I405" s="14">
        <f>+[10]Pricing_BEL!$L$54-[9]Pricing_BEL!$L$54</f>
        <v>0</v>
      </c>
      <c r="J405" s="14">
        <f>+[11]Pricing_BEL!$L$54-[10]Pricing_BEL!$L$54</f>
        <v>0</v>
      </c>
      <c r="K405" s="36">
        <f>+[12]Pricing_BEL!$L$54-[11]Pricing_BEL!$L$54</f>
        <v>1.2071272126721784</v>
      </c>
      <c r="L405" s="14">
        <f>+[13]Pricing_BEL!$L$54-[12]Pricing_BEL!$L$54</f>
        <v>0</v>
      </c>
      <c r="M405" s="14">
        <f>+[14]Pricing_BEL!$L$54-[13]Pricing_BEL!$L$54</f>
        <v>0</v>
      </c>
      <c r="N405" s="39"/>
    </row>
    <row r="406" spans="2:26" collapsed="1" x14ac:dyDescent="0.25">
      <c r="B406" s="13" t="s">
        <v>89</v>
      </c>
      <c r="C406" s="14">
        <f>+SUM([1]Result!$C$5:$C$54)-SUM([15]Result!$C$5:$C$54)</f>
        <v>1669399.8358582258</v>
      </c>
      <c r="D406" s="14">
        <f>+SUM([5]Result!$C$5:$C$54)-SUM([1]Result!$C$5:$C$54)</f>
        <v>-3028442.5273749828</v>
      </c>
      <c r="E406" s="36">
        <f>+SUM([6]Result!$C$5:$C$54)-SUM([5]Result!$C$5:$C$54)</f>
        <v>-30213452.940349936</v>
      </c>
      <c r="F406" s="14">
        <f>+SUM([7]Result!$C$5:$C$54)-SUM([6]Result!$C$5:$C$54)</f>
        <v>-6844580.7801736593</v>
      </c>
      <c r="G406" s="14">
        <f>+SUM([8]Result!$C$5:$C$54)-SUM([7]Result!$C$5:$C$54)</f>
        <v>1903442.3011249304</v>
      </c>
      <c r="H406" s="36">
        <f>+SUM([9]Result!$C$5:$C$54)-SUM([8]Result!$C$5:$C$54)</f>
        <v>32976473.974838614</v>
      </c>
      <c r="I406" s="14">
        <f>+SUM([10]Result!$C$5:$C$54)-SUM([9]Result!$C$5:$C$54)</f>
        <v>2223006.186019659</v>
      </c>
      <c r="J406" s="14">
        <f>+SUM([11]Result!$C$5:$C$54)-SUM([10]Result!$C$5:$C$54)</f>
        <v>-424185.39495384693</v>
      </c>
      <c r="K406" s="36">
        <f>+SUM([12]Result!$C$5:$C$54)-SUM([11]Result!$C$5:$C$54)</f>
        <v>-1812989.5598447323</v>
      </c>
      <c r="L406" s="14">
        <f>+SUM([13]Result!$C$5:$C$54)-SUM([12]Result!$C$5:$C$54)</f>
        <v>-813873.31162559986</v>
      </c>
      <c r="M406" s="14">
        <f>+SUM([14]Result!$C$5:$C$54)-SUM([13]Result!$C$5:$C$54)</f>
        <v>2247824.0866396427</v>
      </c>
      <c r="N406" s="39"/>
      <c r="O406" s="14">
        <f>+C406-(C407+C413+C419+C430+C441)</f>
        <v>-6.7567452788352966E-7</v>
      </c>
      <c r="P406" s="14">
        <f t="shared" ref="P406:R406" si="129">+D406-(D407+D413+D419+D430+D441)</f>
        <v>1.3923272490501404E-7</v>
      </c>
      <c r="Q406" s="14">
        <f t="shared" si="129"/>
        <v>2.3096799850463867E-7</v>
      </c>
      <c r="R406" s="14">
        <f t="shared" si="129"/>
        <v>-5.2340328693389893E-7</v>
      </c>
      <c r="S406" s="14">
        <f t="shared" ref="S406" si="130">+G406-(G407+G413+G419+G430+G441)</f>
        <v>3.4505501389503479E-7</v>
      </c>
      <c r="T406" s="14">
        <f t="shared" ref="T406:Z406" si="131">+H406-(H407+H413+H419+H430+H441)</f>
        <v>1.3783574104309082E-7</v>
      </c>
      <c r="U406" s="14">
        <f t="shared" si="131"/>
        <v>-3.8836151361465454E-7</v>
      </c>
      <c r="V406" s="14">
        <f t="shared" si="131"/>
        <v>4.4470652937889099E-7</v>
      </c>
      <c r="W406" s="14">
        <f t="shared" si="131"/>
        <v>-3.0710361897945404E-7</v>
      </c>
      <c r="X406" s="14">
        <f t="shared" si="131"/>
        <v>-3.0267983675003052E-8</v>
      </c>
      <c r="Y406" s="14">
        <f t="shared" si="131"/>
        <v>-2.5471672415733337E-7</v>
      </c>
      <c r="Z406" s="14">
        <f t="shared" si="131"/>
        <v>0</v>
      </c>
    </row>
    <row r="407" spans="2:26" hidden="1" outlineLevel="1" x14ac:dyDescent="0.25">
      <c r="B407" s="16" t="s">
        <v>2</v>
      </c>
      <c r="C407" s="14">
        <f>+'[1]Stat by Mat'!$G$3-'[15]Stat by Mat'!$G$3</f>
        <v>758963.54167485237</v>
      </c>
      <c r="D407" s="14">
        <f>+'[5]Stat by Mat'!$G$3-'[1]Stat by Mat'!$G$3</f>
        <v>-1579745.4014139175</v>
      </c>
      <c r="E407" s="36">
        <f>+'[6]Stat by Mat'!$G$3-'[5]Stat by Mat'!$G$3</f>
        <v>-41213271.784674525</v>
      </c>
      <c r="F407" s="14">
        <f>+'[7]Stat by Mat'!$G$3-'[6]Stat by Mat'!$G$3</f>
        <v>-3601830.3377207518</v>
      </c>
      <c r="G407" s="14">
        <f>+'[8]Stat by Mat'!$G$3-'[7]Stat by Mat'!$G$3</f>
        <v>604481.80156886578</v>
      </c>
      <c r="H407" s="36">
        <f>+'[9]Stat by Mat'!$G$3-'[8]Stat by Mat'!$G$3</f>
        <v>32146891.042055845</v>
      </c>
      <c r="I407" s="14">
        <f>+'[10]Stat by Mat'!$G$3-'[9]Stat by Mat'!$G$3</f>
        <v>1110517.659948945</v>
      </c>
      <c r="J407" s="14">
        <f>+'[11]Stat by Mat'!$G$3-'[10]Stat by Mat'!$G$3</f>
        <v>-463253.19087660313</v>
      </c>
      <c r="K407" s="36">
        <f>+'[12]Stat by Mat'!$G$3-'[11]Stat by Mat'!$G$3</f>
        <v>-828996.29988431931</v>
      </c>
      <c r="L407" s="14">
        <f>+'[13]Stat by Mat'!$G$3-'[12]Stat by Mat'!$G$3</f>
        <v>-350032.65785253048</v>
      </c>
      <c r="M407" s="14">
        <f>+'[14]Stat by Mat'!$G$3-'[13]Stat by Mat'!$G$3</f>
        <v>542612.11137247086</v>
      </c>
      <c r="N407" s="39"/>
      <c r="O407" s="14">
        <f>+C407-SUM(C408:C412)</f>
        <v>-2.9802322387695313E-8</v>
      </c>
      <c r="P407" s="14">
        <f t="shared" ref="P407:R407" si="132">+D407-SUM(D408:D412)</f>
        <v>2.2351741790771484E-8</v>
      </c>
      <c r="Q407" s="14">
        <f t="shared" si="132"/>
        <v>0</v>
      </c>
      <c r="R407" s="14">
        <f t="shared" si="132"/>
        <v>7.4505805969238281E-8</v>
      </c>
      <c r="S407" s="14">
        <f t="shared" ref="S407" si="133">+G407-SUM(G408:G412)</f>
        <v>-4.4703483581542969E-8</v>
      </c>
      <c r="T407" s="14">
        <f t="shared" ref="T407:Z407" si="134">+H407-SUM(H408:H412)</f>
        <v>-1.7136335372924805E-7</v>
      </c>
      <c r="U407" s="14">
        <f t="shared" si="134"/>
        <v>1.862645149230957E-7</v>
      </c>
      <c r="V407" s="14">
        <f t="shared" si="134"/>
        <v>-8.9406967163085938E-8</v>
      </c>
      <c r="W407" s="14">
        <f t="shared" si="134"/>
        <v>-2.9802322387695313E-8</v>
      </c>
      <c r="X407" s="14">
        <f t="shared" si="134"/>
        <v>5.2154064178466797E-8</v>
      </c>
      <c r="Y407" s="14">
        <f t="shared" si="134"/>
        <v>5.2154064178466797E-8</v>
      </c>
      <c r="Z407" s="14">
        <f t="shared" si="134"/>
        <v>0</v>
      </c>
    </row>
    <row r="408" spans="2:26" hidden="1" outlineLevel="2" x14ac:dyDescent="0.25">
      <c r="B408" s="17" t="s">
        <v>3</v>
      </c>
      <c r="C408" s="14">
        <f>+[1]Result!$C$5-[15]Result!$C$5</f>
        <v>111939.86139148474</v>
      </c>
      <c r="D408" s="14">
        <f>+[5]Result!$C$5-[1]Result!$C$5</f>
        <v>-302721.22888940573</v>
      </c>
      <c r="E408" s="36">
        <f>+[6]Result!$C$5-[5]Result!$C$5</f>
        <v>-995956.55992037058</v>
      </c>
      <c r="F408" s="14">
        <f>+[7]Result!$C$5-[6]Result!$C$5</f>
        <v>-563982.51428693533</v>
      </c>
      <c r="G408" s="14">
        <f>+[8]Result!$C$5-[7]Result!$C$5</f>
        <v>31745.779925644398</v>
      </c>
      <c r="H408" s="36">
        <f>+[9]Result!$C$5-[8]Result!$C$5</f>
        <v>37267954.167510509</v>
      </c>
      <c r="I408" s="14">
        <f>+[10]Result!$C$5-[9]Result!$C$5</f>
        <v>122445.42907679081</v>
      </c>
      <c r="J408" s="14">
        <f>+[11]Result!$C$5-[10]Result!$C$5</f>
        <v>-16196.635020196438</v>
      </c>
      <c r="K408" s="36">
        <f>+[12]Result!$C$5-[11]Result!$C$5</f>
        <v>19875008.596017063</v>
      </c>
      <c r="L408" s="14">
        <f>+[13]Result!$C$5-[12]Result!$C$5</f>
        <v>8508.1332572102547</v>
      </c>
      <c r="M408" s="14">
        <f>+[14]Result!$C$5-[13]Result!$C$5</f>
        <v>20416.11789804697</v>
      </c>
      <c r="N408" s="39"/>
    </row>
    <row r="409" spans="2:26" hidden="1" outlineLevel="2" x14ac:dyDescent="0.25">
      <c r="B409" s="17" t="s">
        <v>4</v>
      </c>
      <c r="C409" s="14">
        <f>+[1]Result!$C$6-[15]Result!$C$6</f>
        <v>205887.5057694912</v>
      </c>
      <c r="D409" s="14">
        <f>+[5]Result!$C$6-[1]Result!$C$6</f>
        <v>-427476.20229384303</v>
      </c>
      <c r="E409" s="36">
        <f>+[6]Result!$C$6-[5]Result!$C$6</f>
        <v>-39080173.765442133</v>
      </c>
      <c r="F409" s="14">
        <f>+[7]Result!$C$6-[6]Result!$C$6</f>
        <v>-1115312.9487558007</v>
      </c>
      <c r="G409" s="14">
        <f>+[8]Result!$C$6-[7]Result!$C$6</f>
        <v>156684.08080437779</v>
      </c>
      <c r="H409" s="36">
        <f>+[9]Result!$C$6-[8]Result!$C$6</f>
        <v>-5782699.4458551705</v>
      </c>
      <c r="I409" s="14">
        <f>+[10]Result!$C$6-[9]Result!$C$6</f>
        <v>335598.23715037107</v>
      </c>
      <c r="J409" s="14">
        <f>+[11]Result!$C$6-[10]Result!$C$6</f>
        <v>-110166.07126235962</v>
      </c>
      <c r="K409" s="36">
        <f>+[12]Result!$C$6-[11]Result!$C$6</f>
        <v>-9143223.9915880263</v>
      </c>
      <c r="L409" s="14">
        <f>+[13]Result!$C$6-[12]Result!$C$6</f>
        <v>-74376.683715760708</v>
      </c>
      <c r="M409" s="14">
        <f>+[14]Result!$C$6-[13]Result!$C$6</f>
        <v>128413.91681391001</v>
      </c>
      <c r="N409" s="39"/>
    </row>
    <row r="410" spans="2:26" hidden="1" outlineLevel="2" x14ac:dyDescent="0.25">
      <c r="B410" s="17" t="s">
        <v>5</v>
      </c>
      <c r="C410" s="14">
        <f>+[1]Result!$C$7-[15]Result!$C$7</f>
        <v>194103.8959967792</v>
      </c>
      <c r="D410" s="14">
        <f>+[5]Result!$C$7-[1]Result!$C$7</f>
        <v>-353860.6940933466</v>
      </c>
      <c r="E410" s="36">
        <f>+[6]Result!$C$7-[5]Result!$C$7</f>
        <v>-679981.09777115285</v>
      </c>
      <c r="F410" s="14">
        <f>+[7]Result!$C$7-[6]Result!$C$7</f>
        <v>-785444.50957381725</v>
      </c>
      <c r="G410" s="14">
        <f>+[8]Result!$C$7-[7]Result!$C$7</f>
        <v>155559.5860543102</v>
      </c>
      <c r="H410" s="36">
        <f>+[9]Result!$C$7-[8]Result!$C$7</f>
        <v>667512.49813784659</v>
      </c>
      <c r="I410" s="14">
        <f>+[10]Result!$C$7-[9]Result!$C$7</f>
        <v>266358.3303976804</v>
      </c>
      <c r="J410" s="14">
        <f>+[11]Result!$C$7-[10]Result!$C$7</f>
        <v>-131032.54978325963</v>
      </c>
      <c r="K410" s="36">
        <f>+[12]Result!$C$7-[11]Result!$C$7</f>
        <v>-8200303.1007544547</v>
      </c>
      <c r="L410" s="14">
        <f>+[13]Result!$C$7-[12]Result!$C$7</f>
        <v>-102582.93875530362</v>
      </c>
      <c r="M410" s="14">
        <f>+[14]Result!$C$7-[13]Result!$C$7</f>
        <v>134225.8404507935</v>
      </c>
      <c r="N410" s="39"/>
    </row>
    <row r="411" spans="2:26" hidden="1" outlineLevel="2" x14ac:dyDescent="0.25">
      <c r="B411" s="17" t="s">
        <v>6</v>
      </c>
      <c r="C411" s="14">
        <f>+[1]Result!$C$8-[15]Result!$C$8</f>
        <v>137647.59793050587</v>
      </c>
      <c r="D411" s="14">
        <f>+[5]Result!$C$8-[1]Result!$C$8</f>
        <v>-264900.42175310105</v>
      </c>
      <c r="E411" s="36">
        <f>+[6]Result!$C$8-[5]Result!$C$8</f>
        <v>-1016167.0515284985</v>
      </c>
      <c r="F411" s="14">
        <f>+[7]Result!$C$8-[6]Result!$C$8</f>
        <v>-603637.72613810748</v>
      </c>
      <c r="G411" s="14">
        <f>+[8]Result!$C$8-[7]Result!$C$8</f>
        <v>135240.98298241198</v>
      </c>
      <c r="H411" s="36">
        <f>+[9]Result!$C$8-[8]Result!$C$8</f>
        <v>33867.937587559223</v>
      </c>
      <c r="I411" s="14">
        <f>+[10]Result!$C$8-[9]Result!$C$8</f>
        <v>208164.78666590154</v>
      </c>
      <c r="J411" s="14">
        <f>+[11]Result!$C$8-[10]Result!$C$8</f>
        <v>-113878.09286231548</v>
      </c>
      <c r="K411" s="36">
        <f>+[12]Result!$C$8-[11]Result!$C$8</f>
        <v>-2485440.7210317403</v>
      </c>
      <c r="L411" s="14">
        <f>+[13]Result!$C$8-[12]Result!$C$8</f>
        <v>-92997.089635640383</v>
      </c>
      <c r="M411" s="14">
        <f>+[14]Result!$C$8-[13]Result!$C$8</f>
        <v>125469.85857772827</v>
      </c>
      <c r="N411" s="39"/>
    </row>
    <row r="412" spans="2:26" hidden="1" outlineLevel="2" x14ac:dyDescent="0.25">
      <c r="B412" s="17" t="s">
        <v>7</v>
      </c>
      <c r="C412" s="14">
        <f>+[1]Result!$C$9-[15]Result!$C$9</f>
        <v>109384.68058662117</v>
      </c>
      <c r="D412" s="14">
        <f>+[5]Result!$C$9-[1]Result!$C$9</f>
        <v>-230786.85438424349</v>
      </c>
      <c r="E412" s="36">
        <f>+[6]Result!$C$9-[5]Result!$C$9</f>
        <v>559006.6899875775</v>
      </c>
      <c r="F412" s="14">
        <f>+[7]Result!$C$9-[6]Result!$C$9</f>
        <v>-533452.63896616548</v>
      </c>
      <c r="G412" s="14">
        <f>+[8]Result!$C$9-[7]Result!$C$9</f>
        <v>125251.3718021661</v>
      </c>
      <c r="H412" s="36">
        <f>+[9]Result!$C$9-[8]Result!$C$9</f>
        <v>-39744.115324728191</v>
      </c>
      <c r="I412" s="14">
        <f>+[10]Result!$C$9-[9]Result!$C$9</f>
        <v>177950.87665801495</v>
      </c>
      <c r="J412" s="14">
        <f>+[11]Result!$C$9-[10]Result!$C$9</f>
        <v>-91979.841948382556</v>
      </c>
      <c r="K412" s="36">
        <f>+[12]Result!$C$9-[11]Result!$C$9</f>
        <v>-875037.08252713084</v>
      </c>
      <c r="L412" s="14">
        <f>+[13]Result!$C$9-[12]Result!$C$9</f>
        <v>-88584.079003088176</v>
      </c>
      <c r="M412" s="14">
        <f>+[14]Result!$C$9-[13]Result!$C$9</f>
        <v>134086.37763193995</v>
      </c>
      <c r="N412" s="39"/>
    </row>
    <row r="413" spans="2:26" hidden="1" outlineLevel="1" collapsed="1" x14ac:dyDescent="0.25">
      <c r="B413" s="16" t="s">
        <v>8</v>
      </c>
      <c r="C413" s="14">
        <f>+'[1]Stat by Mat'!$G$4-'[15]Stat by Mat'!$G$4</f>
        <v>370356.75276593864</v>
      </c>
      <c r="D413" s="14">
        <f>+'[5]Stat by Mat'!$G$4-'[1]Stat by Mat'!$G$4</f>
        <v>-789671.21986076236</v>
      </c>
      <c r="E413" s="36">
        <f>+'[6]Stat by Mat'!$G$4-'[5]Stat by Mat'!$G$4</f>
        <v>4321743.6831143647</v>
      </c>
      <c r="F413" s="14">
        <f>+'[7]Stat by Mat'!$G$4-'[6]Stat by Mat'!$G$4</f>
        <v>-1789687.6987832636</v>
      </c>
      <c r="G413" s="14">
        <f>+'[8]Stat by Mat'!$G$4-'[7]Stat by Mat'!$G$4</f>
        <v>496359.88703525066</v>
      </c>
      <c r="H413" s="36">
        <f>+'[9]Stat by Mat'!$G$4-'[8]Stat by Mat'!$G$4</f>
        <v>-22323.451940357685</v>
      </c>
      <c r="I413" s="14">
        <f>+'[10]Stat by Mat'!$G$4-'[9]Stat by Mat'!$G$4</f>
        <v>572086.8202919513</v>
      </c>
      <c r="J413" s="14">
        <f>+'[11]Stat by Mat'!$G$4-'[10]Stat by Mat'!$G$4</f>
        <v>-214344.37401524186</v>
      </c>
      <c r="K413" s="36">
        <f>+'[12]Stat by Mat'!$G$4-'[11]Stat by Mat'!$G$4</f>
        <v>-200103.62807530165</v>
      </c>
      <c r="L413" s="14">
        <f>+'[13]Stat by Mat'!$G$4-'[12]Stat by Mat'!$G$4</f>
        <v>-310003.74177655578</v>
      </c>
      <c r="M413" s="14">
        <f>+'[14]Stat by Mat'!$G$4-'[13]Stat by Mat'!$G$4</f>
        <v>671231.14379274845</v>
      </c>
      <c r="N413" s="39"/>
      <c r="O413" s="14">
        <f>+C413-SUM(C414:C418)</f>
        <v>1.3038516044616699E-8</v>
      </c>
      <c r="P413" s="14">
        <f t="shared" ref="P413:R413" si="135">+D413-SUM(D414:D418)</f>
        <v>5.5879354476928711E-9</v>
      </c>
      <c r="Q413" s="14">
        <f t="shared" si="135"/>
        <v>0</v>
      </c>
      <c r="R413" s="14">
        <f t="shared" si="135"/>
        <v>-5.5879354476928711E-9</v>
      </c>
      <c r="S413" s="14">
        <f t="shared" ref="S413" si="136">+G413-SUM(G414:G418)</f>
        <v>-3.7252902984619141E-9</v>
      </c>
      <c r="T413" s="14">
        <f t="shared" ref="T413:Z413" si="137">+H413-SUM(H414:H418)</f>
        <v>3.7252902984619141E-9</v>
      </c>
      <c r="U413" s="14">
        <f t="shared" si="137"/>
        <v>5.5879354476928711E-9</v>
      </c>
      <c r="V413" s="14">
        <f t="shared" si="137"/>
        <v>-7.4505805969238281E-9</v>
      </c>
      <c r="W413" s="14">
        <f t="shared" si="137"/>
        <v>-7.4505805969238281E-9</v>
      </c>
      <c r="X413" s="14">
        <f t="shared" si="137"/>
        <v>9.3132257461547852E-9</v>
      </c>
      <c r="Y413" s="14">
        <f t="shared" si="137"/>
        <v>-9.3132257461547852E-9</v>
      </c>
      <c r="Z413" s="14">
        <f t="shared" si="137"/>
        <v>0</v>
      </c>
    </row>
    <row r="414" spans="2:26" hidden="1" outlineLevel="2" x14ac:dyDescent="0.25">
      <c r="B414" s="17" t="s">
        <v>9</v>
      </c>
      <c r="C414" s="14">
        <f>+[1]Result!$C$10-[15]Result!$C$10</f>
        <v>99424.441596440971</v>
      </c>
      <c r="D414" s="14">
        <f>+[5]Result!$C$10-[1]Result!$C$10</f>
        <v>-216980.4718770273</v>
      </c>
      <c r="E414" s="36">
        <f>+[6]Result!$C$10-[5]Result!$C$10</f>
        <v>841487.59383326396</v>
      </c>
      <c r="F414" s="14">
        <f>+[7]Result!$C$10-[6]Result!$C$10</f>
        <v>-486576.372126434</v>
      </c>
      <c r="G414" s="14">
        <f>+[8]Result!$C$10-[7]Result!$C$10</f>
        <v>119094.04535217956</v>
      </c>
      <c r="H414" s="36">
        <f>+[9]Result!$C$10-[8]Result!$C$10</f>
        <v>113221.89228697121</v>
      </c>
      <c r="I414" s="14">
        <f>+[10]Result!$C$10-[9]Result!$C$10</f>
        <v>157995.29296308011</v>
      </c>
      <c r="J414" s="14">
        <f>+[11]Result!$C$10-[10]Result!$C$10</f>
        <v>-75814.43417089805</v>
      </c>
      <c r="K414" s="36">
        <f>+[12]Result!$C$10-[11]Result!$C$10</f>
        <v>-212308.52269075066</v>
      </c>
      <c r="L414" s="14">
        <f>+[13]Result!$C$10-[12]Result!$C$10</f>
        <v>-83597.25330362469</v>
      </c>
      <c r="M414" s="14">
        <f>+[14]Result!$C$10-[13]Result!$C$10</f>
        <v>145287.69872753695</v>
      </c>
      <c r="N414" s="39"/>
    </row>
    <row r="415" spans="2:26" hidden="1" outlineLevel="2" x14ac:dyDescent="0.25">
      <c r="B415" s="17" t="s">
        <v>10</v>
      </c>
      <c r="C415" s="14">
        <f>+[1]Result!$C$11-[15]Result!$C$11</f>
        <v>80862.687507543713</v>
      </c>
      <c r="D415" s="14">
        <f>+[5]Result!$C$11-[1]Result!$C$11</f>
        <v>-182423.69723179564</v>
      </c>
      <c r="E415" s="36">
        <f>+[6]Result!$C$11-[5]Result!$C$11</f>
        <v>765102.88360049203</v>
      </c>
      <c r="F415" s="14">
        <f>+[7]Result!$C$11-[6]Result!$C$11</f>
        <v>-417578.72766470537</v>
      </c>
      <c r="G415" s="14">
        <f>+[8]Result!$C$11-[7]Result!$C$11</f>
        <v>108568.32418832555</v>
      </c>
      <c r="H415" s="36">
        <f>+[9]Result!$C$11-[8]Result!$C$11</f>
        <v>-17227.127470631152</v>
      </c>
      <c r="I415" s="14">
        <f>+[10]Result!$C$11-[9]Result!$C$11</f>
        <v>131696.40347179025</v>
      </c>
      <c r="J415" s="14">
        <f>+[11]Result!$C$11-[10]Result!$C$11</f>
        <v>-58406.327522862703</v>
      </c>
      <c r="K415" s="36">
        <f>+[12]Result!$C$11-[11]Result!$C$11</f>
        <v>-94456.685022968799</v>
      </c>
      <c r="L415" s="14">
        <f>+[13]Result!$C$11-[12]Result!$C$11</f>
        <v>-72641.236472416669</v>
      </c>
      <c r="M415" s="14">
        <f>+[14]Result!$C$11-[13]Result!$C$11</f>
        <v>144885.95174261183</v>
      </c>
      <c r="N415" s="39"/>
    </row>
    <row r="416" spans="2:26" hidden="1" outlineLevel="2" x14ac:dyDescent="0.25">
      <c r="B416" s="17" t="s">
        <v>11</v>
      </c>
      <c r="C416" s="14">
        <f>+[1]Result!$C$12-[15]Result!$C$12</f>
        <v>65367.553093958646</v>
      </c>
      <c r="D416" s="14">
        <f>+[5]Result!$C$12-[1]Result!$C$12</f>
        <v>-148782.53467173502</v>
      </c>
      <c r="E416" s="36">
        <f>+[6]Result!$C$12-[5]Result!$C$12</f>
        <v>722341.43006019294</v>
      </c>
      <c r="F416" s="14">
        <f>+[7]Result!$C$12-[6]Result!$C$12</f>
        <v>-351600.19513517991</v>
      </c>
      <c r="G416" s="14">
        <f>+[8]Result!$C$12-[7]Result!$C$12</f>
        <v>98304.895661938936</v>
      </c>
      <c r="H416" s="36">
        <f>+[9]Result!$C$12-[8]Result!$C$12</f>
        <v>-77082.718230377883</v>
      </c>
      <c r="I416" s="14">
        <f>+[10]Result!$C$12-[9]Result!$C$12</f>
        <v>109224.70520620048</v>
      </c>
      <c r="J416" s="14">
        <f>+[11]Result!$C$12-[10]Result!$C$12</f>
        <v>-41489.517805971205</v>
      </c>
      <c r="K416" s="36">
        <f>+[12]Result!$C$12-[11]Result!$C$12</f>
        <v>-42313.437252935022</v>
      </c>
      <c r="L416" s="14">
        <f>+[13]Result!$C$12-[12]Result!$C$12</f>
        <v>-60868.931624535471</v>
      </c>
      <c r="M416" s="14">
        <f>+[14]Result!$C$12-[13]Result!$C$12</f>
        <v>136664.34005173296</v>
      </c>
      <c r="N416" s="39"/>
    </row>
    <row r="417" spans="2:26" hidden="1" outlineLevel="2" x14ac:dyDescent="0.25">
      <c r="B417" s="17" t="s">
        <v>12</v>
      </c>
      <c r="C417" s="14">
        <f>+[1]Result!$C$13-[15]Result!$C$13</f>
        <v>58395.561317428946</v>
      </c>
      <c r="D417" s="14">
        <f>+[5]Result!$C$13-[1]Result!$C$13</f>
        <v>-121604.51420344412</v>
      </c>
      <c r="E417" s="36">
        <f>+[6]Result!$C$13-[5]Result!$C$13</f>
        <v>1146155.6005199738</v>
      </c>
      <c r="F417" s="14">
        <f>+[7]Result!$C$13-[6]Result!$C$13</f>
        <v>-282443.60271796957</v>
      </c>
      <c r="G417" s="14">
        <f>+[8]Result!$C$13-[7]Result!$C$13</f>
        <v>86081.864081244916</v>
      </c>
      <c r="H417" s="36">
        <f>+[9]Result!$C$13-[8]Result!$C$13</f>
        <v>53129.106712883338</v>
      </c>
      <c r="I417" s="14">
        <f>+[10]Result!$C$13-[9]Result!$C$13</f>
        <v>86592.903262207285</v>
      </c>
      <c r="J417" s="14">
        <f>+[11]Result!$C$13-[10]Result!$C$13</f>
        <v>-24629.115399681032</v>
      </c>
      <c r="K417" s="36">
        <f>+[12]Result!$C$13-[11]Result!$C$13</f>
        <v>40883.424312083051</v>
      </c>
      <c r="L417" s="14">
        <f>+[13]Result!$C$13-[12]Result!$C$13</f>
        <v>-48556.894703974947</v>
      </c>
      <c r="M417" s="14">
        <f>+[14]Result!$C$13-[13]Result!$C$13</f>
        <v>120151.46625836939</v>
      </c>
      <c r="N417" s="39"/>
    </row>
    <row r="418" spans="2:26" hidden="1" outlineLevel="2" x14ac:dyDescent="0.25">
      <c r="B418" s="17" t="s">
        <v>13</v>
      </c>
      <c r="C418" s="14">
        <f>+[1]Result!$C$14-[15]Result!$C$14</f>
        <v>66306.509250553325</v>
      </c>
      <c r="D418" s="14">
        <f>+[5]Result!$C$14-[1]Result!$C$14</f>
        <v>-119880.00187676586</v>
      </c>
      <c r="E418" s="36">
        <f>+[6]Result!$C$14-[5]Result!$C$14</f>
        <v>846656.17510044202</v>
      </c>
      <c r="F418" s="14">
        <f>+[7]Result!$C$14-[6]Result!$C$14</f>
        <v>-251488.80113896914</v>
      </c>
      <c r="G418" s="14">
        <f>+[8]Result!$C$14-[7]Result!$C$14</f>
        <v>84310.757751565427</v>
      </c>
      <c r="H418" s="36">
        <f>+[9]Result!$C$14-[8]Result!$C$14</f>
        <v>-94364.605239206925</v>
      </c>
      <c r="I418" s="14">
        <f>+[10]Result!$C$14-[9]Result!$C$14</f>
        <v>86577.515388667583</v>
      </c>
      <c r="J418" s="14">
        <f>+[11]Result!$C$14-[10]Result!$C$14</f>
        <v>-14004.979115821421</v>
      </c>
      <c r="K418" s="36">
        <f>+[12]Result!$C$14-[11]Result!$C$14</f>
        <v>108091.59257927723</v>
      </c>
      <c r="L418" s="14">
        <f>+[13]Result!$C$14-[12]Result!$C$14</f>
        <v>-44339.425672013313</v>
      </c>
      <c r="M418" s="14">
        <f>+[14]Result!$C$14-[13]Result!$C$14</f>
        <v>124241.68701250665</v>
      </c>
      <c r="N418" s="39"/>
    </row>
    <row r="419" spans="2:26" hidden="1" outlineLevel="1" collapsed="1" x14ac:dyDescent="0.25">
      <c r="B419" s="16" t="s">
        <v>14</v>
      </c>
      <c r="C419" s="14">
        <f>+'[1]Stat by Mat'!$G$5-'[15]Stat by Mat'!$G$5</f>
        <v>373044.87114033848</v>
      </c>
      <c r="D419" s="14">
        <f>+'[5]Stat by Mat'!$G$5-'[1]Stat by Mat'!$G$5</f>
        <v>-476364.89046651125</v>
      </c>
      <c r="E419" s="36">
        <f>+'[6]Stat by Mat'!$G$5-'[5]Stat by Mat'!$G$5</f>
        <v>5734270.4111062139</v>
      </c>
      <c r="F419" s="14">
        <f>+'[7]Stat by Mat'!$G$5-'[6]Stat by Mat'!$G$5</f>
        <v>-1182471.7224515602</v>
      </c>
      <c r="G419" s="14">
        <f>+'[8]Stat by Mat'!$G$5-'[7]Stat by Mat'!$G$5</f>
        <v>558382.37903935462</v>
      </c>
      <c r="H419" s="36">
        <f>+'[9]Stat by Mat'!$G$5-'[8]Stat by Mat'!$G$5</f>
        <v>601198.70520408452</v>
      </c>
      <c r="I419" s="14">
        <f>+'[10]Stat by Mat'!$G$5-'[9]Stat by Mat'!$G$5</f>
        <v>415062.86435148865</v>
      </c>
      <c r="J419" s="14">
        <f>+'[11]Stat by Mat'!$G$5-'[10]Stat by Mat'!$G$5</f>
        <v>136111.62216307968</v>
      </c>
      <c r="K419" s="36">
        <f>+'[12]Stat by Mat'!$G$5-'[11]Stat by Mat'!$G$5</f>
        <v>-340766.65193667263</v>
      </c>
      <c r="L419" s="14">
        <f>+'[13]Stat by Mat'!$G$5-'[12]Stat by Mat'!$G$5</f>
        <v>-146923.04458101839</v>
      </c>
      <c r="M419" s="14">
        <f>+'[14]Stat by Mat'!$G$5-'[13]Stat by Mat'!$G$5</f>
        <v>756577.39510833472</v>
      </c>
      <c r="N419" s="39"/>
      <c r="O419" s="14">
        <f>+C419-SUM(C420:C429)</f>
        <v>6.9849193096160889E-10</v>
      </c>
      <c r="P419" s="14">
        <f t="shared" ref="P419:R419" si="138">+D419-SUM(D420:D429)</f>
        <v>-1.862645149230957E-9</v>
      </c>
      <c r="Q419" s="14">
        <f t="shared" si="138"/>
        <v>0</v>
      </c>
      <c r="R419" s="14">
        <f t="shared" si="138"/>
        <v>7.6834112405776978E-9</v>
      </c>
      <c r="S419" s="14">
        <f t="shared" ref="S419" si="139">+G419-SUM(G420:G429)</f>
        <v>-1.1874362826347351E-8</v>
      </c>
      <c r="T419" s="14">
        <f t="shared" ref="T419:Z419" si="140">+H419-SUM(H420:H429)</f>
        <v>4.4237822294235229E-9</v>
      </c>
      <c r="U419" s="14">
        <f t="shared" si="140"/>
        <v>1.3969838619232178E-9</v>
      </c>
      <c r="V419" s="14">
        <f t="shared" si="140"/>
        <v>-1.1641532182693481E-8</v>
      </c>
      <c r="W419" s="14">
        <f t="shared" si="140"/>
        <v>1.0244548320770264E-8</v>
      </c>
      <c r="X419" s="14">
        <f t="shared" si="140"/>
        <v>1.862645149230957E-9</v>
      </c>
      <c r="Y419" s="14">
        <f t="shared" si="140"/>
        <v>8.149072527885437E-9</v>
      </c>
      <c r="Z419" s="14">
        <f t="shared" si="140"/>
        <v>0</v>
      </c>
    </row>
    <row r="420" spans="2:26" hidden="1" outlineLevel="2" x14ac:dyDescent="0.25">
      <c r="B420" s="17" t="s">
        <v>15</v>
      </c>
      <c r="C420" s="14">
        <f>+[1]Result!$C$15-[15]Result!$C$15</f>
        <v>57227.022590490058</v>
      </c>
      <c r="D420" s="14">
        <f>+[5]Result!$C$15-[1]Result!$C$15</f>
        <v>-98297.476183494553</v>
      </c>
      <c r="E420" s="36">
        <f>+[6]Result!$C$15-[5]Result!$C$15</f>
        <v>917947.06253496371</v>
      </c>
      <c r="F420" s="14">
        <f>+[7]Result!$C$15-[6]Result!$C$15</f>
        <v>-206184.1605276186</v>
      </c>
      <c r="G420" s="14">
        <f>+[8]Result!$C$15-[7]Result!$C$15</f>
        <v>74442.82250691019</v>
      </c>
      <c r="H420" s="36">
        <f>+[9]Result!$C$15-[8]Result!$C$15</f>
        <v>-41365.566159931943</v>
      </c>
      <c r="I420" s="14">
        <f>+[10]Result!$C$15-[9]Result!$C$15</f>
        <v>74814.945527102798</v>
      </c>
      <c r="J420" s="14">
        <f>+[11]Result!$C$15-[10]Result!$C$15</f>
        <v>-2111.3425919897854</v>
      </c>
      <c r="K420" s="36">
        <f>+[12]Result!$C$15-[11]Result!$C$15</f>
        <v>14722.041473612189</v>
      </c>
      <c r="L420" s="14">
        <f>+[13]Result!$C$15-[12]Result!$C$15</f>
        <v>-35421.891209173948</v>
      </c>
      <c r="M420" s="14">
        <f>+[14]Result!$C$15-[13]Result!$C$15</f>
        <v>110949.03669753112</v>
      </c>
      <c r="N420" s="39"/>
    </row>
    <row r="421" spans="2:26" hidden="1" outlineLevel="2" x14ac:dyDescent="0.25">
      <c r="B421" s="17" t="s">
        <v>16</v>
      </c>
      <c r="C421" s="14">
        <f>+[1]Result!$C$16-[15]Result!$C$16</f>
        <v>37781.333508356474</v>
      </c>
      <c r="D421" s="14">
        <f>+[5]Result!$C$16-[1]Result!$C$16</f>
        <v>-67323.409634783864</v>
      </c>
      <c r="E421" s="36">
        <f>+[6]Result!$C$16-[5]Result!$C$16</f>
        <v>959579.88639923371</v>
      </c>
      <c r="F421" s="14">
        <f>+[7]Result!$C$16-[6]Result!$C$16</f>
        <v>-158277.53750312887</v>
      </c>
      <c r="G421" s="14">
        <f>+[8]Result!$C$16-[7]Result!$C$16</f>
        <v>60549.057785384357</v>
      </c>
      <c r="H421" s="36">
        <f>+[9]Result!$C$16-[8]Result!$C$16</f>
        <v>59559.904445860535</v>
      </c>
      <c r="I421" s="14">
        <f>+[10]Result!$C$16-[9]Result!$C$16</f>
        <v>51128.765374030918</v>
      </c>
      <c r="J421" s="14">
        <f>+[11]Result!$C$16-[10]Result!$C$16</f>
        <v>4945.01654731296</v>
      </c>
      <c r="K421" s="36">
        <f>+[12]Result!$C$16-[11]Result!$C$16</f>
        <v>-45578.783294226974</v>
      </c>
      <c r="L421" s="14">
        <f>+[13]Result!$C$16-[12]Result!$C$16</f>
        <v>-24622.080530083738</v>
      </c>
      <c r="M421" s="14">
        <f>+[14]Result!$C$16-[13]Result!$C$16</f>
        <v>88023.215597591363</v>
      </c>
      <c r="N421" s="39"/>
    </row>
    <row r="422" spans="2:26" hidden="1" outlineLevel="2" x14ac:dyDescent="0.25">
      <c r="B422" s="17" t="s">
        <v>17</v>
      </c>
      <c r="C422" s="14">
        <f>+[1]Result!$C$17-[15]Result!$C$17</f>
        <v>32775.962845047936</v>
      </c>
      <c r="D422" s="14">
        <f>+[5]Result!$C$17-[1]Result!$C$17</f>
        <v>-58276.306506842375</v>
      </c>
      <c r="E422" s="36">
        <f>+[6]Result!$C$17-[5]Result!$C$17</f>
        <v>816952.88446581084</v>
      </c>
      <c r="F422" s="14">
        <f>+[7]Result!$C$17-[6]Result!$C$17</f>
        <v>-141840.58999102656</v>
      </c>
      <c r="G422" s="14">
        <f>+[8]Result!$C$17-[7]Result!$C$17</f>
        <v>58651.506085389294</v>
      </c>
      <c r="H422" s="36">
        <f>+[9]Result!$C$17-[8]Result!$C$17</f>
        <v>81166.103813837282</v>
      </c>
      <c r="I422" s="14">
        <f>+[10]Result!$C$17-[9]Result!$C$17</f>
        <v>42051.486803517677</v>
      </c>
      <c r="J422" s="14">
        <f>+[11]Result!$C$17-[10]Result!$C$17</f>
        <v>10237.94313386362</v>
      </c>
      <c r="K422" s="36">
        <f>+[12]Result!$C$17-[11]Result!$C$17</f>
        <v>-32140.215165435337</v>
      </c>
      <c r="L422" s="14">
        <f>+[13]Result!$C$17-[12]Result!$C$17</f>
        <v>-20098.019437412731</v>
      </c>
      <c r="M422" s="14">
        <f>+[14]Result!$C$17-[13]Result!$C$17</f>
        <v>82502.677752701566</v>
      </c>
      <c r="N422" s="39"/>
    </row>
    <row r="423" spans="2:26" hidden="1" outlineLevel="2" x14ac:dyDescent="0.25">
      <c r="B423" s="17" t="s">
        <v>18</v>
      </c>
      <c r="C423" s="14">
        <f>+[1]Result!$C$18-[15]Result!$C$18</f>
        <v>34192.602843410335</v>
      </c>
      <c r="D423" s="14">
        <f>+[5]Result!$C$18-[1]Result!$C$18</f>
        <v>-54378.930785596371</v>
      </c>
      <c r="E423" s="36">
        <f>+[6]Result!$C$18-[5]Result!$C$18</f>
        <v>684950.46604371443</v>
      </c>
      <c r="F423" s="14">
        <f>+[7]Result!$C$18-[6]Result!$C$18</f>
        <v>-127891.95394659601</v>
      </c>
      <c r="G423" s="14">
        <f>+[8]Result!$C$18-[7]Result!$C$18</f>
        <v>58159.01844949834</v>
      </c>
      <c r="H423" s="36">
        <f>+[9]Result!$C$18-[8]Result!$C$18</f>
        <v>51319.609263463877</v>
      </c>
      <c r="I423" s="14">
        <f>+[10]Result!$C$18-[9]Result!$C$18</f>
        <v>39542.201062504202</v>
      </c>
      <c r="J423" s="14">
        <f>+[11]Result!$C$18-[10]Result!$C$18</f>
        <v>15095.022184357047</v>
      </c>
      <c r="K423" s="36">
        <f>+[12]Result!$C$18-[11]Result!$C$18</f>
        <v>-36494.60608243756</v>
      </c>
      <c r="L423" s="14">
        <f>+[13]Result!$C$18-[12]Result!$C$18</f>
        <v>-17250.530011433177</v>
      </c>
      <c r="M423" s="14">
        <f>+[14]Result!$C$18-[13]Result!$C$18</f>
        <v>78926.548617701046</v>
      </c>
      <c r="N423" s="39"/>
    </row>
    <row r="424" spans="2:26" hidden="1" outlineLevel="2" x14ac:dyDescent="0.25">
      <c r="B424" s="17" t="s">
        <v>19</v>
      </c>
      <c r="C424" s="14">
        <f>+[1]Result!$C$19-[15]Result!$C$19</f>
        <v>40923.22111318633</v>
      </c>
      <c r="D424" s="14">
        <f>+[5]Result!$C$19-[1]Result!$C$19</f>
        <v>-55530.197322537191</v>
      </c>
      <c r="E424" s="36">
        <f>+[6]Result!$C$19-[5]Result!$C$19</f>
        <v>594718.4890774088</v>
      </c>
      <c r="F424" s="14">
        <f>+[7]Result!$C$19-[6]Result!$C$19</f>
        <v>-117987.44109466113</v>
      </c>
      <c r="G424" s="14">
        <f>+[8]Result!$C$19-[7]Result!$C$19</f>
        <v>58921.795953379944</v>
      </c>
      <c r="H424" s="36">
        <f>+[9]Result!$C$19-[8]Result!$C$19</f>
        <v>80747.418254625984</v>
      </c>
      <c r="I424" s="14">
        <f>+[10]Result!$C$19-[9]Result!$C$19</f>
        <v>41251.253377975896</v>
      </c>
      <c r="J424" s="14">
        <f>+[11]Result!$C$19-[10]Result!$C$19</f>
        <v>16979.113799090963</v>
      </c>
      <c r="K424" s="36">
        <f>+[12]Result!$C$19-[11]Result!$C$19</f>
        <v>-4768.6230043196119</v>
      </c>
      <c r="L424" s="14">
        <f>+[13]Result!$C$19-[12]Result!$C$19</f>
        <v>-14738.958463301416</v>
      </c>
      <c r="M424" s="14">
        <f>+[14]Result!$C$19-[13]Result!$C$19</f>
        <v>78702.130521323066</v>
      </c>
      <c r="N424" s="39"/>
    </row>
    <row r="425" spans="2:26" hidden="1" outlineLevel="2" x14ac:dyDescent="0.25">
      <c r="B425" s="17" t="s">
        <v>20</v>
      </c>
      <c r="C425" s="14">
        <f>+[1]Result!$C$20-[15]Result!$C$20</f>
        <v>42034.573274293449</v>
      </c>
      <c r="D425" s="14">
        <f>+[5]Result!$C$20-[1]Result!$C$20</f>
        <v>-47469.957736848854</v>
      </c>
      <c r="E425" s="36">
        <f>+[6]Result!$C$20-[5]Result!$C$20</f>
        <v>503701.12469181092</v>
      </c>
      <c r="F425" s="14">
        <f>+[7]Result!$C$20-[6]Result!$C$20</f>
        <v>-104827.77477119071</v>
      </c>
      <c r="G425" s="14">
        <f>+[8]Result!$C$20-[7]Result!$C$20</f>
        <v>55692.515665930696</v>
      </c>
      <c r="H425" s="36">
        <f>+[9]Result!$C$20-[8]Result!$C$20</f>
        <v>90738.815110411029</v>
      </c>
      <c r="I425" s="14">
        <f>+[10]Result!$C$20-[9]Result!$C$20</f>
        <v>39932.32629155647</v>
      </c>
      <c r="J425" s="14">
        <f>+[11]Result!$C$20-[10]Result!$C$20</f>
        <v>17216.41825288767</v>
      </c>
      <c r="K425" s="36">
        <f>+[12]Result!$C$20-[11]Result!$C$20</f>
        <v>-21872.731534368359</v>
      </c>
      <c r="L425" s="14">
        <f>+[13]Result!$C$20-[12]Result!$C$20</f>
        <v>-11348.014989518095</v>
      </c>
      <c r="M425" s="14">
        <f>+[14]Result!$C$20-[13]Result!$C$20</f>
        <v>74362.005735109095</v>
      </c>
      <c r="N425" s="39"/>
    </row>
    <row r="426" spans="2:26" hidden="1" outlineLevel="2" x14ac:dyDescent="0.25">
      <c r="B426" s="17" t="s">
        <v>21</v>
      </c>
      <c r="C426" s="14">
        <f>+[1]Result!$C$21-[15]Result!$C$21</f>
        <v>38435.777433595154</v>
      </c>
      <c r="D426" s="14">
        <f>+[5]Result!$C$21-[1]Result!$C$21</f>
        <v>-34456.971973281819</v>
      </c>
      <c r="E426" s="36">
        <f>+[6]Result!$C$21-[5]Result!$C$21</f>
        <v>423632.48724172916</v>
      </c>
      <c r="F426" s="14">
        <f>+[7]Result!$C$21-[6]Result!$C$21</f>
        <v>-95692.662362306379</v>
      </c>
      <c r="G426" s="14">
        <f>+[8]Result!$C$21-[7]Result!$C$21</f>
        <v>52736.340745350812</v>
      </c>
      <c r="H426" s="36">
        <f>+[9]Result!$C$21-[8]Result!$C$21</f>
        <v>83626.256302870344</v>
      </c>
      <c r="I426" s="14">
        <f>+[10]Result!$C$21-[9]Result!$C$21</f>
        <v>37083.059412905946</v>
      </c>
      <c r="J426" s="14">
        <f>+[11]Result!$C$21-[10]Result!$C$21</f>
        <v>18035.534170208964</v>
      </c>
      <c r="K426" s="36">
        <f>+[12]Result!$C$21-[11]Result!$C$21</f>
        <v>-33061.816471631639</v>
      </c>
      <c r="L426" s="14">
        <f>+[13]Result!$C$21-[12]Result!$C$21</f>
        <v>-8543.2202161494642</v>
      </c>
      <c r="M426" s="14">
        <f>+[14]Result!$C$21-[13]Result!$C$21</f>
        <v>69154.202922286931</v>
      </c>
      <c r="N426" s="39"/>
    </row>
    <row r="427" spans="2:26" hidden="1" outlineLevel="2" x14ac:dyDescent="0.25">
      <c r="B427" s="17" t="s">
        <v>22</v>
      </c>
      <c r="C427" s="14">
        <f>+[1]Result!$C$22-[15]Result!$C$22</f>
        <v>33008.943533247337</v>
      </c>
      <c r="D427" s="14">
        <f>+[5]Result!$C$22-[1]Result!$C$22</f>
        <v>-23193.758551941253</v>
      </c>
      <c r="E427" s="36">
        <f>+[6]Result!$C$22-[5]Result!$C$22</f>
        <v>338969.45529460162</v>
      </c>
      <c r="F427" s="14">
        <f>+[7]Result!$C$22-[6]Result!$C$22</f>
        <v>-86170.762101555709</v>
      </c>
      <c r="G427" s="14">
        <f>+[8]Result!$C$22-[7]Result!$C$22</f>
        <v>49032.486291479785</v>
      </c>
      <c r="H427" s="36">
        <f>+[9]Result!$C$22-[8]Result!$C$22</f>
        <v>75486.500466365833</v>
      </c>
      <c r="I427" s="14">
        <f>+[10]Result!$C$22-[9]Result!$C$22</f>
        <v>33247.544861496426</v>
      </c>
      <c r="J427" s="14">
        <f>+[11]Result!$C$22-[10]Result!$C$22</f>
        <v>18432.906560461503</v>
      </c>
      <c r="K427" s="36">
        <f>+[12]Result!$C$22-[11]Result!$C$22</f>
        <v>-55436.068358076271</v>
      </c>
      <c r="L427" s="14">
        <f>+[13]Result!$C$22-[12]Result!$C$22</f>
        <v>-6396.0568124721758</v>
      </c>
      <c r="M427" s="14">
        <f>+[14]Result!$C$22-[13]Result!$C$22</f>
        <v>63201.1729556215</v>
      </c>
      <c r="N427" s="39"/>
    </row>
    <row r="428" spans="2:26" hidden="1" outlineLevel="2" x14ac:dyDescent="0.25">
      <c r="B428" s="17" t="s">
        <v>23</v>
      </c>
      <c r="C428" s="14">
        <f>+[1]Result!$C$23-[15]Result!$C$23</f>
        <v>28766.696205822751</v>
      </c>
      <c r="D428" s="14">
        <f>+[5]Result!$C$23-[1]Result!$C$23</f>
        <v>-17806.22815641202</v>
      </c>
      <c r="E428" s="36">
        <f>+[6]Result!$C$23-[5]Result!$C$23</f>
        <v>259110.37428234098</v>
      </c>
      <c r="F428" s="14">
        <f>+[7]Result!$C$23-[6]Result!$C$23</f>
        <v>-76248.052282959921</v>
      </c>
      <c r="G428" s="14">
        <f>+[8]Result!$C$23-[7]Result!$C$23</f>
        <v>45825.867724354845</v>
      </c>
      <c r="H428" s="36">
        <f>+[9]Result!$C$23-[8]Result!$C$23</f>
        <v>56553.789222596446</v>
      </c>
      <c r="I428" s="14">
        <f>+[10]Result!$C$23-[9]Result!$C$23</f>
        <v>29537.45837269607</v>
      </c>
      <c r="J428" s="14">
        <f>+[11]Result!$C$23-[10]Result!$C$23</f>
        <v>18544.252747449791</v>
      </c>
      <c r="K428" s="36">
        <f>+[12]Result!$C$23-[11]Result!$C$23</f>
        <v>-72362.033678731415</v>
      </c>
      <c r="L428" s="14">
        <f>+[13]Result!$C$23-[12]Result!$C$23</f>
        <v>-4878.1239109570161</v>
      </c>
      <c r="M428" s="14">
        <f>+[14]Result!$C$23-[13]Result!$C$23</f>
        <v>57916.264491419541</v>
      </c>
      <c r="N428" s="39"/>
    </row>
    <row r="429" spans="2:26" hidden="1" outlineLevel="2" x14ac:dyDescent="0.25">
      <c r="B429" s="17" t="s">
        <v>24</v>
      </c>
      <c r="C429" s="14">
        <f>+[1]Result!$C$24-[15]Result!$C$24</f>
        <v>27898.737792887958</v>
      </c>
      <c r="D429" s="14">
        <f>+[5]Result!$C$24-[1]Result!$C$24</f>
        <v>-19631.653614771087</v>
      </c>
      <c r="E429" s="36">
        <f>+[6]Result!$C$24-[5]Result!$C$24</f>
        <v>234708.18107459578</v>
      </c>
      <c r="F429" s="14">
        <f>+[7]Result!$C$24-[6]Result!$C$24</f>
        <v>-67350.787870523985</v>
      </c>
      <c r="G429" s="14">
        <f>+[8]Result!$C$24-[7]Result!$C$24</f>
        <v>44370.967831688235</v>
      </c>
      <c r="H429" s="36">
        <f>+[9]Result!$C$24-[8]Result!$C$24</f>
        <v>63365.874483980704</v>
      </c>
      <c r="I429" s="14">
        <f>+[10]Result!$C$24-[9]Result!$C$24</f>
        <v>26473.823267700849</v>
      </c>
      <c r="J429" s="14">
        <f>+[11]Result!$C$24-[10]Result!$C$24</f>
        <v>18736.757359448588</v>
      </c>
      <c r="K429" s="36">
        <f>+[12]Result!$C$24-[11]Result!$C$24</f>
        <v>-53773.815821067896</v>
      </c>
      <c r="L429" s="14">
        <f>+[13]Result!$C$24-[12]Result!$C$24</f>
        <v>-3626.1490005184896</v>
      </c>
      <c r="M429" s="14">
        <f>+[14]Result!$C$24-[13]Result!$C$24</f>
        <v>52840.139817041345</v>
      </c>
      <c r="N429" s="39"/>
    </row>
    <row r="430" spans="2:26" hidden="1" outlineLevel="1" collapsed="1" x14ac:dyDescent="0.25">
      <c r="B430" s="16" t="s">
        <v>25</v>
      </c>
      <c r="C430" s="14">
        <f>+'[1]Stat by Mat'!$G$6-'[15]Stat by Mat'!$G$6</f>
        <v>155654.64670781419</v>
      </c>
      <c r="D430" s="14">
        <f>+'[5]Stat by Mat'!$G$6-'[1]Stat by Mat'!$G$6</f>
        <v>-167695.28704888932</v>
      </c>
      <c r="E430" s="36">
        <f>+'[6]Stat by Mat'!$G$6-'[5]Stat by Mat'!$G$6</f>
        <v>919783.47722406313</v>
      </c>
      <c r="F430" s="14">
        <f>+'[7]Stat by Mat'!$G$6-'[6]Stat by Mat'!$G$6</f>
        <v>-256554.7993351277</v>
      </c>
      <c r="G430" s="14">
        <f>+'[8]Stat by Mat'!$G$6-'[7]Stat by Mat'!$G$6</f>
        <v>227422.47375460621</v>
      </c>
      <c r="H430" s="36">
        <f>+'[9]Stat by Mat'!$G$6-'[8]Stat by Mat'!$G$6</f>
        <v>255656.98649347574</v>
      </c>
      <c r="I430" s="14">
        <f>+'[10]Stat by Mat'!$G$6-'[9]Stat by Mat'!$G$6</f>
        <v>117251.59242166672</v>
      </c>
      <c r="J430" s="14">
        <f>+'[11]Stat by Mat'!$G$6-'[10]Stat by Mat'!$G$6</f>
        <v>108001.24115249049</v>
      </c>
      <c r="K430" s="36">
        <f>+'[12]Stat by Mat'!$G$6-'[11]Stat by Mat'!$G$6</f>
        <v>-425192.39235290233</v>
      </c>
      <c r="L430" s="14">
        <f>+'[13]Stat by Mat'!$G$6-'[12]Stat by Mat'!$G$6</f>
        <v>-7047.9584980159998</v>
      </c>
      <c r="M430" s="14">
        <f>+'[14]Stat by Mat'!$G$6-'[13]Stat by Mat'!$G$6</f>
        <v>258377.67551715765</v>
      </c>
      <c r="N430" s="39"/>
      <c r="O430" s="14">
        <f>+C430-SUM(C431:C440)</f>
        <v>-2.7939677238464355E-9</v>
      </c>
      <c r="P430" s="14">
        <f t="shared" ref="P430:R430" si="141">+D430-SUM(D431:D440)</f>
        <v>3.2014213502407074E-9</v>
      </c>
      <c r="Q430" s="14">
        <f t="shared" si="141"/>
        <v>-2.3283064365386963E-9</v>
      </c>
      <c r="R430" s="14">
        <f t="shared" si="141"/>
        <v>6.9849193096160889E-10</v>
      </c>
      <c r="S430" s="14">
        <f t="shared" ref="S430" si="142">+G430-SUM(G431:G440)</f>
        <v>0</v>
      </c>
      <c r="T430" s="14">
        <f t="shared" ref="T430:Z430" si="143">+H430-SUM(H431:H440)</f>
        <v>5.2386894822120667E-10</v>
      </c>
      <c r="U430" s="14">
        <f t="shared" si="143"/>
        <v>-5.5297277867794037E-10</v>
      </c>
      <c r="V430" s="14">
        <f t="shared" si="143"/>
        <v>-1.7462298274040222E-10</v>
      </c>
      <c r="W430" s="14">
        <f t="shared" si="143"/>
        <v>-1.280568540096283E-9</v>
      </c>
      <c r="X430" s="14">
        <f t="shared" si="143"/>
        <v>-1.7462298274040222E-10</v>
      </c>
      <c r="Y430" s="14">
        <f t="shared" si="143"/>
        <v>0</v>
      </c>
      <c r="Z430" s="14">
        <f t="shared" si="143"/>
        <v>0</v>
      </c>
    </row>
    <row r="431" spans="2:26" hidden="1" outlineLevel="2" x14ac:dyDescent="0.25">
      <c r="B431" s="17" t="s">
        <v>26</v>
      </c>
      <c r="C431" s="14">
        <f>+[1]Result!$C$25-[15]Result!$C$25</f>
        <v>26578.442200226942</v>
      </c>
      <c r="D431" s="14">
        <f>+[5]Result!$C$25-[1]Result!$C$25</f>
        <v>-22660.738500428619</v>
      </c>
      <c r="E431" s="36">
        <f>+[6]Result!$C$25-[5]Result!$C$25</f>
        <v>204796.99717741087</v>
      </c>
      <c r="F431" s="14">
        <f>+[7]Result!$C$25-[6]Result!$C$25</f>
        <v>-55673.063161421102</v>
      </c>
      <c r="G431" s="14">
        <f>+[8]Result!$C$25-[7]Result!$C$25</f>
        <v>40615.565105504356</v>
      </c>
      <c r="H431" s="36">
        <f>+[9]Result!$C$25-[8]Result!$C$25</f>
        <v>61124.014043312054</v>
      </c>
      <c r="I431" s="14">
        <f>+[10]Result!$C$25-[9]Result!$C$25</f>
        <v>22737.997735037236</v>
      </c>
      <c r="J431" s="14">
        <f>+[11]Result!$C$25-[10]Result!$C$25</f>
        <v>17808.513362830272</v>
      </c>
      <c r="K431" s="36">
        <f>+[12]Result!$C$25-[11]Result!$C$25</f>
        <v>-53552.039913879707</v>
      </c>
      <c r="L431" s="14">
        <f>+[13]Result!$C$25-[12]Result!$C$25</f>
        <v>-2507.3938552520704</v>
      </c>
      <c r="M431" s="14">
        <f>+[14]Result!$C$25-[13]Result!$C$25</f>
        <v>46758.848695087712</v>
      </c>
      <c r="N431" s="39"/>
    </row>
    <row r="432" spans="2:26" hidden="1" outlineLevel="2" x14ac:dyDescent="0.25">
      <c r="B432" s="17" t="s">
        <v>27</v>
      </c>
      <c r="C432" s="14">
        <f>+[1]Result!$C$26-[15]Result!$C$26</f>
        <v>24664.681855111849</v>
      </c>
      <c r="D432" s="14">
        <f>+[5]Result!$C$26-[1]Result!$C$26</f>
        <v>-23810.598705736687</v>
      </c>
      <c r="E432" s="36">
        <f>+[6]Result!$C$26-[5]Result!$C$26</f>
        <v>176139.16080429521</v>
      </c>
      <c r="F432" s="14">
        <f>+[7]Result!$C$26-[6]Result!$C$26</f>
        <v>-45597.275055960519</v>
      </c>
      <c r="G432" s="14">
        <f>+[8]Result!$C$26-[7]Result!$C$26</f>
        <v>36409.165601981105</v>
      </c>
      <c r="H432" s="36">
        <f>+[9]Result!$C$26-[8]Result!$C$26</f>
        <v>55889.75686490722</v>
      </c>
      <c r="I432" s="14">
        <f>+[10]Result!$C$26-[9]Result!$C$26</f>
        <v>19485.319878204027</v>
      </c>
      <c r="J432" s="14">
        <f>+[11]Result!$C$26-[10]Result!$C$26</f>
        <v>16347.76317065279</v>
      </c>
      <c r="K432" s="36">
        <f>+[12]Result!$C$26-[11]Result!$C$26</f>
        <v>-53821.629120840225</v>
      </c>
      <c r="L432" s="14">
        <f>+[13]Result!$C$26-[12]Result!$C$26</f>
        <v>-1712.2306690902915</v>
      </c>
      <c r="M432" s="14">
        <f>+[14]Result!$C$26-[13]Result!$C$26</f>
        <v>41015.076927362941</v>
      </c>
      <c r="N432" s="39"/>
    </row>
    <row r="433" spans="2:26" hidden="1" outlineLevel="2" x14ac:dyDescent="0.25">
      <c r="B433" s="17" t="s">
        <v>28</v>
      </c>
      <c r="C433" s="14">
        <f>+[1]Result!$C$27-[15]Result!$C$27</f>
        <v>22007.860284097958</v>
      </c>
      <c r="D433" s="14">
        <f>+[5]Result!$C$27-[1]Result!$C$27</f>
        <v>-23148.011256569065</v>
      </c>
      <c r="E433" s="36">
        <f>+[6]Result!$C$27-[5]Result!$C$27</f>
        <v>144494.26589880721</v>
      </c>
      <c r="F433" s="14">
        <f>+[7]Result!$C$27-[6]Result!$C$27</f>
        <v>-37135.154643277521</v>
      </c>
      <c r="G433" s="14">
        <f>+[8]Result!$C$27-[7]Result!$C$27</f>
        <v>31989.207164346939</v>
      </c>
      <c r="H433" s="36">
        <f>+[9]Result!$C$27-[8]Result!$C$27</f>
        <v>46900.37370306463</v>
      </c>
      <c r="I433" s="14">
        <f>+[10]Result!$C$27-[9]Result!$C$27</f>
        <v>16602.193043363513</v>
      </c>
      <c r="J433" s="14">
        <f>+[11]Result!$C$27-[10]Result!$C$27</f>
        <v>14687.515092628775</v>
      </c>
      <c r="K433" s="36">
        <f>+[12]Result!$C$27-[11]Result!$C$27</f>
        <v>-57495.204875130905</v>
      </c>
      <c r="L433" s="14">
        <f>+[13]Result!$C$27-[12]Result!$C$27</f>
        <v>-1182.0673180908198</v>
      </c>
      <c r="M433" s="14">
        <f>+[14]Result!$C$27-[13]Result!$C$27</f>
        <v>35882.022057841648</v>
      </c>
      <c r="N433" s="39"/>
    </row>
    <row r="434" spans="2:26" hidden="1" outlineLevel="2" x14ac:dyDescent="0.25">
      <c r="B434" s="17" t="s">
        <v>29</v>
      </c>
      <c r="C434" s="14">
        <f>+[1]Result!$C$28-[15]Result!$C$28</f>
        <v>19416.323297527735</v>
      </c>
      <c r="D434" s="14">
        <f>+[5]Result!$C$28-[1]Result!$C$28</f>
        <v>-21603.38256433676</v>
      </c>
      <c r="E434" s="36">
        <f>+[6]Result!$C$28-[5]Result!$C$28</f>
        <v>112838.83148891234</v>
      </c>
      <c r="F434" s="14">
        <f>+[7]Result!$C$28-[6]Result!$C$28</f>
        <v>-30604.345245731995</v>
      </c>
      <c r="G434" s="14">
        <f>+[8]Result!$C$28-[7]Result!$C$28</f>
        <v>28015.644895661855</v>
      </c>
      <c r="H434" s="36">
        <f>+[9]Result!$C$28-[8]Result!$C$28</f>
        <v>27399.751675075153</v>
      </c>
      <c r="I434" s="14">
        <f>+[10]Result!$C$28-[9]Result!$C$28</f>
        <v>14282.427032437758</v>
      </c>
      <c r="J434" s="14">
        <f>+[11]Result!$C$28-[10]Result!$C$28</f>
        <v>13486.561010253732</v>
      </c>
      <c r="K434" s="36">
        <f>+[12]Result!$C$28-[11]Result!$C$28</f>
        <v>-58028.322093124036</v>
      </c>
      <c r="L434" s="14">
        <f>+[13]Result!$C$28-[12]Result!$C$28</f>
        <v>-770.03068644495215</v>
      </c>
      <c r="M434" s="14">
        <f>+[14]Result!$C$28-[13]Result!$C$28</f>
        <v>31856.609346703393</v>
      </c>
      <c r="N434" s="39"/>
    </row>
    <row r="435" spans="2:26" hidden="1" outlineLevel="2" x14ac:dyDescent="0.25">
      <c r="B435" s="17" t="s">
        <v>30</v>
      </c>
      <c r="C435" s="14">
        <f>+[1]Result!$C$29-[15]Result!$C$29</f>
        <v>17528.820027247653</v>
      </c>
      <c r="D435" s="14">
        <f>+[5]Result!$C$29-[1]Result!$C$29</f>
        <v>-20362.50237066939</v>
      </c>
      <c r="E435" s="36">
        <f>+[6]Result!$C$29-[5]Result!$C$29</f>
        <v>95736.272759141983</v>
      </c>
      <c r="F435" s="14">
        <f>+[7]Result!$C$29-[6]Result!$C$29</f>
        <v>-25925.236410097335</v>
      </c>
      <c r="G435" s="14">
        <f>+[8]Result!$C$29-[7]Result!$C$29</f>
        <v>24982.741378019564</v>
      </c>
      <c r="H435" s="36">
        <f>+[9]Result!$C$29-[8]Result!$C$29</f>
        <v>27217.320988583844</v>
      </c>
      <c r="I435" s="14">
        <f>+[10]Result!$C$29-[9]Result!$C$29</f>
        <v>12376.657724305405</v>
      </c>
      <c r="J435" s="14">
        <f>+[11]Result!$C$29-[10]Result!$C$29</f>
        <v>12227.277660537628</v>
      </c>
      <c r="K435" s="36">
        <f>+[12]Result!$C$29-[11]Result!$C$29</f>
        <v>-41333.347506840946</v>
      </c>
      <c r="L435" s="14">
        <f>+[13]Result!$C$29-[12]Result!$C$29</f>
        <v>-422.8483622376807</v>
      </c>
      <c r="M435" s="14">
        <f>+[14]Result!$C$29-[13]Result!$C$29</f>
        <v>27624.925486596185</v>
      </c>
      <c r="N435" s="39"/>
    </row>
    <row r="436" spans="2:26" hidden="1" outlineLevel="2" x14ac:dyDescent="0.25">
      <c r="B436" s="17" t="s">
        <v>31</v>
      </c>
      <c r="C436" s="14">
        <f>+[1]Result!$C$30-[15]Result!$C$30</f>
        <v>14154.463880697265</v>
      </c>
      <c r="D436" s="14">
        <f>+[5]Result!$C$30-[1]Result!$C$30</f>
        <v>-16994.991877467954</v>
      </c>
      <c r="E436" s="36">
        <f>+[6]Result!$C$30-[5]Result!$C$30</f>
        <v>76181.667595685227</v>
      </c>
      <c r="F436" s="14">
        <f>+[7]Result!$C$30-[6]Result!$C$30</f>
        <v>-19837.518215496559</v>
      </c>
      <c r="G436" s="14">
        <f>+[8]Result!$C$30-[7]Result!$C$30</f>
        <v>19978.604596785619</v>
      </c>
      <c r="H436" s="36">
        <f>+[9]Result!$C$30-[8]Result!$C$30</f>
        <v>25581.23319965892</v>
      </c>
      <c r="I436" s="14">
        <f>+[10]Result!$C$30-[9]Result!$C$30</f>
        <v>9679.5940693367738</v>
      </c>
      <c r="J436" s="14">
        <f>+[11]Result!$C$30-[10]Result!$C$30</f>
        <v>9815.3930984393228</v>
      </c>
      <c r="K436" s="36">
        <f>+[12]Result!$C$30-[11]Result!$C$30</f>
        <v>-39180.573811838753</v>
      </c>
      <c r="L436" s="14">
        <f>+[13]Result!$C$30-[12]Result!$C$30</f>
        <v>-204.930339114042</v>
      </c>
      <c r="M436" s="14">
        <f>+[14]Result!$C$30-[13]Result!$C$30</f>
        <v>22104.826583438553</v>
      </c>
      <c r="N436" s="39"/>
    </row>
    <row r="437" spans="2:26" hidden="1" outlineLevel="2" x14ac:dyDescent="0.25">
      <c r="B437" s="17" t="s">
        <v>32</v>
      </c>
      <c r="C437" s="14">
        <f>+[1]Result!$C$31-[15]Result!$C$31</f>
        <v>11030.455081183056</v>
      </c>
      <c r="D437" s="14">
        <f>+[5]Result!$C$31-[1]Result!$C$31</f>
        <v>-13491.759486281895</v>
      </c>
      <c r="E437" s="36">
        <f>+[6]Result!$C$31-[5]Result!$C$31</f>
        <v>54913.6092193636</v>
      </c>
      <c r="F437" s="14">
        <f>+[7]Result!$C$31-[6]Result!$C$31</f>
        <v>-14840.833364904975</v>
      </c>
      <c r="G437" s="14">
        <f>+[8]Result!$C$31-[7]Result!$C$31</f>
        <v>15548.619074818096</v>
      </c>
      <c r="H437" s="36">
        <f>+[9]Result!$C$31-[8]Result!$C$31</f>
        <v>19682.217219704995</v>
      </c>
      <c r="I437" s="14">
        <f>+[10]Result!$C$31-[9]Result!$C$31</f>
        <v>7369.8766331755905</v>
      </c>
      <c r="J437" s="14">
        <f>+[11]Result!$C$31-[10]Result!$C$31</f>
        <v>7676.859318002942</v>
      </c>
      <c r="K437" s="36">
        <f>+[12]Result!$C$31-[11]Result!$C$31</f>
        <v>-37376.522545004322</v>
      </c>
      <c r="L437" s="14">
        <f>+[13]Result!$C$31-[12]Result!$C$31</f>
        <v>-163.68348998809233</v>
      </c>
      <c r="M437" s="14">
        <f>+[14]Result!$C$31-[13]Result!$C$31</f>
        <v>17389.204393837659</v>
      </c>
      <c r="N437" s="39"/>
    </row>
    <row r="438" spans="2:26" hidden="1" outlineLevel="2" x14ac:dyDescent="0.25">
      <c r="B438" s="17" t="s">
        <v>33</v>
      </c>
      <c r="C438" s="14">
        <f>+[1]Result!$C$32-[15]Result!$C$32</f>
        <v>8117.0011113338405</v>
      </c>
      <c r="D438" s="14">
        <f>+[5]Result!$C$32-[1]Result!$C$32</f>
        <v>-10121.733698177733</v>
      </c>
      <c r="E438" s="36">
        <f>+[6]Result!$C$32-[5]Result!$C$32</f>
        <v>37322.967255164112</v>
      </c>
      <c r="F438" s="14">
        <f>+[7]Result!$C$32-[6]Result!$C$32</f>
        <v>-10566.481990913511</v>
      </c>
      <c r="G438" s="14">
        <f>+[8]Result!$C$32-[7]Result!$C$32</f>
        <v>11457.845408663969</v>
      </c>
      <c r="H438" s="36">
        <f>+[9]Result!$C$32-[8]Result!$C$32</f>
        <v>13554.872742063832</v>
      </c>
      <c r="I438" s="14">
        <f>+[10]Result!$C$32-[9]Result!$C$32</f>
        <v>5344.7749033988803</v>
      </c>
      <c r="J438" s="14">
        <f>+[11]Result!$C$32-[10]Result!$C$32</f>
        <v>5686.9931540639373</v>
      </c>
      <c r="K438" s="36">
        <f>+[12]Result!$C$32-[11]Result!$C$32</f>
        <v>-40892.678642256535</v>
      </c>
      <c r="L438" s="14">
        <f>+[13]Result!$C$32-[12]Result!$C$32</f>
        <v>-84.773777797876392</v>
      </c>
      <c r="M438" s="14">
        <f>+[14]Result!$C$32-[13]Result!$C$32</f>
        <v>13345.247930309968</v>
      </c>
      <c r="N438" s="39"/>
    </row>
    <row r="439" spans="2:26" hidden="1" outlineLevel="2" x14ac:dyDescent="0.25">
      <c r="B439" s="17" t="s">
        <v>34</v>
      </c>
      <c r="C439" s="14">
        <f>+[1]Result!$C$33-[15]Result!$C$33</f>
        <v>5969.7081096627226</v>
      </c>
      <c r="D439" s="14">
        <f>+[5]Result!$C$33-[1]Result!$C$33</f>
        <v>-7562.999669556506</v>
      </c>
      <c r="E439" s="36">
        <f>+[6]Result!$C$33-[5]Result!$C$33</f>
        <v>7997.9428510763391</v>
      </c>
      <c r="F439" s="14">
        <f>+[7]Result!$C$33-[6]Result!$C$33</f>
        <v>-8178.1258632236859</v>
      </c>
      <c r="G439" s="14">
        <f>+[8]Result!$C$33-[7]Result!$C$33</f>
        <v>9094.8203549360042</v>
      </c>
      <c r="H439" s="36">
        <f>+[9]Result!$C$33-[8]Result!$C$33</f>
        <v>-11655.388952329522</v>
      </c>
      <c r="I439" s="14">
        <f>+[10]Result!$C$33-[9]Result!$C$33</f>
        <v>4643.7028502450557</v>
      </c>
      <c r="J439" s="14">
        <f>+[11]Result!$C$33-[10]Result!$C$33</f>
        <v>5046.6147254504904</v>
      </c>
      <c r="K439" s="36">
        <f>+[12]Result!$C$33-[11]Result!$C$33</f>
        <v>-40106.804459339241</v>
      </c>
      <c r="L439" s="14">
        <f>+[13]Result!$C$33-[12]Result!$C$33</f>
        <v>0</v>
      </c>
      <c r="M439" s="14">
        <f>+[14]Result!$C$33-[13]Result!$C$33</f>
        <v>11864.056444094167</v>
      </c>
      <c r="N439" s="39"/>
    </row>
    <row r="440" spans="2:26" hidden="1" outlineLevel="2" x14ac:dyDescent="0.25">
      <c r="B440" s="17" t="s">
        <v>35</v>
      </c>
      <c r="C440" s="14">
        <f>+[1]Result!$C$34-[15]Result!$C$34</f>
        <v>6186.8908607279591</v>
      </c>
      <c r="D440" s="14">
        <f>+[5]Result!$C$34-[1]Result!$C$34</f>
        <v>-7938.5689196679159</v>
      </c>
      <c r="E440" s="36">
        <f>+[6]Result!$C$34-[5]Result!$C$34</f>
        <v>9361.7621742084739</v>
      </c>
      <c r="F440" s="14">
        <f>+[7]Result!$C$34-[6]Result!$C$34</f>
        <v>-8196.7653841011925</v>
      </c>
      <c r="G440" s="14">
        <f>+[8]Result!$C$34-[7]Result!$C$34</f>
        <v>9330.2601738885278</v>
      </c>
      <c r="H440" s="36">
        <f>+[9]Result!$C$34-[8]Result!$C$34</f>
        <v>-10037.164990565914</v>
      </c>
      <c r="I440" s="14">
        <f>+[10]Result!$C$34-[9]Result!$C$34</f>
        <v>4729.0485521630326</v>
      </c>
      <c r="J440" s="14">
        <f>+[11]Result!$C$34-[10]Result!$C$34</f>
        <v>5217.7505596307747</v>
      </c>
      <c r="K440" s="36">
        <f>+[12]Result!$C$34-[11]Result!$C$34</f>
        <v>-3405.2693846464099</v>
      </c>
      <c r="L440" s="14">
        <f>+[13]Result!$C$34-[12]Result!$C$34</f>
        <v>0</v>
      </c>
      <c r="M440" s="14">
        <f>+[14]Result!$C$34-[13]Result!$C$34</f>
        <v>10536.857651885453</v>
      </c>
      <c r="N440" s="39"/>
    </row>
    <row r="441" spans="2:26" hidden="1" outlineLevel="1" collapsed="1" x14ac:dyDescent="0.25">
      <c r="B441" s="16" t="s">
        <v>36</v>
      </c>
      <c r="C441" s="14">
        <f>+'[1]Stat by Mat'!$G$7-'[15]Stat by Mat'!$G$7</f>
        <v>11380.023569957702</v>
      </c>
      <c r="D441" s="14">
        <f>+'[5]Stat by Mat'!$G$7-'[1]Stat by Mat'!$G$7</f>
        <v>-14965.728585041419</v>
      </c>
      <c r="E441" s="36">
        <f>+'[6]Stat by Mat'!$G$7-'[5]Stat by Mat'!$G$7</f>
        <v>24021.272879716882</v>
      </c>
      <c r="F441" s="14">
        <f>+'[7]Stat by Mat'!$G$7-'[6]Stat by Mat'!$G$7</f>
        <v>-14036.221882432234</v>
      </c>
      <c r="G441" s="14">
        <f>+'[8]Stat by Mat'!$G$7-'[7]Stat by Mat'!$G$7</f>
        <v>16795.759726507938</v>
      </c>
      <c r="H441" s="36">
        <f>+'[9]Stat by Mat'!$G$7-'[8]Stat by Mat'!$G$7</f>
        <v>-4949.3069745713146</v>
      </c>
      <c r="I441" s="14">
        <f>+'[10]Stat by Mat'!$G$7-'[9]Stat by Mat'!$G$7</f>
        <v>8087.2490059958072</v>
      </c>
      <c r="J441" s="14">
        <f>+'[11]Stat by Mat'!$G$7-'[10]Stat by Mat'!$G$7</f>
        <v>9299.3066219831817</v>
      </c>
      <c r="K441" s="36">
        <f>+'[12]Stat by Mat'!$G$7-'[11]Stat by Mat'!$G$7</f>
        <v>-17930.587595229328</v>
      </c>
      <c r="L441" s="14">
        <f>+'[13]Stat by Mat'!$G$7-'[12]Stat by Mat'!$G$7</f>
        <v>134.09108255105093</v>
      </c>
      <c r="M441" s="14">
        <f>+'[14]Stat by Mat'!$G$7-'[13]Stat by Mat'!$G$7</f>
        <v>19025.760849185637</v>
      </c>
      <c r="N441" s="39"/>
      <c r="O441" s="14">
        <f>+C441-SUM(C442:C461)</f>
        <v>0</v>
      </c>
      <c r="P441" s="14">
        <f t="shared" ref="P441:R441" si="144">+D441-SUM(D442:D461)</f>
        <v>-4.9112713895738125E-11</v>
      </c>
      <c r="Q441" s="14">
        <f t="shared" si="144"/>
        <v>0</v>
      </c>
      <c r="R441" s="14">
        <f t="shared" si="144"/>
        <v>0</v>
      </c>
      <c r="S441" s="14">
        <f t="shared" ref="S441" si="145">+G441-SUM(G442:G461)</f>
        <v>2.9103830456733704E-11</v>
      </c>
      <c r="T441" s="14">
        <f t="shared" ref="T441:Z441" si="146">+H441-SUM(H442:H461)</f>
        <v>-4.1836756281554699E-11</v>
      </c>
      <c r="U441" s="14">
        <f t="shared" si="146"/>
        <v>5.0931703299283981E-11</v>
      </c>
      <c r="V441" s="14">
        <f t="shared" si="146"/>
        <v>-7.2759576141834259E-11</v>
      </c>
      <c r="W441" s="14">
        <f t="shared" si="146"/>
        <v>0</v>
      </c>
      <c r="X441" s="14">
        <f t="shared" si="146"/>
        <v>7.0599526225123554E-11</v>
      </c>
      <c r="Y441" s="14">
        <f t="shared" si="146"/>
        <v>-5.4569682106375694E-11</v>
      </c>
      <c r="Z441" s="14">
        <f t="shared" si="146"/>
        <v>0</v>
      </c>
    </row>
    <row r="442" spans="2:26" hidden="1" outlineLevel="2" x14ac:dyDescent="0.25">
      <c r="B442" s="17" t="s">
        <v>37</v>
      </c>
      <c r="C442" s="14">
        <f>+[1]Result!$C$35-[15]Result!$C$35</f>
        <v>3474.8621272260789</v>
      </c>
      <c r="D442" s="14">
        <f>+[5]Result!$C$35-[1]Result!$C$35</f>
        <v>-4496.5071969309938</v>
      </c>
      <c r="E442" s="36">
        <f>+[6]Result!$C$35-[5]Result!$C$35</f>
        <v>6362.0029017741326</v>
      </c>
      <c r="F442" s="14">
        <f>+[7]Result!$C$35-[6]Result!$C$35</f>
        <v>-4465.7104844938149</v>
      </c>
      <c r="G442" s="14">
        <f>+[8]Result!$C$35-[7]Result!$C$35</f>
        <v>5185.4663309763127</v>
      </c>
      <c r="H442" s="36">
        <f>+[9]Result!$C$35-[8]Result!$C$35</f>
        <v>-2686.9393176134326</v>
      </c>
      <c r="I442" s="14">
        <f>+[10]Result!$C$35-[9]Result!$C$35</f>
        <v>2544.1341044118599</v>
      </c>
      <c r="J442" s="14">
        <f>+[11]Result!$C$35-[10]Result!$C$35</f>
        <v>2854.4201939108752</v>
      </c>
      <c r="K442" s="36">
        <f>+[12]Result!$C$35-[11]Result!$C$35</f>
        <v>-2814.1204095379217</v>
      </c>
      <c r="L442" s="14">
        <f>+[13]Result!$C$35-[12]Result!$C$35</f>
        <v>19.373540755244903</v>
      </c>
      <c r="M442" s="14">
        <f>+[14]Result!$C$35-[13]Result!$C$35</f>
        <v>5768.7808065986464</v>
      </c>
      <c r="N442" s="39"/>
    </row>
    <row r="443" spans="2:26" hidden="1" outlineLevel="2" x14ac:dyDescent="0.25">
      <c r="B443" s="17" t="s">
        <v>38</v>
      </c>
      <c r="C443" s="14">
        <f>+[1]Result!$C$36-[15]Result!$C$36</f>
        <v>2085.7063959799998</v>
      </c>
      <c r="D443" s="14">
        <f>+[5]Result!$C$36-[1]Result!$C$36</f>
        <v>-2722.4854432920838</v>
      </c>
      <c r="E443" s="36">
        <f>+[6]Result!$C$36-[5]Result!$C$36</f>
        <v>4900.7989728740067</v>
      </c>
      <c r="F443" s="14">
        <f>+[7]Result!$C$36-[6]Result!$C$36</f>
        <v>-2593.8308793985052</v>
      </c>
      <c r="G443" s="14">
        <f>+[8]Result!$C$36-[7]Result!$C$36</f>
        <v>3062.3385055761028</v>
      </c>
      <c r="H443" s="36">
        <f>+[9]Result!$C$36-[8]Result!$C$36</f>
        <v>-296.94647728392738</v>
      </c>
      <c r="I443" s="14">
        <f>+[10]Result!$C$36-[9]Result!$C$36</f>
        <v>1471.497001657699</v>
      </c>
      <c r="J443" s="14">
        <f>+[11]Result!$C$36-[10]Result!$C$36</f>
        <v>1666.7967941492243</v>
      </c>
      <c r="K443" s="36">
        <f>+[12]Result!$C$36-[11]Result!$C$36</f>
        <v>-3663.6751081640978</v>
      </c>
      <c r="L443" s="14">
        <f>+[13]Result!$C$36-[12]Result!$C$36</f>
        <v>23.538156544513186</v>
      </c>
      <c r="M443" s="14">
        <f>+[14]Result!$C$36-[13]Result!$C$36</f>
        <v>3436.7274252124625</v>
      </c>
      <c r="N443" s="39"/>
    </row>
    <row r="444" spans="2:26" hidden="1" outlineLevel="2" x14ac:dyDescent="0.25">
      <c r="B444" s="17" t="s">
        <v>39</v>
      </c>
      <c r="C444" s="14">
        <f>+[1]Result!$C$37-[15]Result!$C$37</f>
        <v>1451.251117700871</v>
      </c>
      <c r="D444" s="14">
        <f>+[5]Result!$C$37-[1]Result!$C$37</f>
        <v>-1914.0212661891419</v>
      </c>
      <c r="E444" s="36">
        <f>+[6]Result!$C$37-[5]Result!$C$37</f>
        <v>3148.4868797496747</v>
      </c>
      <c r="F444" s="14">
        <f>+[7]Result!$C$37-[6]Result!$C$37</f>
        <v>-1780.2867055391107</v>
      </c>
      <c r="G444" s="14">
        <f>+[8]Result!$C$37-[7]Result!$C$37</f>
        <v>2140.8553733013105</v>
      </c>
      <c r="H444" s="36">
        <f>+[9]Result!$C$37-[8]Result!$C$37</f>
        <v>-178.99508504653204</v>
      </c>
      <c r="I444" s="14">
        <f>+[10]Result!$C$37-[9]Result!$C$37</f>
        <v>1019.5152218740259</v>
      </c>
      <c r="J444" s="14">
        <f>+[11]Result!$C$37-[10]Result!$C$37</f>
        <v>1175.9500896156169</v>
      </c>
      <c r="K444" s="36">
        <f>+[12]Result!$C$37-[11]Result!$C$37</f>
        <v>-4328.5127331634649</v>
      </c>
      <c r="L444" s="14">
        <f>+[13]Result!$C$37-[12]Result!$C$37</f>
        <v>17.396478740280145</v>
      </c>
      <c r="M444" s="14">
        <f>+[14]Result!$C$37-[13]Result!$C$37</f>
        <v>2496.7321257856893</v>
      </c>
      <c r="N444" s="39"/>
    </row>
    <row r="445" spans="2:26" hidden="1" outlineLevel="2" x14ac:dyDescent="0.25">
      <c r="B445" s="17" t="s">
        <v>40</v>
      </c>
      <c r="C445" s="14">
        <f>+[1]Result!$C$38-[15]Result!$C$38</f>
        <v>1184.2563188935237</v>
      </c>
      <c r="D445" s="14">
        <f>+[5]Result!$C$38-[1]Result!$C$38</f>
        <v>-1571.2835155952926</v>
      </c>
      <c r="E445" s="36">
        <f>+[6]Result!$C$38-[5]Result!$C$38</f>
        <v>2251.9210628518631</v>
      </c>
      <c r="F445" s="14">
        <f>+[7]Result!$C$38-[6]Result!$C$38</f>
        <v>-1456.4212034810189</v>
      </c>
      <c r="G445" s="14">
        <f>+[8]Result!$C$38-[7]Result!$C$38</f>
        <v>1767.1584674998085</v>
      </c>
      <c r="H445" s="36">
        <f>+[9]Result!$C$38-[8]Result!$C$38</f>
        <v>-306.23874312647968</v>
      </c>
      <c r="I445" s="14">
        <f>+[10]Result!$C$38-[9]Result!$C$38</f>
        <v>833.69327961887757</v>
      </c>
      <c r="J445" s="14">
        <f>+[11]Result!$C$38-[10]Result!$C$38</f>
        <v>980.08835178261506</v>
      </c>
      <c r="K445" s="36">
        <f>+[12]Result!$C$38-[11]Result!$C$38</f>
        <v>-2118.8436272037216</v>
      </c>
      <c r="L445" s="14">
        <f>+[13]Result!$C$38-[12]Result!$C$38</f>
        <v>14.234009066902217</v>
      </c>
      <c r="M445" s="14">
        <f>+[14]Result!$C$38-[13]Result!$C$38</f>
        <v>2007.5353650076067</v>
      </c>
      <c r="N445" s="39"/>
    </row>
    <row r="446" spans="2:26" hidden="1" outlineLevel="2" x14ac:dyDescent="0.25">
      <c r="B446" s="17" t="s">
        <v>41</v>
      </c>
      <c r="C446" s="14">
        <f>+[1]Result!$C$39-[15]Result!$C$39</f>
        <v>953.8468757452647</v>
      </c>
      <c r="D446" s="14">
        <f>+[5]Result!$C$39-[1]Result!$C$39</f>
        <v>-1271.5377853902319</v>
      </c>
      <c r="E446" s="36">
        <f>+[6]Result!$C$39-[5]Result!$C$39</f>
        <v>2691.8385746821004</v>
      </c>
      <c r="F446" s="14">
        <f>+[7]Result!$C$39-[6]Result!$C$39</f>
        <v>-1130.193208016135</v>
      </c>
      <c r="G446" s="14">
        <f>+[8]Result!$C$39-[7]Result!$C$39</f>
        <v>1378.6868141742525</v>
      </c>
      <c r="H446" s="36">
        <f>+[9]Result!$C$39-[8]Result!$C$39</f>
        <v>172.05459775790223</v>
      </c>
      <c r="I446" s="14">
        <f>+[10]Result!$C$39-[9]Result!$C$39</f>
        <v>647.40548054219107</v>
      </c>
      <c r="J446" s="14">
        <f>+[11]Result!$C$39-[10]Result!$C$39</f>
        <v>757.71183289136025</v>
      </c>
      <c r="K446" s="36">
        <f>+[12]Result!$C$39-[11]Result!$C$39</f>
        <v>-950.248159539271</v>
      </c>
      <c r="L446" s="14">
        <f>+[13]Result!$C$39-[12]Result!$C$39</f>
        <v>11.013110407999193</v>
      </c>
      <c r="M446" s="14">
        <f>+[14]Result!$C$39-[13]Result!$C$39</f>
        <v>1520.7434708009641</v>
      </c>
      <c r="N446" s="39"/>
    </row>
    <row r="447" spans="2:26" hidden="1" outlineLevel="2" x14ac:dyDescent="0.25">
      <c r="B447" s="17" t="s">
        <v>42</v>
      </c>
      <c r="C447" s="14">
        <f>+[1]Result!$C$40-[15]Result!$C$40</f>
        <v>648.15218657724836</v>
      </c>
      <c r="D447" s="14">
        <f>+[5]Result!$C$40-[1]Result!$C$40</f>
        <v>-868.22975544272413</v>
      </c>
      <c r="E447" s="36">
        <f>+[6]Result!$C$40-[5]Result!$C$40</f>
        <v>1634.1095688423557</v>
      </c>
      <c r="F447" s="14">
        <f>+[7]Result!$C$40-[6]Result!$C$40</f>
        <v>-760.94110878065112</v>
      </c>
      <c r="G447" s="14">
        <f>+[8]Result!$C$40-[7]Result!$C$40</f>
        <v>938.37266807839478</v>
      </c>
      <c r="H447" s="36">
        <f>+[9]Result!$C$40-[8]Result!$C$40</f>
        <v>-167.80981722249635</v>
      </c>
      <c r="I447" s="14">
        <f>+[10]Result!$C$40-[9]Result!$C$40</f>
        <v>449.75056215382938</v>
      </c>
      <c r="J447" s="14">
        <f>+[11]Result!$C$40-[10]Result!$C$40</f>
        <v>523.95918187858842</v>
      </c>
      <c r="K447" s="36">
        <f>+[12]Result!$C$40-[11]Result!$C$40</f>
        <v>-1325.1654522786012</v>
      </c>
      <c r="L447" s="14">
        <f>+[13]Result!$C$40-[12]Result!$C$40</f>
        <v>12.012024664029013</v>
      </c>
      <c r="M447" s="14">
        <f>+[14]Result!$C$40-[13]Result!$C$40</f>
        <v>1082.7261808842923</v>
      </c>
      <c r="N447" s="39"/>
    </row>
    <row r="448" spans="2:26" hidden="1" outlineLevel="2" x14ac:dyDescent="0.25">
      <c r="B448" s="17" t="s">
        <v>43</v>
      </c>
      <c r="C448" s="14">
        <f>+[1]Result!$C$41-[15]Result!$C$41</f>
        <v>466.42612410574293</v>
      </c>
      <c r="D448" s="14">
        <f>+[5]Result!$C$41-[1]Result!$C$41</f>
        <v>-624.82771745100763</v>
      </c>
      <c r="E448" s="36">
        <f>+[6]Result!$C$41-[5]Result!$C$41</f>
        <v>900.79678646503817</v>
      </c>
      <c r="F448" s="14">
        <f>+[7]Result!$C$41-[6]Result!$C$41</f>
        <v>-549.47784394716291</v>
      </c>
      <c r="G448" s="14">
        <f>+[8]Result!$C$41-[7]Result!$C$41</f>
        <v>684.73140712995155</v>
      </c>
      <c r="H448" s="36">
        <f>+[9]Result!$C$41-[8]Result!$C$41</f>
        <v>-293.2164586928302</v>
      </c>
      <c r="I448" s="14">
        <f>+[10]Result!$C$41-[9]Result!$C$41</f>
        <v>329.9476611007849</v>
      </c>
      <c r="J448" s="14">
        <f>+[11]Result!$C$41-[10]Result!$C$41</f>
        <v>388.85530612229377</v>
      </c>
      <c r="K448" s="36">
        <f>+[12]Result!$C$41-[11]Result!$C$41</f>
        <v>-1517.5711427222868</v>
      </c>
      <c r="L448" s="14">
        <f>+[13]Result!$C$41-[12]Result!$C$41</f>
        <v>9.3482631109800423</v>
      </c>
      <c r="M448" s="14">
        <f>+[14]Result!$C$41-[13]Result!$C$41</f>
        <v>826.11678241217669</v>
      </c>
      <c r="N448" s="39"/>
    </row>
    <row r="449" spans="2:26" hidden="1" outlineLevel="2" x14ac:dyDescent="0.25">
      <c r="B449" s="17" t="s">
        <v>44</v>
      </c>
      <c r="C449" s="14">
        <f>+[1]Result!$C$42-[15]Result!$C$42</f>
        <v>356.09273106048931</v>
      </c>
      <c r="D449" s="14">
        <f>+[5]Result!$C$42-[1]Result!$C$42</f>
        <v>-477.03212246402109</v>
      </c>
      <c r="E449" s="36">
        <f>+[6]Result!$C$42-[5]Result!$C$42</f>
        <v>343.28077775392558</v>
      </c>
      <c r="F449" s="14">
        <f>+[7]Result!$C$42-[6]Result!$C$42</f>
        <v>-427.48384252783217</v>
      </c>
      <c r="G449" s="14">
        <f>+[8]Result!$C$42-[7]Result!$C$42</f>
        <v>535.65554845335646</v>
      </c>
      <c r="H449" s="36">
        <f>+[9]Result!$C$42-[8]Result!$C$42</f>
        <v>-438.98031166673536</v>
      </c>
      <c r="I449" s="14">
        <f>+[10]Result!$C$42-[9]Result!$C$42</f>
        <v>260.93249571881279</v>
      </c>
      <c r="J449" s="14">
        <f>+[11]Result!$C$42-[10]Result!$C$42</f>
        <v>311.26611671106184</v>
      </c>
      <c r="K449" s="36">
        <f>+[12]Result!$C$42-[11]Result!$C$42</f>
        <v>-1596.8427212450988</v>
      </c>
      <c r="L449" s="14">
        <f>+[13]Result!$C$42-[12]Result!$C$42</f>
        <v>7.7983055019649328</v>
      </c>
      <c r="M449" s="14">
        <f>+[14]Result!$C$42-[13]Result!$C$42</f>
        <v>677.46065555294081</v>
      </c>
      <c r="N449" s="39"/>
    </row>
    <row r="450" spans="2:26" hidden="1" outlineLevel="2" x14ac:dyDescent="0.25">
      <c r="B450" s="17" t="s">
        <v>45</v>
      </c>
      <c r="C450" s="14">
        <f>+[1]Result!$C$43-[15]Result!$C$43</f>
        <v>317.40873140608346</v>
      </c>
      <c r="D450" s="14">
        <f>+[5]Result!$C$43-[1]Result!$C$43</f>
        <v>-425.22780020090977</v>
      </c>
      <c r="E450" s="36">
        <f>+[6]Result!$C$43-[5]Result!$C$43</f>
        <v>231.62826892583325</v>
      </c>
      <c r="F450" s="14">
        <f>+[7]Result!$C$43-[6]Result!$C$43</f>
        <v>-382.58303345238528</v>
      </c>
      <c r="G450" s="14">
        <f>+[8]Result!$C$43-[7]Result!$C$43</f>
        <v>481.60216622709231</v>
      </c>
      <c r="H450" s="36">
        <f>+[9]Result!$C$43-[8]Result!$C$43</f>
        <v>-195.05645904276025</v>
      </c>
      <c r="I450" s="14">
        <f>+[10]Result!$C$43-[9]Result!$C$43</f>
        <v>230.54795055825525</v>
      </c>
      <c r="J450" s="14">
        <f>+[11]Result!$C$43-[10]Result!$C$43</f>
        <v>275.8920272348405</v>
      </c>
      <c r="K450" s="36">
        <f>+[12]Result!$C$43-[11]Result!$C$43</f>
        <v>-444.93716102929284</v>
      </c>
      <c r="L450" s="14">
        <f>+[13]Result!$C$43-[12]Result!$C$43</f>
        <v>8.6497354769071535</v>
      </c>
      <c r="M450" s="14">
        <f>+[14]Result!$C$43-[13]Result!$C$43</f>
        <v>550.32198998602871</v>
      </c>
      <c r="N450" s="39"/>
    </row>
    <row r="451" spans="2:26" hidden="1" outlineLevel="2" x14ac:dyDescent="0.25">
      <c r="B451" s="17" t="s">
        <v>46</v>
      </c>
      <c r="C451" s="14">
        <f>+[1]Result!$C$44-[15]Result!$C$44</f>
        <v>253.39049222896028</v>
      </c>
      <c r="D451" s="14">
        <f>+[5]Result!$C$44-[1]Result!$C$44</f>
        <v>-339.46357932115643</v>
      </c>
      <c r="E451" s="36">
        <f>+[6]Result!$C$44-[5]Result!$C$44</f>
        <v>999.24881860069036</v>
      </c>
      <c r="F451" s="14">
        <f>+[7]Result!$C$44-[6]Result!$C$44</f>
        <v>-277.58326662370746</v>
      </c>
      <c r="G451" s="14">
        <f>+[8]Result!$C$44-[7]Result!$C$44</f>
        <v>351.10643058145433</v>
      </c>
      <c r="H451" s="36">
        <f>+[9]Result!$C$44-[8]Result!$C$44</f>
        <v>-306.63871963938436</v>
      </c>
      <c r="I451" s="14">
        <f>+[10]Result!$C$44-[9]Result!$C$44</f>
        <v>169.65237193531539</v>
      </c>
      <c r="J451" s="14">
        <f>+[11]Result!$C$44-[10]Result!$C$44</f>
        <v>205.66304038185081</v>
      </c>
      <c r="K451" s="36">
        <f>+[12]Result!$C$44-[11]Result!$C$44</f>
        <v>488.02599338966775</v>
      </c>
      <c r="L451" s="14">
        <f>+[13]Result!$C$44-[12]Result!$C$44</f>
        <v>5.9213379062966851</v>
      </c>
      <c r="M451" s="14">
        <f>+[14]Result!$C$44-[13]Result!$C$44</f>
        <v>369.45789505766243</v>
      </c>
      <c r="N451" s="39"/>
    </row>
    <row r="452" spans="2:26" hidden="1" outlineLevel="2" x14ac:dyDescent="0.25">
      <c r="B452" s="17" t="s">
        <v>47</v>
      </c>
      <c r="C452" s="14">
        <f>+[1]Result!$C$45-[15]Result!$C$45</f>
        <v>100.68992476544008</v>
      </c>
      <c r="D452" s="14">
        <f>+[5]Result!$C$45-[1]Result!$C$45</f>
        <v>-135.87193502841001</v>
      </c>
      <c r="E452" s="36">
        <f>+[6]Result!$C$45-[5]Result!$C$45</f>
        <v>333.02068529380949</v>
      </c>
      <c r="F452" s="14">
        <f>+[7]Result!$C$45-[6]Result!$C$45</f>
        <v>-112.29844566489282</v>
      </c>
      <c r="G452" s="14">
        <f>+[8]Result!$C$45-[7]Result!$C$45</f>
        <v>142.94283681960997</v>
      </c>
      <c r="H452" s="36">
        <f>+[9]Result!$C$45-[8]Result!$C$45</f>
        <v>-141.46694434752499</v>
      </c>
      <c r="I452" s="14">
        <f>+[10]Result!$C$45-[9]Result!$C$45</f>
        <v>68.997504616127117</v>
      </c>
      <c r="J452" s="14">
        <f>+[11]Result!$C$45-[10]Result!$C$45</f>
        <v>84.132860059867653</v>
      </c>
      <c r="K452" s="36">
        <f>+[12]Result!$C$45-[11]Result!$C$45</f>
        <v>208.56557326991242</v>
      </c>
      <c r="L452" s="14">
        <f>+[13]Result!$C$45-[12]Result!$C$45</f>
        <v>2.4726020862608493</v>
      </c>
      <c r="M452" s="14">
        <f>+[14]Result!$C$45-[13]Result!$C$45</f>
        <v>151.83186364498306</v>
      </c>
      <c r="N452" s="39"/>
    </row>
    <row r="453" spans="2:26" hidden="1" outlineLevel="2" x14ac:dyDescent="0.25">
      <c r="B453" s="17" t="s">
        <v>48</v>
      </c>
      <c r="C453" s="14">
        <f>+[1]Result!$C$46-[15]Result!$C$46</f>
        <v>41.14274245912452</v>
      </c>
      <c r="D453" s="14">
        <f>+[5]Result!$C$46-[1]Result!$C$46</f>
        <v>-55.83566681629577</v>
      </c>
      <c r="E453" s="36">
        <f>+[6]Result!$C$46-[5]Result!$C$46</f>
        <v>115.76015404854206</v>
      </c>
      <c r="F453" s="14">
        <f>+[7]Result!$C$46-[6]Result!$C$46</f>
        <v>-46.427771521220393</v>
      </c>
      <c r="G453" s="14">
        <f>+[8]Result!$C$46-[7]Result!$C$46</f>
        <v>59.131312878215795</v>
      </c>
      <c r="H453" s="36">
        <f>+[9]Result!$C$46-[8]Result!$C$46</f>
        <v>-59.521305840333071</v>
      </c>
      <c r="I453" s="14">
        <f>+[10]Result!$C$46-[9]Result!$C$46</f>
        <v>28.676508750501398</v>
      </c>
      <c r="J453" s="14">
        <f>+[11]Result!$C$46-[10]Result!$C$46</f>
        <v>34.821833801772527</v>
      </c>
      <c r="K453" s="36">
        <f>+[12]Result!$C$46-[11]Result!$C$46</f>
        <v>68.55956771944102</v>
      </c>
      <c r="L453" s="14">
        <f>+[13]Result!$C$46-[12]Result!$C$46</f>
        <v>1.0626493176660006</v>
      </c>
      <c r="M453" s="14">
        <f>+[14]Result!$C$46-[13]Result!$C$46</f>
        <v>63.952780682605862</v>
      </c>
      <c r="N453" s="39"/>
    </row>
    <row r="454" spans="2:26" hidden="1" outlineLevel="2" x14ac:dyDescent="0.25">
      <c r="B454" s="17" t="s">
        <v>49</v>
      </c>
      <c r="C454" s="14">
        <f>+[1]Result!$C$47-[15]Result!$C$47</f>
        <v>20.802786330267054</v>
      </c>
      <c r="D454" s="14">
        <f>+[5]Result!$C$47-[1]Result!$C$47</f>
        <v>-28.186465057883197</v>
      </c>
      <c r="E454" s="36">
        <f>+[6]Result!$C$47-[5]Result!$C$47</f>
        <v>45.037901989014017</v>
      </c>
      <c r="F454" s="14">
        <f>+[7]Result!$C$47-[6]Result!$C$47</f>
        <v>-23.816564877818337</v>
      </c>
      <c r="G454" s="14">
        <f>+[8]Result!$C$47-[7]Result!$C$47</f>
        <v>30.308165257127825</v>
      </c>
      <c r="H454" s="36">
        <f>+[9]Result!$C$47-[8]Result!$C$47</f>
        <v>-23.174120515718755</v>
      </c>
      <c r="I454" s="14">
        <f>+[10]Result!$C$47-[9]Result!$C$47</f>
        <v>14.542670772129668</v>
      </c>
      <c r="J454" s="14">
        <f>+[11]Result!$C$47-[10]Result!$C$47</f>
        <v>17.728127961419887</v>
      </c>
      <c r="K454" s="36">
        <f>+[12]Result!$C$47-[11]Result!$C$47</f>
        <v>27.055271532263532</v>
      </c>
      <c r="L454" s="14">
        <f>+[13]Result!$C$47-[12]Result!$C$47</f>
        <v>0.55614833719482704</v>
      </c>
      <c r="M454" s="14">
        <f>+[14]Result!$C$47-[13]Result!$C$47</f>
        <v>32.789708261581495</v>
      </c>
      <c r="N454" s="39"/>
    </row>
    <row r="455" spans="2:26" hidden="1" outlineLevel="2" x14ac:dyDescent="0.25">
      <c r="B455" s="17" t="s">
        <v>50</v>
      </c>
      <c r="C455" s="14">
        <f>+[1]Result!$C$48-[15]Result!$C$48</f>
        <v>12.297363352603327</v>
      </c>
      <c r="D455" s="14">
        <f>+[5]Result!$C$48-[1]Result!$C$48</f>
        <v>-16.665852381801585</v>
      </c>
      <c r="E455" s="36">
        <f>+[6]Result!$C$48-[5]Result!$C$48</f>
        <v>31.409119010687562</v>
      </c>
      <c r="F455" s="14">
        <f>+[7]Result!$C$48-[6]Result!$C$48</f>
        <v>-13.783851652172245</v>
      </c>
      <c r="G455" s="14">
        <f>+[8]Result!$C$48-[7]Result!$C$48</f>
        <v>17.663723595583292</v>
      </c>
      <c r="H455" s="36">
        <f>+[9]Result!$C$48-[8]Result!$C$48</f>
        <v>-9.7446118687836929</v>
      </c>
      <c r="I455" s="14">
        <f>+[10]Result!$C$48-[9]Result!$C$48</f>
        <v>8.4365194099262908</v>
      </c>
      <c r="J455" s="14">
        <f>+[11]Result!$C$48-[10]Result!$C$48</f>
        <v>10.326419724041614</v>
      </c>
      <c r="K455" s="36">
        <f>+[12]Result!$C$48-[11]Result!$C$48</f>
        <v>15.855167516925405</v>
      </c>
      <c r="L455" s="14">
        <f>+[13]Result!$C$48-[12]Result!$C$48</f>
        <v>0.32919577568924296</v>
      </c>
      <c r="M455" s="14">
        <f>+[14]Result!$C$48-[13]Result!$C$48</f>
        <v>19.085061017155681</v>
      </c>
      <c r="N455" s="39"/>
    </row>
    <row r="456" spans="2:26" hidden="1" outlineLevel="2" x14ac:dyDescent="0.25">
      <c r="B456" s="17" t="s">
        <v>51</v>
      </c>
      <c r="C456" s="14">
        <f>+[1]Result!$C$49-[15]Result!$C$49</f>
        <v>6.801346587578422</v>
      </c>
      <c r="D456" s="14">
        <f>+[5]Result!$C$49-[1]Result!$C$49</f>
        <v>-9.2201887475765716</v>
      </c>
      <c r="E456" s="36">
        <f>+[6]Result!$C$49-[5]Result!$C$49</f>
        <v>14.695813040988014</v>
      </c>
      <c r="F456" s="14">
        <f>+[7]Result!$C$49-[6]Result!$C$49</f>
        <v>-7.6843192591655054</v>
      </c>
      <c r="G456" s="14">
        <f>+[8]Result!$C$49-[7]Result!$C$49</f>
        <v>9.8554119814646697</v>
      </c>
      <c r="H456" s="36">
        <f>+[9]Result!$C$49-[8]Result!$C$49</f>
        <v>-7.1545738459151096</v>
      </c>
      <c r="I456" s="14">
        <f>+[10]Result!$C$49-[9]Result!$C$49</f>
        <v>4.7623729535285122</v>
      </c>
      <c r="J456" s="14">
        <f>+[11]Result!$C$49-[10]Result!$C$49</f>
        <v>5.8048864371762647</v>
      </c>
      <c r="K456" s="36">
        <f>+[12]Result!$C$49-[11]Result!$C$49</f>
        <v>8.34832906145175</v>
      </c>
      <c r="L456" s="14">
        <f>+[13]Result!$C$49-[12]Result!$C$49</f>
        <v>0.1903456746084089</v>
      </c>
      <c r="M456" s="14">
        <f>+[14]Result!$C$49-[13]Result!$C$49</f>
        <v>10.803309840816837</v>
      </c>
      <c r="N456" s="39"/>
    </row>
    <row r="457" spans="2:26" hidden="1" outlineLevel="2" x14ac:dyDescent="0.25">
      <c r="B457" s="17" t="s">
        <v>52</v>
      </c>
      <c r="C457" s="14">
        <f>+[1]Result!$C$50-[15]Result!$C$50</f>
        <v>3.7219609179722113</v>
      </c>
      <c r="D457" s="14">
        <f>+[5]Result!$C$50-[1]Result!$C$50</f>
        <v>-5.036578633025897</v>
      </c>
      <c r="E457" s="36">
        <f>+[6]Result!$C$50-[5]Result!$C$50</f>
        <v>8.4078593792334999</v>
      </c>
      <c r="F457" s="14">
        <f>+[7]Result!$C$50-[6]Result!$C$50</f>
        <v>-4.1724062932741361</v>
      </c>
      <c r="G457" s="14">
        <f>+[8]Result!$C$50-[7]Result!$C$50</f>
        <v>5.3473142201334838</v>
      </c>
      <c r="H457" s="36">
        <f>+[9]Result!$C$50-[8]Result!$C$50</f>
        <v>-4.0280519040011598</v>
      </c>
      <c r="I457" s="14">
        <f>+[10]Result!$C$50-[9]Result!$C$50</f>
        <v>2.5572136809048231</v>
      </c>
      <c r="J457" s="14">
        <f>+[11]Result!$C$50-[10]Result!$C$50</f>
        <v>3.1651028113835196</v>
      </c>
      <c r="K457" s="36">
        <f>+[12]Result!$C$50-[11]Result!$C$50</f>
        <v>5.7619409995623698</v>
      </c>
      <c r="L457" s="14">
        <f>+[13]Result!$C$50-[12]Result!$C$50</f>
        <v>0.10452084103198445</v>
      </c>
      <c r="M457" s="14">
        <f>+[14]Result!$C$50-[13]Result!$C$50</f>
        <v>5.8047564348572536</v>
      </c>
      <c r="N457" s="39"/>
    </row>
    <row r="458" spans="2:26" hidden="1" outlineLevel="2" x14ac:dyDescent="0.25">
      <c r="B458" s="17" t="s">
        <v>53</v>
      </c>
      <c r="C458" s="14">
        <f>+[1]Result!$C$51-[15]Result!$C$51</f>
        <v>1.9168795509733627</v>
      </c>
      <c r="D458" s="14">
        <f>+[5]Result!$C$51-[1]Result!$C$51</f>
        <v>-2.5945737403789906</v>
      </c>
      <c r="E458" s="36">
        <f>+[6]Result!$C$51-[5]Result!$C$51</f>
        <v>4.1857581921221509</v>
      </c>
      <c r="F458" s="14">
        <f>+[7]Result!$C$51-[6]Result!$C$51</f>
        <v>-2.1605149463747892</v>
      </c>
      <c r="G458" s="14">
        <f>+[8]Result!$C$51-[7]Result!$C$51</f>
        <v>2.7816097507512154</v>
      </c>
      <c r="H458" s="36">
        <f>+[9]Result!$C$51-[8]Result!$C$51</f>
        <v>-2.8271617405479503</v>
      </c>
      <c r="I458" s="14">
        <f>+[10]Result!$C$51-[9]Result!$C$51</f>
        <v>1.3361781629292295</v>
      </c>
      <c r="J458" s="14">
        <f>+[11]Result!$C$51-[10]Result!$C$51</f>
        <v>1.6620140569702073</v>
      </c>
      <c r="K458" s="36">
        <f>+[12]Result!$C$51-[11]Result!$C$51</f>
        <v>3.9588032940081845</v>
      </c>
      <c r="L458" s="14">
        <f>+[13]Result!$C$51-[12]Result!$C$51</f>
        <v>5.5002871627635841E-2</v>
      </c>
      <c r="M458" s="14">
        <f>+[14]Result!$C$51-[13]Result!$C$51</f>
        <v>3.0008039807394411</v>
      </c>
      <c r="N458" s="39"/>
    </row>
    <row r="459" spans="2:26" hidden="1" outlineLevel="2" x14ac:dyDescent="0.25">
      <c r="B459" s="17" t="s">
        <v>54</v>
      </c>
      <c r="C459" s="14">
        <f>+[1]Result!$C$52-[15]Result!$C$52</f>
        <v>0.85885696580357163</v>
      </c>
      <c r="D459" s="14">
        <f>+[5]Result!$C$52-[1]Result!$C$52</f>
        <v>-1.1627428146256946</v>
      </c>
      <c r="E459" s="36">
        <f>+[6]Result!$C$52-[5]Result!$C$52</f>
        <v>2.8200859765876665</v>
      </c>
      <c r="F459" s="14">
        <f>+[7]Result!$C$52-[6]Result!$C$52</f>
        <v>-0.9471816734944305</v>
      </c>
      <c r="G459" s="14">
        <f>+[8]Result!$C$52-[7]Result!$C$52</f>
        <v>1.2167705815279248</v>
      </c>
      <c r="H459" s="36">
        <f>+[9]Result!$C$52-[8]Result!$C$52</f>
        <v>-2.1564955279818783</v>
      </c>
      <c r="I459" s="14">
        <f>+[10]Result!$C$52-[9]Result!$C$52</f>
        <v>0.60568220971952513</v>
      </c>
      <c r="J459" s="14">
        <f>+[11]Result!$C$52-[10]Result!$C$52</f>
        <v>0.74153836945445306</v>
      </c>
      <c r="K459" s="36">
        <f>+[12]Result!$C$52-[11]Result!$C$52</f>
        <v>2.0566645410433004</v>
      </c>
      <c r="L459" s="14">
        <f>+[13]Result!$C$52-[12]Result!$C$52</f>
        <v>2.4961032414616113E-2</v>
      </c>
      <c r="M459" s="14">
        <f>+[14]Result!$C$52-[13]Result!$C$52</f>
        <v>1.3314929857182563</v>
      </c>
      <c r="N459" s="39"/>
    </row>
    <row r="460" spans="2:26" hidden="1" outlineLevel="2" x14ac:dyDescent="0.25">
      <c r="B460" s="17" t="s">
        <v>55</v>
      </c>
      <c r="C460" s="14">
        <f>+[1]Result!$C$53-[15]Result!$C$53</f>
        <v>0.31638908534844212</v>
      </c>
      <c r="D460" s="14">
        <f>+[5]Result!$C$53-[1]Result!$C$53</f>
        <v>-0.42752613199387035</v>
      </c>
      <c r="E460" s="36">
        <f>+[6]Result!$C$53-[5]Result!$C$53</f>
        <v>1.3076998103355955</v>
      </c>
      <c r="F460" s="14">
        <f>+[7]Result!$C$53-[6]Result!$C$53</f>
        <v>-0.33823756052550813</v>
      </c>
      <c r="G460" s="14">
        <f>+[8]Result!$C$53-[7]Result!$C$53</f>
        <v>0.43418792387707583</v>
      </c>
      <c r="H460" s="36">
        <f>+[9]Result!$C$53-[8]Result!$C$53</f>
        <v>-0.2662656060916273</v>
      </c>
      <c r="I460" s="14">
        <f>+[10]Result!$C$53-[9]Result!$C$53</f>
        <v>0.20593283545112762</v>
      </c>
      <c r="J460" s="14">
        <f>+[11]Result!$C$53-[10]Result!$C$53</f>
        <v>0.25564566542696632</v>
      </c>
      <c r="K460" s="36">
        <f>+[12]Result!$C$53-[11]Result!$C$53</f>
        <v>0.89304131513732798</v>
      </c>
      <c r="L460" s="14">
        <f>+[13]Result!$C$53-[12]Result!$C$53</f>
        <v>8.5033327911805401E-3</v>
      </c>
      <c r="M460" s="14">
        <f>+[14]Result!$C$53-[13]Result!$C$53</f>
        <v>0.44525837773879218</v>
      </c>
      <c r="N460" s="39"/>
    </row>
    <row r="461" spans="2:26" hidden="1" outlineLevel="2" x14ac:dyDescent="0.25">
      <c r="B461" s="17" t="s">
        <v>56</v>
      </c>
      <c r="C461" s="14">
        <f>+[1]Result!$C$54-[15]Result!$C$54</f>
        <v>8.2219018321512571E-2</v>
      </c>
      <c r="D461" s="14">
        <f>+[5]Result!$C$54-[1]Result!$C$54</f>
        <v>-0.11087341181436061</v>
      </c>
      <c r="E461" s="36">
        <f>+[6]Result!$C$54-[5]Result!$C$54</f>
        <v>0.51519045594723911</v>
      </c>
      <c r="F461" s="14">
        <f>+[7]Result!$C$54-[6]Result!$C$54</f>
        <v>-8.1012722980000174E-2</v>
      </c>
      <c r="G461" s="14">
        <f>+[8]Result!$C$54-[7]Result!$C$54</f>
        <v>0.10468150158206857</v>
      </c>
      <c r="H461" s="36">
        <f>+[9]Result!$C$54-[8]Result!$C$54</f>
        <v>-0.20065179769741004</v>
      </c>
      <c r="I461" s="14">
        <f>+[10]Result!$C$54-[9]Result!$C$54</f>
        <v>5.2293032887074098E-2</v>
      </c>
      <c r="J461" s="14">
        <f>+[11]Result!$C$54-[10]Result!$C$54</f>
        <v>6.5258417412909608E-2</v>
      </c>
      <c r="K461" s="36">
        <f>+[12]Result!$C$54-[11]Result!$C$54</f>
        <v>0.24856701501781631</v>
      </c>
      <c r="L461" s="14">
        <f>+[13]Result!$C$54-[12]Result!$C$54</f>
        <v>2.1911065781190509E-3</v>
      </c>
      <c r="M461" s="14">
        <f>+[14]Result!$C$54-[13]Result!$C$54</f>
        <v>0.11311666102792195</v>
      </c>
      <c r="N461" s="39"/>
    </row>
    <row r="462" spans="2:26" collapsed="1" x14ac:dyDescent="0.25">
      <c r="B462" s="13" t="s">
        <v>90</v>
      </c>
      <c r="C462" s="14">
        <f>+SUM([1]Result!$K$5:$K$54)-SUM([15]Result!$K$5:$K$54)</f>
        <v>987097.30057477951</v>
      </c>
      <c r="D462" s="14">
        <f>+SUM([5]Result!$K$5:$K$54)-SUM([1]Result!$K$5:$K$54)</f>
        <v>-1672642.316460371</v>
      </c>
      <c r="E462" s="36">
        <f>+SUM([6]Result!$K$5:$K$54)-SUM([5]Result!$K$5:$K$54)</f>
        <v>-32409740.424649477</v>
      </c>
      <c r="F462" s="14">
        <f>+SUM([7]Result!$K$5:$K$54)-SUM([6]Result!$K$5:$K$54)</f>
        <v>-3784033.1792185307</v>
      </c>
      <c r="G462" s="14">
        <f>+SUM([8]Result!$K$5:$K$54)-SUM([7]Result!$K$5:$K$54)</f>
        <v>1245487.0398031473</v>
      </c>
      <c r="H462" s="36">
        <f>+SUM([9]Result!$K$5:$K$54)-SUM([8]Result!$K$5:$K$54)</f>
        <v>32303942.07989347</v>
      </c>
      <c r="I462" s="14">
        <f>+SUM([10]Result!$K$5:$K$54)-SUM([9]Result!$K$5:$K$54)</f>
        <v>1272731.1105713844</v>
      </c>
      <c r="J462" s="14">
        <f>+SUM([11]Result!$K$5:$K$54)-SUM([10]Result!$K$5:$K$54)</f>
        <v>-128284.51732873917</v>
      </c>
      <c r="K462" s="36">
        <f>+SUM([12]Result!$K$5:$K$54)-SUM([11]Result!$K$5:$K$54)</f>
        <v>-3120663.0612255335</v>
      </c>
      <c r="L462" s="14">
        <f>+SUM([13]Result!$K$5:$K$54)-SUM([12]Result!$K$5:$K$54)</f>
        <v>-491380.55487835407</v>
      </c>
      <c r="M462" s="14">
        <f>+SUM([14]Result!$K$5:$K$54)-SUM([13]Result!$K$5:$K$54)</f>
        <v>1549816.1018503904</v>
      </c>
      <c r="N462" s="39"/>
      <c r="O462" s="14">
        <f>+C462-(C463+C469+C475+C486+C497)</f>
        <v>1.9802246242761612E-7</v>
      </c>
      <c r="P462" s="14">
        <f t="shared" ref="P462:R462" si="147">+D462-(D463+D469+D475+D486+D497)</f>
        <v>-2.3003667593002319E-7</v>
      </c>
      <c r="Q462" s="14">
        <f t="shared" si="147"/>
        <v>-4.4330954551696777E-7</v>
      </c>
      <c r="R462" s="14">
        <f t="shared" si="147"/>
        <v>5.6158751249313354E-7</v>
      </c>
      <c r="S462" s="14">
        <f t="shared" ref="S462" si="148">+G462-(G463+G469+G475+G486+G497)</f>
        <v>1.0477378964424133E-7</v>
      </c>
      <c r="T462" s="14">
        <f t="shared" ref="T462:Z462" si="149">+H462-(H463+H469+H475+H486+H497)</f>
        <v>-1.3411045074462891E-7</v>
      </c>
      <c r="U462" s="14">
        <f t="shared" si="149"/>
        <v>-1.4668330550193787E-8</v>
      </c>
      <c r="V462" s="14">
        <f t="shared" si="149"/>
        <v>2.1478626877069473E-7</v>
      </c>
      <c r="W462" s="14">
        <f t="shared" si="149"/>
        <v>-5.9558078646659851E-7</v>
      </c>
      <c r="X462" s="14">
        <f t="shared" si="149"/>
        <v>2.043088898062706E-7</v>
      </c>
      <c r="Y462" s="14">
        <f t="shared" si="149"/>
        <v>-2.5867484509944916E-7</v>
      </c>
      <c r="Z462" s="14">
        <f t="shared" si="149"/>
        <v>0</v>
      </c>
    </row>
    <row r="463" spans="2:26" hidden="1" outlineLevel="1" x14ac:dyDescent="0.25">
      <c r="B463" s="16" t="s">
        <v>2</v>
      </c>
      <c r="C463" s="24">
        <f>+'[1]Stat by Mat'!$M$3-'[15]Stat by Mat'!$M$3</f>
        <v>306248.26305341721</v>
      </c>
      <c r="D463" s="24">
        <f>+'[5]Stat by Mat'!$M$3-'[1]Stat by Mat'!$M$3</f>
        <v>-623506.44979333878</v>
      </c>
      <c r="E463" s="37">
        <f>+'[6]Stat by Mat'!$M$3-'[5]Stat by Mat'!$M$3</f>
        <v>-42697288.256077886</v>
      </c>
      <c r="F463" s="24">
        <f>+'[7]Stat by Mat'!$M$3-'[6]Stat by Mat'!$M$3</f>
        <v>-1435021.0854007006</v>
      </c>
      <c r="G463" s="24">
        <f>+'[8]Stat by Mat'!$M$3-'[7]Stat by Mat'!$M$3</f>
        <v>262316.35996079445</v>
      </c>
      <c r="H463" s="37">
        <f>+'[9]Stat by Mat'!$M$3-'[8]Stat by Mat'!$M$3</f>
        <v>31880567.846008897</v>
      </c>
      <c r="I463" s="24">
        <f>+'[10]Stat by Mat'!$M$3-'[9]Stat by Mat'!$M$3</f>
        <v>455792.99577367306</v>
      </c>
      <c r="J463" s="24">
        <f>+'[11]Stat by Mat'!$M$3-'[10]Stat by Mat'!$M$3</f>
        <v>-205320.52739286423</v>
      </c>
      <c r="K463" s="37">
        <f>+'[12]Stat by Mat'!$M$3-'[11]Stat by Mat'!$M$3</f>
        <v>-1895800.7153972387</v>
      </c>
      <c r="L463" s="24">
        <f>+'[13]Stat by Mat'!$M$3-'[12]Stat by Mat'!$M$3</f>
        <v>-165365.90228104591</v>
      </c>
      <c r="M463" s="24">
        <f>+'[14]Stat by Mat'!$M$3-'[13]Stat by Mat'!$M$3</f>
        <v>244991.3566737175</v>
      </c>
      <c r="N463" s="39"/>
      <c r="O463" s="14">
        <f>+C463-SUM(C464:C468)</f>
        <v>-6.7055225372314453E-8</v>
      </c>
      <c r="P463" s="14">
        <f t="shared" ref="P463:R463" si="150">+D463-SUM(D464:D468)</f>
        <v>8.1956386566162109E-8</v>
      </c>
      <c r="Q463" s="14">
        <f t="shared" si="150"/>
        <v>0</v>
      </c>
      <c r="R463" s="14">
        <f t="shared" si="150"/>
        <v>5.2154064178466797E-8</v>
      </c>
      <c r="S463" s="14">
        <f t="shared" ref="S463" si="151">+G463-SUM(G464:G468)</f>
        <v>-1.1920928955078125E-7</v>
      </c>
      <c r="T463" s="14">
        <f t="shared" ref="T463:Z463" si="152">+H463-SUM(H464:H468)</f>
        <v>-5.2154064178466797E-8</v>
      </c>
      <c r="U463" s="14">
        <f t="shared" si="152"/>
        <v>0</v>
      </c>
      <c r="V463" s="14">
        <f t="shared" si="152"/>
        <v>5.9604644775390625E-8</v>
      </c>
      <c r="W463" s="14">
        <f t="shared" si="152"/>
        <v>-1.0430812835693359E-7</v>
      </c>
      <c r="X463" s="14">
        <f t="shared" si="152"/>
        <v>1.4901161193847656E-7</v>
      </c>
      <c r="Y463" s="14">
        <f t="shared" si="152"/>
        <v>5.2154064178466797E-8</v>
      </c>
      <c r="Z463" s="14">
        <f t="shared" si="152"/>
        <v>0</v>
      </c>
    </row>
    <row r="464" spans="2:26" hidden="1" outlineLevel="2" x14ac:dyDescent="0.25">
      <c r="B464" s="17" t="s">
        <v>3</v>
      </c>
      <c r="C464" s="14">
        <f>+[1]Result!$K$5-[15]Result!$K$5</f>
        <v>28430.556383192539</v>
      </c>
      <c r="D464" s="14">
        <f>+[5]Result!$K$5-[1]Result!$K$5</f>
        <v>-77187.074959516525</v>
      </c>
      <c r="E464" s="36">
        <f>+[6]Result!$K$5-[5]Result!$K$5</f>
        <v>-1011725.7249961495</v>
      </c>
      <c r="F464" s="14">
        <f>+[7]Result!$K$5-[6]Result!$K$5</f>
        <v>-144728.81510806084</v>
      </c>
      <c r="G464" s="14">
        <f>+[8]Result!$K$5-[7]Result!$K$5</f>
        <v>8159.1735637784004</v>
      </c>
      <c r="H464" s="36">
        <f>+[9]Result!$K$5-[8]Result!$K$5</f>
        <v>37490276.686077714</v>
      </c>
      <c r="I464" s="14">
        <f>+[10]Result!$K$5-[9]Result!$K$5</f>
        <v>31502.104270577431</v>
      </c>
      <c r="J464" s="14">
        <f>+[11]Result!$K$5-[10]Result!$K$5</f>
        <v>-5558.4203790426254</v>
      </c>
      <c r="K464" s="36">
        <f>+[12]Result!$K$5-[11]Result!$K$5</f>
        <v>19940788.619441032</v>
      </c>
      <c r="L464" s="14">
        <f>+[13]Result!$K$5-[12]Result!$K$5</f>
        <v>1753.45022970438</v>
      </c>
      <c r="M464" s="14">
        <f>+[14]Result!$K$5-[13]Result!$K$5</f>
        <v>5260.1413428783417</v>
      </c>
      <c r="N464" s="39"/>
    </row>
    <row r="465" spans="2:26" hidden="1" outlineLevel="2" x14ac:dyDescent="0.25">
      <c r="B465" s="17" t="s">
        <v>4</v>
      </c>
      <c r="C465" s="14">
        <f>+[1]Result!$K$6-[15]Result!$K$6</f>
        <v>67309.320291936398</v>
      </c>
      <c r="D465" s="14">
        <f>+[5]Result!$K$6-[1]Result!$K$6</f>
        <v>-136942.38324704766</v>
      </c>
      <c r="E465" s="36">
        <f>+[6]Result!$K$6-[5]Result!$K$6</f>
        <v>-40001475.996899009</v>
      </c>
      <c r="F465" s="14">
        <f>+[7]Result!$K$6-[6]Result!$K$6</f>
        <v>-366667.79995965958</v>
      </c>
      <c r="G465" s="14">
        <f>+[8]Result!$K$6-[7]Result!$K$6</f>
        <v>54016.801913499832</v>
      </c>
      <c r="H465" s="36">
        <f>+[9]Result!$K$6-[8]Result!$K$6</f>
        <v>-6023183.792186141</v>
      </c>
      <c r="I465" s="14">
        <f>+[10]Result!$K$6-[9]Result!$K$6</f>
        <v>111860.73987832665</v>
      </c>
      <c r="J465" s="14">
        <f>+[11]Result!$K$6-[10]Result!$K$6</f>
        <v>-38113.262988358736</v>
      </c>
      <c r="K465" s="36">
        <f>+[12]Result!$K$6-[11]Result!$K$6</f>
        <v>-9557732.8629067838</v>
      </c>
      <c r="L465" s="14">
        <f>+[13]Result!$K$6-[12]Result!$K$6</f>
        <v>-28537.795865654945</v>
      </c>
      <c r="M465" s="14">
        <f>+[14]Result!$K$6-[13]Result!$K$6</f>
        <v>44913.049545288086</v>
      </c>
      <c r="N465" s="39"/>
    </row>
    <row r="466" spans="2:26" hidden="1" outlineLevel="2" x14ac:dyDescent="0.25">
      <c r="B466" s="17" t="s">
        <v>5</v>
      </c>
      <c r="C466" s="14">
        <f>+[1]Result!$K$7-[15]Result!$K$7</f>
        <v>81662.619394794106</v>
      </c>
      <c r="D466" s="14">
        <f>+[5]Result!$K$7-[1]Result!$K$7</f>
        <v>-149521.98669692874</v>
      </c>
      <c r="E466" s="36">
        <f>+[6]Result!$K$7-[5]Result!$K$7</f>
        <v>-854781.38229419291</v>
      </c>
      <c r="F466" s="14">
        <f>+[7]Result!$K$7-[6]Result!$K$7</f>
        <v>-329376.72774559259</v>
      </c>
      <c r="G466" s="14">
        <f>+[8]Result!$K$7-[7]Result!$K$7</f>
        <v>64343.006234675646</v>
      </c>
      <c r="H466" s="36">
        <f>+[9]Result!$K$7-[8]Result!$K$7</f>
        <v>578307.65697196126</v>
      </c>
      <c r="I466" s="14">
        <f>+[10]Result!$K$7-[9]Result!$K$7</f>
        <v>112233.61401939392</v>
      </c>
      <c r="J466" s="14">
        <f>+[11]Result!$K$7-[10]Result!$K$7</f>
        <v>-55761.227302625775</v>
      </c>
      <c r="K466" s="36">
        <f>+[12]Result!$K$7-[11]Result!$K$7</f>
        <v>-8611754.8784289509</v>
      </c>
      <c r="L466" s="14">
        <f>+[13]Result!$K$7-[12]Result!$K$7</f>
        <v>-44017.248351439834</v>
      </c>
      <c r="M466" s="14">
        <f>+[14]Result!$K$7-[13]Result!$K$7</f>
        <v>57345.560499250889</v>
      </c>
      <c r="N466" s="39"/>
    </row>
    <row r="467" spans="2:26" hidden="1" outlineLevel="2" x14ac:dyDescent="0.25">
      <c r="B467" s="17" t="s">
        <v>6</v>
      </c>
      <c r="C467" s="14">
        <f>+[1]Result!$K$8-[15]Result!$K$8</f>
        <v>68490.086249016225</v>
      </c>
      <c r="D467" s="14">
        <f>+[5]Result!$K$8-[1]Result!$K$8</f>
        <v>-131734.04543023556</v>
      </c>
      <c r="E467" s="36">
        <f>+[6]Result!$K$8-[5]Result!$K$8</f>
        <v>-1226061.0027088821</v>
      </c>
      <c r="F467" s="14">
        <f>+[7]Result!$K$8-[6]Result!$K$8</f>
        <v>-299882.40051330626</v>
      </c>
      <c r="G467" s="14">
        <f>+[8]Result!$K$8-[7]Result!$K$8</f>
        <v>66675.971051029861</v>
      </c>
      <c r="H467" s="36">
        <f>+[9]Result!$K$8-[8]Result!$K$8</f>
        <v>-49667.314254648983</v>
      </c>
      <c r="I467" s="14">
        <f>+[10]Result!$K$8-[9]Result!$K$8</f>
        <v>102808.28770296276</v>
      </c>
      <c r="J467" s="14">
        <f>+[11]Result!$K$8-[10]Result!$K$8</f>
        <v>-56054.687654644251</v>
      </c>
      <c r="K467" s="36">
        <f>+[12]Result!$K$8-[11]Result!$K$8</f>
        <v>-2682862.2858815566</v>
      </c>
      <c r="L467" s="14">
        <f>+[13]Result!$K$8-[12]Result!$K$8</f>
        <v>-45925.57212010771</v>
      </c>
      <c r="M467" s="14">
        <f>+[14]Result!$K$8-[13]Result!$K$8</f>
        <v>63184.575029946864</v>
      </c>
      <c r="N467" s="39"/>
    </row>
    <row r="468" spans="2:26" hidden="1" outlineLevel="2" x14ac:dyDescent="0.25">
      <c r="B468" s="17" t="s">
        <v>7</v>
      </c>
      <c r="C468" s="14">
        <f>+[1]Result!$K$9-[15]Result!$K$9</f>
        <v>60355.680734544992</v>
      </c>
      <c r="D468" s="14">
        <f>+[5]Result!$K$9-[1]Result!$K$9</f>
        <v>-128120.95945969224</v>
      </c>
      <c r="E468" s="36">
        <f>+[6]Result!$K$9-[5]Result!$K$9</f>
        <v>396755.85082029551</v>
      </c>
      <c r="F468" s="14">
        <f>+[7]Result!$K$9-[6]Result!$K$9</f>
        <v>-294365.34207413346</v>
      </c>
      <c r="G468" s="14">
        <f>+[8]Result!$K$9-[7]Result!$K$9</f>
        <v>69121.407197929919</v>
      </c>
      <c r="H468" s="36">
        <f>+[9]Result!$K$9-[8]Result!$K$9</f>
        <v>-115165.39059993625</v>
      </c>
      <c r="I468" s="14">
        <f>+[10]Result!$K$9-[9]Result!$K$9</f>
        <v>97388.249902412295</v>
      </c>
      <c r="J468" s="14">
        <f>+[11]Result!$K$9-[10]Result!$K$9</f>
        <v>-49832.929068252444</v>
      </c>
      <c r="K468" s="36">
        <f>+[12]Result!$K$9-[11]Result!$K$9</f>
        <v>-984239.30762087554</v>
      </c>
      <c r="L468" s="14">
        <f>+[13]Result!$K$9-[12]Result!$K$9</f>
        <v>-48638.736173696816</v>
      </c>
      <c r="M468" s="14">
        <f>+[14]Result!$K$9-[13]Result!$K$9</f>
        <v>74288.030256301165</v>
      </c>
      <c r="N468" s="39"/>
    </row>
    <row r="469" spans="2:26" hidden="1" outlineLevel="1" collapsed="1" x14ac:dyDescent="0.25">
      <c r="B469" s="16" t="s">
        <v>8</v>
      </c>
      <c r="C469" s="14">
        <f>+'[1]Stat by Mat'!$M$4-'[15]Stat by Mat'!$M$4</f>
        <v>243016.36912921071</v>
      </c>
      <c r="D469" s="14">
        <f>+'[5]Stat by Mat'!$M$4-'[1]Stat by Mat'!$M$4</f>
        <v>-518563.95455530286</v>
      </c>
      <c r="E469" s="36">
        <f>+'[6]Stat by Mat'!$M$4-'[5]Stat by Mat'!$M$4</f>
        <v>3777148.3378871083</v>
      </c>
      <c r="F469" s="14">
        <f>+'[7]Stat by Mat'!$M$4-'[6]Stat by Mat'!$M$4</f>
        <v>-1179245.8555745184</v>
      </c>
      <c r="G469" s="14">
        <f>+'[8]Stat by Mat'!$M$4-'[7]Stat by Mat'!$M$4</f>
        <v>329591.82499042153</v>
      </c>
      <c r="H469" s="36">
        <f>+'[9]Stat by Mat'!$M$4-'[8]Stat by Mat'!$M$4</f>
        <v>-271845.57160578668</v>
      </c>
      <c r="I469" s="14">
        <f>+'[10]Stat by Mat'!$M$4-'[9]Stat by Mat'!$M$4</f>
        <v>376972.81808231771</v>
      </c>
      <c r="J469" s="14">
        <f>+'[11]Stat by Mat'!$M$4-'[10]Stat by Mat'!$M$4</f>
        <v>-139126.42229820788</v>
      </c>
      <c r="K469" s="36">
        <f>+'[12]Stat by Mat'!$M$4-'[11]Stat by Mat'!$M$4</f>
        <v>-328850.75213108957</v>
      </c>
      <c r="L469" s="14">
        <f>+'[13]Stat by Mat'!$M$4-'[12]Stat by Mat'!$M$4</f>
        <v>-203998.75663951039</v>
      </c>
      <c r="M469" s="14">
        <f>+'[14]Stat by Mat'!$M$4-'[13]Stat by Mat'!$M$4</f>
        <v>450739.23301051557</v>
      </c>
      <c r="N469" s="39"/>
      <c r="O469" s="14">
        <f>+C469-SUM(C470:C474)</f>
        <v>5.5879354476928711E-9</v>
      </c>
      <c r="P469" s="14">
        <f t="shared" ref="P469:R469" si="153">+D469-SUM(D470:D474)</f>
        <v>-1.862645149230957E-9</v>
      </c>
      <c r="Q469" s="14">
        <f t="shared" si="153"/>
        <v>-1.1175870895385742E-8</v>
      </c>
      <c r="R469" s="14">
        <f t="shared" si="153"/>
        <v>-1.862645149230957E-9</v>
      </c>
      <c r="S469" s="14">
        <f t="shared" ref="S469" si="154">+G469-SUM(G470:G474)</f>
        <v>0</v>
      </c>
      <c r="T469" s="14">
        <f t="shared" ref="T469:Z469" si="155">+H469-SUM(H470:H474)</f>
        <v>1.862645149230957E-9</v>
      </c>
      <c r="U469" s="14">
        <f t="shared" si="155"/>
        <v>1.6763806343078613E-8</v>
      </c>
      <c r="V469" s="14">
        <f t="shared" si="155"/>
        <v>-1.6763806343078613E-8</v>
      </c>
      <c r="W469" s="14">
        <f t="shared" si="155"/>
        <v>0</v>
      </c>
      <c r="X469" s="14">
        <f t="shared" si="155"/>
        <v>1.3038516044616699E-8</v>
      </c>
      <c r="Y469" s="14">
        <f t="shared" si="155"/>
        <v>0</v>
      </c>
      <c r="Z469" s="14">
        <f t="shared" si="155"/>
        <v>0</v>
      </c>
    </row>
    <row r="470" spans="2:26" hidden="1" outlineLevel="2" x14ac:dyDescent="0.25">
      <c r="B470" s="17" t="s">
        <v>9</v>
      </c>
      <c r="C470" s="14">
        <f>+[1]Result!$K$10-[15]Result!$K$10</f>
        <v>58389.307297192514</v>
      </c>
      <c r="D470" s="14">
        <f>+[5]Result!$K$10-[1]Result!$K$10</f>
        <v>-129504.81274535134</v>
      </c>
      <c r="E470" s="36">
        <f>+[6]Result!$K$10-[5]Result!$K$10</f>
        <v>688193.55935398117</v>
      </c>
      <c r="F470" s="14">
        <f>+[7]Result!$K$10-[6]Result!$K$10</f>
        <v>-290568.08989796788</v>
      </c>
      <c r="G470" s="14">
        <f>+[8]Result!$K$10-[7]Result!$K$10</f>
        <v>71372.483867615461</v>
      </c>
      <c r="H470" s="36">
        <f>+[9]Result!$K$10-[8]Result!$K$10</f>
        <v>53446.843993362039</v>
      </c>
      <c r="I470" s="14">
        <f>+[10]Result!$K$10-[9]Result!$K$10</f>
        <v>93701.569188375026</v>
      </c>
      <c r="J470" s="14">
        <f>+[11]Result!$K$10-[10]Result!$K$10</f>
        <v>-44971.783602703363</v>
      </c>
      <c r="K470" s="36">
        <f>+[12]Result!$K$10-[11]Result!$K$10</f>
        <v>-272180.87650868297</v>
      </c>
      <c r="L470" s="14">
        <f>+[13]Result!$K$10-[12]Result!$K$10</f>
        <v>-50083.996219199151</v>
      </c>
      <c r="M470" s="14">
        <f>+[14]Result!$K$10-[13]Result!$K$10</f>
        <v>87231.464352641255</v>
      </c>
      <c r="N470" s="39"/>
    </row>
    <row r="471" spans="2:26" hidden="1" outlineLevel="2" x14ac:dyDescent="0.25">
      <c r="B471" s="17" t="s">
        <v>10</v>
      </c>
      <c r="C471" s="14">
        <f>+[1]Result!$K$11-[15]Result!$K$11</f>
        <v>50614.000757828355</v>
      </c>
      <c r="D471" s="14">
        <f>+[5]Result!$K$11-[1]Result!$K$11</f>
        <v>-115501.71513130888</v>
      </c>
      <c r="E471" s="36">
        <f>+[6]Result!$K$11-[5]Result!$K$11</f>
        <v>625200.27354507521</v>
      </c>
      <c r="F471" s="14">
        <f>+[7]Result!$K$11-[6]Result!$K$11</f>
        <v>-266962.0203159526</v>
      </c>
      <c r="G471" s="14">
        <f>+[8]Result!$K$11-[7]Result!$K$11</f>
        <v>69799.118520006537</v>
      </c>
      <c r="H471" s="36">
        <f>+[9]Result!$K$11-[8]Result!$K$11</f>
        <v>-75991.990766793489</v>
      </c>
      <c r="I471" s="14">
        <f>+[10]Result!$K$11-[9]Result!$K$11</f>
        <v>84079.725811276585</v>
      </c>
      <c r="J471" s="14">
        <f>+[11]Result!$K$11-[10]Result!$K$11</f>
        <v>-37845.834743786603</v>
      </c>
      <c r="K471" s="36">
        <f>+[12]Result!$K$11-[11]Result!$K$11</f>
        <v>-133382.06396345794</v>
      </c>
      <c r="L471" s="14">
        <f>+[13]Result!$K$11-[12]Result!$K$11</f>
        <v>-46356.565370801836</v>
      </c>
      <c r="M471" s="14">
        <f>+[14]Result!$K$11-[13]Result!$K$11</f>
        <v>93041.102642945945</v>
      </c>
      <c r="N471" s="39"/>
    </row>
    <row r="472" spans="2:26" hidden="1" outlineLevel="2" x14ac:dyDescent="0.25">
      <c r="B472" s="17" t="s">
        <v>11</v>
      </c>
      <c r="C472" s="14">
        <f>+[1]Result!$K$12-[15]Result!$K$12</f>
        <v>43601.242844671011</v>
      </c>
      <c r="D472" s="14">
        <f>+[5]Result!$K$12-[1]Result!$K$12</f>
        <v>-99004.211232345551</v>
      </c>
      <c r="E472" s="36">
        <f>+[6]Result!$K$12-[5]Result!$K$12</f>
        <v>601457.21765737236</v>
      </c>
      <c r="F472" s="14">
        <f>+[7]Result!$K$12-[6]Result!$K$12</f>
        <v>-236993.7110292688</v>
      </c>
      <c r="G472" s="14">
        <f>+[8]Result!$K$12-[7]Result!$K$12</f>
        <v>66220.593443963677</v>
      </c>
      <c r="H472" s="36">
        <f>+[9]Result!$K$12-[8]Result!$K$12</f>
        <v>-131056.42246935889</v>
      </c>
      <c r="I472" s="14">
        <f>+[10]Result!$K$12-[9]Result!$K$12</f>
        <v>73472.720420423895</v>
      </c>
      <c r="J472" s="14">
        <f>+[11]Result!$K$12-[10]Result!$K$12</f>
        <v>-28151.567157190293</v>
      </c>
      <c r="K472" s="36">
        <f>+[12]Result!$K$12-[11]Result!$K$12</f>
        <v>-66373.240395184606</v>
      </c>
      <c r="L472" s="14">
        <f>+[13]Result!$K$12-[12]Result!$K$12</f>
        <v>-40914.59800716117</v>
      </c>
      <c r="M472" s="14">
        <f>+[14]Result!$K$12-[13]Result!$K$12</f>
        <v>92925.598404273391</v>
      </c>
      <c r="N472" s="39"/>
    </row>
    <row r="473" spans="2:26" hidden="1" outlineLevel="2" x14ac:dyDescent="0.25">
      <c r="B473" s="17" t="s">
        <v>12</v>
      </c>
      <c r="C473" s="14">
        <f>+[1]Result!$K$13-[15]Result!$K$13</f>
        <v>41256.017955033109</v>
      </c>
      <c r="D473" s="14">
        <f>+[5]Result!$K$13-[1]Result!$K$13</f>
        <v>-85696.88949447684</v>
      </c>
      <c r="E473" s="36">
        <f>+[6]Result!$K$13-[5]Result!$K$13</f>
        <v>1083319.7211417239</v>
      </c>
      <c r="F473" s="14">
        <f>+[7]Result!$K$13-[6]Result!$K$13</f>
        <v>-199631.1473786328</v>
      </c>
      <c r="G473" s="14">
        <f>+[8]Result!$K$13-[7]Result!$K$13</f>
        <v>60639.179557109252</v>
      </c>
      <c r="H473" s="36">
        <f>+[9]Result!$K$13-[8]Result!$K$13</f>
        <v>17862.071410777047</v>
      </c>
      <c r="I473" s="14">
        <f>+[10]Result!$K$13-[9]Result!$K$13</f>
        <v>61359.937537902966</v>
      </c>
      <c r="J473" s="14">
        <f>+[11]Result!$K$13-[10]Result!$K$13</f>
        <v>-17626.167249105871</v>
      </c>
      <c r="K473" s="36">
        <f>+[12]Result!$K$13-[11]Result!$K$13</f>
        <v>32710.718626268208</v>
      </c>
      <c r="L473" s="14">
        <f>+[13]Result!$K$13-[12]Result!$K$13</f>
        <v>-34289.415496312082</v>
      </c>
      <c r="M473" s="14">
        <f>+[14]Result!$K$13-[13]Result!$K$13</f>
        <v>85719.348661158234</v>
      </c>
      <c r="N473" s="39"/>
    </row>
    <row r="474" spans="2:26" hidden="1" outlineLevel="2" x14ac:dyDescent="0.25">
      <c r="B474" s="17" t="s">
        <v>13</v>
      </c>
      <c r="C474" s="14">
        <f>+[1]Result!$K$14-[15]Result!$K$14</f>
        <v>49155.800274480134</v>
      </c>
      <c r="D474" s="14">
        <f>+[5]Result!$K$14-[1]Result!$K$14</f>
        <v>-88856.325951818377</v>
      </c>
      <c r="E474" s="36">
        <f>+[6]Result!$K$14-[5]Result!$K$14</f>
        <v>778977.56618896686</v>
      </c>
      <c r="F474" s="14">
        <f>+[7]Result!$K$14-[6]Result!$K$14</f>
        <v>-185090.88695269451</v>
      </c>
      <c r="G474" s="14">
        <f>+[8]Result!$K$14-[7]Result!$K$14</f>
        <v>61560.449601726606</v>
      </c>
      <c r="H474" s="36">
        <f>+[9]Result!$K$14-[8]Result!$K$14</f>
        <v>-136106.07377377525</v>
      </c>
      <c r="I474" s="14">
        <f>+[10]Result!$K$14-[9]Result!$K$14</f>
        <v>64358.865124322474</v>
      </c>
      <c r="J474" s="14">
        <f>+[11]Result!$K$14-[10]Result!$K$14</f>
        <v>-10531.069545404986</v>
      </c>
      <c r="K474" s="36">
        <f>+[12]Result!$K$14-[11]Result!$K$14</f>
        <v>110374.71010996774</v>
      </c>
      <c r="L474" s="14">
        <f>+[13]Result!$K$14-[12]Result!$K$14</f>
        <v>-32354.181546049193</v>
      </c>
      <c r="M474" s="14">
        <f>+[14]Result!$K$14-[13]Result!$K$14</f>
        <v>91821.718949496746</v>
      </c>
      <c r="N474" s="39"/>
    </row>
    <row r="475" spans="2:26" hidden="1" outlineLevel="1" collapsed="1" x14ac:dyDescent="0.25">
      <c r="B475" s="16" t="s">
        <v>14</v>
      </c>
      <c r="C475" s="14">
        <f>+'[1]Stat by Mat'!$M$5-'[15]Stat by Mat'!$M$5</f>
        <v>296592.41076767445</v>
      </c>
      <c r="D475" s="14">
        <f>+'[5]Stat by Mat'!$M$5-'[1]Stat by Mat'!$M$5</f>
        <v>-375877.53586830944</v>
      </c>
      <c r="E475" s="36">
        <f>+'[6]Stat by Mat'!$M$5-'[5]Stat by Mat'!$M$5</f>
        <v>5616182.1556724831</v>
      </c>
      <c r="F475" s="14">
        <f>+'[7]Stat by Mat'!$M$5-'[6]Stat by Mat'!$M$5</f>
        <v>-938535.76716754586</v>
      </c>
      <c r="G475" s="14">
        <f>+'[8]Stat by Mat'!$M$5-'[7]Stat by Mat'!$M$5</f>
        <v>444345.06646315008</v>
      </c>
      <c r="H475" s="36">
        <f>+'[9]Stat by Mat'!$M$5-'[8]Stat by Mat'!$M$5</f>
        <v>486139.19627059996</v>
      </c>
      <c r="I475" s="14">
        <f>+'[10]Stat by Mat'!$M$5-'[9]Stat by Mat'!$M$5</f>
        <v>331094.67725779116</v>
      </c>
      <c r="J475" s="14">
        <f>+'[11]Stat by Mat'!$M$5-'[10]Stat by Mat'!$M$5</f>
        <v>113152.27542448789</v>
      </c>
      <c r="K475" s="36">
        <f>+'[12]Stat by Mat'!$M$5-'[11]Stat by Mat'!$M$5</f>
        <v>-371561.93322616071</v>
      </c>
      <c r="L475" s="14">
        <f>+'[13]Stat by Mat'!$M$5-'[12]Stat by Mat'!$M$5</f>
        <v>-116051.98722219467</v>
      </c>
      <c r="M475" s="14">
        <f>+'[14]Stat by Mat'!$M$5-'[13]Stat by Mat'!$M$5</f>
        <v>609327.47511200607</v>
      </c>
      <c r="N475" s="39"/>
      <c r="O475" s="14">
        <f>+C475-SUM(C476:C485)</f>
        <v>4.1909515857696533E-9</v>
      </c>
      <c r="P475" s="14">
        <f t="shared" ref="P475:R475" si="156">+D475-SUM(D476:D485)</f>
        <v>-6.9849193096160889E-9</v>
      </c>
      <c r="Q475" s="14">
        <f t="shared" si="156"/>
        <v>1.9557774066925049E-8</v>
      </c>
      <c r="R475" s="14">
        <f t="shared" si="156"/>
        <v>-7.9162418842315674E-9</v>
      </c>
      <c r="S475" s="14">
        <f t="shared" ref="S475" si="157">+G475-SUM(G476:G485)</f>
        <v>-1.1641532182693481E-9</v>
      </c>
      <c r="T475" s="14">
        <f t="shared" ref="T475:Z475" si="158">+H475-SUM(H476:H485)</f>
        <v>-1.1641532182693481E-9</v>
      </c>
      <c r="U475" s="14">
        <f t="shared" si="158"/>
        <v>-4.4237822294235229E-9</v>
      </c>
      <c r="V475" s="14">
        <f t="shared" si="158"/>
        <v>9.5460563898086548E-9</v>
      </c>
      <c r="W475" s="14">
        <f t="shared" si="158"/>
        <v>-6.7520886659622192E-9</v>
      </c>
      <c r="X475" s="14">
        <f t="shared" si="158"/>
        <v>-1.0011717677116394E-8</v>
      </c>
      <c r="Y475" s="14">
        <f t="shared" si="158"/>
        <v>8.149072527885437E-9</v>
      </c>
      <c r="Z475" s="14">
        <f t="shared" si="158"/>
        <v>0</v>
      </c>
    </row>
    <row r="476" spans="2:26" hidden="1" outlineLevel="2" x14ac:dyDescent="0.25">
      <c r="B476" s="17" t="s">
        <v>15</v>
      </c>
      <c r="C476" s="14">
        <f>+[1]Result!$K$15-[15]Result!$K$15</f>
        <v>43640.688852805644</v>
      </c>
      <c r="D476" s="14">
        <f>+[5]Result!$K$15-[1]Result!$K$15</f>
        <v>-74486.467875497416</v>
      </c>
      <c r="E476" s="36">
        <f>+[6]Result!$K$15-[5]Result!$K$15</f>
        <v>878737.51843590289</v>
      </c>
      <c r="F476" s="14">
        <f>+[7]Result!$K$15-[6]Result!$K$15</f>
        <v>-155769.9904807657</v>
      </c>
      <c r="G476" s="14">
        <f>+[8]Result!$K$15-[7]Result!$K$15</f>
        <v>55633.723926855251</v>
      </c>
      <c r="H476" s="36">
        <f>+[9]Result!$K$15-[8]Result!$K$15</f>
        <v>-72304.491307793185</v>
      </c>
      <c r="I476" s="14">
        <f>+[10]Result!$K$15-[9]Result!$K$15</f>
        <v>56523.705993907526</v>
      </c>
      <c r="J476" s="14">
        <f>+[11]Result!$K$15-[10]Result!$K$15</f>
        <v>-1352.0043940339237</v>
      </c>
      <c r="K476" s="36">
        <f>+[12]Result!$K$15-[11]Result!$K$15</f>
        <v>13570.436802649871</v>
      </c>
      <c r="L476" s="14">
        <f>+[13]Result!$K$15-[12]Result!$K$15</f>
        <v>-26684.689511757344</v>
      </c>
      <c r="M476" s="14">
        <f>+[14]Result!$K$15-[13]Result!$K$15</f>
        <v>83884.153080713004</v>
      </c>
      <c r="N476" s="39"/>
    </row>
    <row r="477" spans="2:26" hidden="1" outlineLevel="2" x14ac:dyDescent="0.25">
      <c r="B477" s="17" t="s">
        <v>16</v>
      </c>
      <c r="C477" s="14">
        <f>+[1]Result!$K$16-[15]Result!$K$16</f>
        <v>29281.138195425272</v>
      </c>
      <c r="D477" s="14">
        <f>+[5]Result!$K$16-[1]Result!$K$16</f>
        <v>-52153.148962171748</v>
      </c>
      <c r="E477" s="36">
        <f>+[6]Result!$K$16-[5]Result!$K$16</f>
        <v>951888.89382404927</v>
      </c>
      <c r="F477" s="14">
        <f>+[7]Result!$K$16-[6]Result!$K$16</f>
        <v>-122096.78566111531</v>
      </c>
      <c r="G477" s="14">
        <f>+[8]Result!$K$16-[7]Result!$K$16</f>
        <v>46611.439845261164</v>
      </c>
      <c r="H477" s="36">
        <f>+[9]Result!$K$16-[8]Result!$K$16</f>
        <v>42076.751513682306</v>
      </c>
      <c r="I477" s="14">
        <f>+[10]Result!$K$16-[9]Result!$K$16</f>
        <v>39287.488224383444</v>
      </c>
      <c r="J477" s="14">
        <f>+[11]Result!$K$16-[10]Result!$K$16</f>
        <v>3891.9479711651802</v>
      </c>
      <c r="K477" s="36">
        <f>+[12]Result!$K$16-[11]Result!$K$16</f>
        <v>-49792.155109542422</v>
      </c>
      <c r="L477" s="14">
        <f>+[13]Result!$K$16-[12]Result!$K$16</f>
        <v>-19367.291221480817</v>
      </c>
      <c r="M477" s="14">
        <f>+[14]Result!$K$16-[13]Result!$K$16</f>
        <v>68479.930793286301</v>
      </c>
      <c r="N477" s="39"/>
    </row>
    <row r="478" spans="2:26" hidden="1" outlineLevel="2" x14ac:dyDescent="0.25">
      <c r="B478" s="17" t="s">
        <v>17</v>
      </c>
      <c r="C478" s="14">
        <f>+[1]Result!$K$17-[15]Result!$K$17</f>
        <v>25750.049728025682</v>
      </c>
      <c r="D478" s="14">
        <f>+[5]Result!$K$17-[1]Result!$K$17</f>
        <v>-45895.957923974842</v>
      </c>
      <c r="E478" s="36">
        <f>+[6]Result!$K$17-[5]Result!$K$17</f>
        <v>809887.62648983859</v>
      </c>
      <c r="F478" s="14">
        <f>+[7]Result!$K$17-[6]Result!$K$17</f>
        <v>-111508.00368507393</v>
      </c>
      <c r="G478" s="14">
        <f>+[8]Result!$K$17-[7]Result!$K$17</f>
        <v>46074.283660328947</v>
      </c>
      <c r="H478" s="36">
        <f>+[9]Result!$K$17-[8]Result!$K$17</f>
        <v>66638.950314170681</v>
      </c>
      <c r="I478" s="14">
        <f>+[10]Result!$K$17-[9]Result!$K$17</f>
        <v>33128.745051760226</v>
      </c>
      <c r="J478" s="14">
        <f>+[11]Result!$K$17-[10]Result!$K$17</f>
        <v>8163.5375363612548</v>
      </c>
      <c r="K478" s="36">
        <f>+[12]Result!$K$17-[11]Result!$K$17</f>
        <v>-34304.018355074339</v>
      </c>
      <c r="L478" s="14">
        <f>+[13]Result!$K$17-[12]Result!$K$17</f>
        <v>-15885.346545117907</v>
      </c>
      <c r="M478" s="14">
        <f>+[14]Result!$K$17-[13]Result!$K$17</f>
        <v>65469.267807843164</v>
      </c>
      <c r="N478" s="39"/>
    </row>
    <row r="479" spans="2:26" hidden="1" outlineLevel="2" x14ac:dyDescent="0.25">
      <c r="B479" s="17" t="s">
        <v>18</v>
      </c>
      <c r="C479" s="14">
        <f>+[1]Result!$K$18-[15]Result!$K$18</f>
        <v>27429.262522453442</v>
      </c>
      <c r="D479" s="14">
        <f>+[5]Result!$K$18-[1]Result!$K$18</f>
        <v>-43178.802756607533</v>
      </c>
      <c r="E479" s="36">
        <f>+[6]Result!$K$18-[5]Result!$K$18</f>
        <v>676936.92636262812</v>
      </c>
      <c r="F479" s="14">
        <f>+[7]Result!$K$18-[6]Result!$K$18</f>
        <v>-101924.36964297574</v>
      </c>
      <c r="G479" s="14">
        <f>+[8]Result!$K$18-[7]Result!$K$18</f>
        <v>46120.972210560925</v>
      </c>
      <c r="H479" s="36">
        <f>+[9]Result!$K$18-[8]Result!$K$18</f>
        <v>35772.06247362867</v>
      </c>
      <c r="I479" s="14">
        <f>+[10]Result!$K$18-[9]Result!$K$18</f>
        <v>31800.289844341576</v>
      </c>
      <c r="J479" s="14">
        <f>+[11]Result!$K$18-[10]Result!$K$18</f>
        <v>12226.760227639228</v>
      </c>
      <c r="K479" s="36">
        <f>+[12]Result!$K$18-[11]Result!$K$18</f>
        <v>-38813.828644710593</v>
      </c>
      <c r="L479" s="14">
        <f>+[13]Result!$K$18-[12]Result!$K$18</f>
        <v>-13602.260814021342</v>
      </c>
      <c r="M479" s="14">
        <f>+[14]Result!$K$18-[13]Result!$K$18</f>
        <v>63109.136765642092</v>
      </c>
      <c r="N479" s="39"/>
    </row>
    <row r="480" spans="2:26" hidden="1" outlineLevel="2" x14ac:dyDescent="0.25">
      <c r="B480" s="17" t="s">
        <v>19</v>
      </c>
      <c r="C480" s="14">
        <f>+[1]Result!$K$19-[15]Result!$K$19</f>
        <v>32986.736738103442</v>
      </c>
      <c r="D480" s="14">
        <f>+[5]Result!$K$19-[1]Result!$K$19</f>
        <v>-44432.66104651615</v>
      </c>
      <c r="E480" s="36">
        <f>+[6]Result!$K$19-[5]Result!$K$19</f>
        <v>586057.40617920831</v>
      </c>
      <c r="F480" s="14">
        <f>+[7]Result!$K$19-[6]Result!$K$19</f>
        <v>-95226.062482154928</v>
      </c>
      <c r="G480" s="14">
        <f>+[8]Result!$K$19-[7]Result!$K$19</f>
        <v>47447.398865969852</v>
      </c>
      <c r="H480" s="36">
        <f>+[9]Result!$K$19-[8]Result!$K$19</f>
        <v>69693.145743216388</v>
      </c>
      <c r="I480" s="14">
        <f>+[10]Result!$K$19-[9]Result!$K$19</f>
        <v>33667.551300263032</v>
      </c>
      <c r="J480" s="14">
        <f>+[11]Result!$K$19-[10]Result!$K$19</f>
        <v>14077.199867395684</v>
      </c>
      <c r="K480" s="36">
        <f>+[12]Result!$K$19-[11]Result!$K$19</f>
        <v>-3195.1715817144141</v>
      </c>
      <c r="L480" s="14">
        <f>+[13]Result!$K$19-[12]Result!$K$19</f>
        <v>-11864.763334673829</v>
      </c>
      <c r="M480" s="14">
        <f>+[14]Result!$K$19-[13]Result!$K$19</f>
        <v>64041.811924303882</v>
      </c>
      <c r="N480" s="39"/>
    </row>
    <row r="481" spans="2:26" hidden="1" outlineLevel="2" x14ac:dyDescent="0.25">
      <c r="B481" s="17" t="s">
        <v>20</v>
      </c>
      <c r="C481" s="14">
        <f>+[1]Result!$K$20-[15]Result!$K$20</f>
        <v>33815.504605432972</v>
      </c>
      <c r="D481" s="14">
        <f>+[5]Result!$K$20-[1]Result!$K$20</f>
        <v>-38241.562195008621</v>
      </c>
      <c r="E481" s="36">
        <f>+[6]Result!$K$20-[5]Result!$K$20</f>
        <v>495808.29921370745</v>
      </c>
      <c r="F481" s="14">
        <f>+[7]Result!$K$20-[6]Result!$K$20</f>
        <v>-85081.233205549885</v>
      </c>
      <c r="G481" s="14">
        <f>+[8]Result!$K$20-[7]Result!$K$20</f>
        <v>45269.933939732146</v>
      </c>
      <c r="H481" s="36">
        <f>+[9]Result!$K$20-[8]Result!$K$20</f>
        <v>83650.167409435846</v>
      </c>
      <c r="I481" s="14">
        <f>+[10]Result!$K$20-[9]Result!$K$20</f>
        <v>32523.48828944657</v>
      </c>
      <c r="J481" s="14">
        <f>+[11]Result!$K$20-[10]Result!$K$20</f>
        <v>14500.417882610578</v>
      </c>
      <c r="K481" s="36">
        <f>+[12]Result!$K$20-[11]Result!$K$20</f>
        <v>-22177.590117319021</v>
      </c>
      <c r="L481" s="14">
        <f>+[13]Result!$K$20-[12]Result!$K$20</f>
        <v>-9216.0730658075772</v>
      </c>
      <c r="M481" s="14">
        <f>+[14]Result!$K$20-[13]Result!$K$20</f>
        <v>61412.905671610497</v>
      </c>
      <c r="N481" s="39"/>
    </row>
    <row r="482" spans="2:26" hidden="1" outlineLevel="2" x14ac:dyDescent="0.25">
      <c r="B482" s="17" t="s">
        <v>21</v>
      </c>
      <c r="C482" s="14">
        <f>+[1]Result!$K$21-[15]Result!$K$21</f>
        <v>30893.233442449942</v>
      </c>
      <c r="D482" s="14">
        <f>+[5]Result!$K$21-[1]Result!$K$21</f>
        <v>-27914.584058411419</v>
      </c>
      <c r="E482" s="36">
        <f>+[6]Result!$K$21-[5]Result!$K$21</f>
        <v>415884.35781902773</v>
      </c>
      <c r="F482" s="14">
        <f>+[7]Result!$K$21-[6]Result!$K$21</f>
        <v>-78167.790953940246</v>
      </c>
      <c r="G482" s="14">
        <f>+[8]Result!$K$21-[7]Result!$K$21</f>
        <v>42968.529161826242</v>
      </c>
      <c r="H482" s="36">
        <f>+[9]Result!$K$21-[8]Result!$K$21</f>
        <v>78470.829287186265</v>
      </c>
      <c r="I482" s="14">
        <f>+[10]Result!$K$21-[9]Result!$K$21</f>
        <v>30330.036395153496</v>
      </c>
      <c r="J482" s="14">
        <f>+[11]Result!$K$21-[10]Result!$K$21</f>
        <v>14934.953245157842</v>
      </c>
      <c r="K482" s="36">
        <f>+[12]Result!$K$21-[11]Result!$K$21</f>
        <v>-34932.701126040891</v>
      </c>
      <c r="L482" s="14">
        <f>+[13]Result!$K$21-[12]Result!$K$21</f>
        <v>-7021.6351489447989</v>
      </c>
      <c r="M482" s="14">
        <f>+[14]Result!$K$21-[13]Result!$K$21</f>
        <v>57529.043278517202</v>
      </c>
      <c r="N482" s="39"/>
    </row>
    <row r="483" spans="2:26" hidden="1" outlineLevel="2" x14ac:dyDescent="0.25">
      <c r="B483" s="17" t="s">
        <v>22</v>
      </c>
      <c r="C483" s="14">
        <f>+[1]Result!$K$22-[15]Result!$K$22</f>
        <v>26720.456927290186</v>
      </c>
      <c r="D483" s="14">
        <f>+[5]Result!$K$22-[1]Result!$K$22</f>
        <v>-19015.284656368196</v>
      </c>
      <c r="E483" s="36">
        <f>+[6]Result!$K$22-[5]Result!$K$22</f>
        <v>329844.04680036847</v>
      </c>
      <c r="F483" s="14">
        <f>+[7]Result!$K$22-[6]Result!$K$22</f>
        <v>-70830.007373503875</v>
      </c>
      <c r="G483" s="14">
        <f>+[8]Result!$K$22-[7]Result!$K$22</f>
        <v>40144.503679011948</v>
      </c>
      <c r="H483" s="36">
        <f>+[9]Result!$K$22-[8]Result!$K$22</f>
        <v>71544.981568617281</v>
      </c>
      <c r="I483" s="14">
        <f>+[10]Result!$K$22-[9]Result!$K$22</f>
        <v>27430.432442735415</v>
      </c>
      <c r="J483" s="14">
        <f>+[11]Result!$K$22-[10]Result!$K$22</f>
        <v>15372.549791048747</v>
      </c>
      <c r="K483" s="36">
        <f>+[12]Result!$K$22-[11]Result!$K$22</f>
        <v>-60769.494812177029</v>
      </c>
      <c r="L483" s="14">
        <f>+[13]Result!$K$22-[12]Result!$K$22</f>
        <v>-5369.6385183571838</v>
      </c>
      <c r="M483" s="14">
        <f>+[14]Result!$K$22-[13]Result!$K$22</f>
        <v>52820.729655686766</v>
      </c>
      <c r="N483" s="39"/>
    </row>
    <row r="484" spans="2:26" hidden="1" outlineLevel="2" x14ac:dyDescent="0.25">
      <c r="B484" s="17" t="s">
        <v>23</v>
      </c>
      <c r="C484" s="14">
        <f>+[1]Result!$K$23-[15]Result!$K$23</f>
        <v>23402.954479639884</v>
      </c>
      <c r="D484" s="14">
        <f>+[5]Result!$K$23-[1]Result!$K$23</f>
        <v>-14594.487501864322</v>
      </c>
      <c r="E484" s="36">
        <f>+[6]Result!$K$23-[5]Result!$K$23</f>
        <v>246903.4728337829</v>
      </c>
      <c r="F484" s="14">
        <f>+[7]Result!$K$23-[6]Result!$K$23</f>
        <v>-62577.174790665507</v>
      </c>
      <c r="G484" s="14">
        <f>+[8]Result!$K$23-[7]Result!$K$23</f>
        <v>37590.464415150229</v>
      </c>
      <c r="H484" s="36">
        <f>+[9]Result!$K$23-[8]Result!$K$23</f>
        <v>51148.813392877579</v>
      </c>
      <c r="I484" s="14">
        <f>+[10]Result!$K$23-[9]Result!$K$23</f>
        <v>24431.150244783144</v>
      </c>
      <c r="J484" s="14">
        <f>+[11]Result!$K$23-[10]Result!$K$23</f>
        <v>15554.462562456261</v>
      </c>
      <c r="K484" s="36">
        <f>+[12]Result!$K$23-[11]Result!$K$23</f>
        <v>-80967.788285716902</v>
      </c>
      <c r="L484" s="14">
        <f>+[13]Result!$K$23-[12]Result!$K$23</f>
        <v>-4063.6769768772647</v>
      </c>
      <c r="M484" s="14">
        <f>+[14]Result!$K$23-[13]Result!$K$23</f>
        <v>48347.099576925393</v>
      </c>
      <c r="N484" s="39"/>
    </row>
    <row r="485" spans="2:26" hidden="1" outlineLevel="2" x14ac:dyDescent="0.25">
      <c r="B485" s="17" t="s">
        <v>24</v>
      </c>
      <c r="C485" s="14">
        <f>+[1]Result!$K$24-[15]Result!$K$24</f>
        <v>22672.385276043788</v>
      </c>
      <c r="D485" s="14">
        <f>+[5]Result!$K$24-[1]Result!$K$24</f>
        <v>-15964.578891882207</v>
      </c>
      <c r="E485" s="36">
        <f>+[6]Result!$K$24-[5]Result!$K$24</f>
        <v>224233.60771394963</v>
      </c>
      <c r="F485" s="14">
        <f>+[7]Result!$K$24-[6]Result!$K$24</f>
        <v>-55354.348891792819</v>
      </c>
      <c r="G485" s="14">
        <f>+[8]Result!$K$24-[7]Result!$K$24</f>
        <v>36483.816758454544</v>
      </c>
      <c r="H485" s="36">
        <f>+[9]Result!$K$24-[8]Result!$K$24</f>
        <v>59447.985875579296</v>
      </c>
      <c r="I485" s="14">
        <f>+[10]Result!$K$24-[9]Result!$K$24</f>
        <v>21971.789471021155</v>
      </c>
      <c r="J485" s="14">
        <f>+[11]Result!$K$24-[10]Result!$K$24</f>
        <v>15782.450734677492</v>
      </c>
      <c r="K485" s="36">
        <f>+[12]Result!$K$24-[11]Result!$K$24</f>
        <v>-60179.621996508213</v>
      </c>
      <c r="L485" s="14">
        <f>+[13]Result!$K$24-[12]Result!$K$24</f>
        <v>-2976.6120851465967</v>
      </c>
      <c r="M485" s="14">
        <f>+[14]Result!$K$24-[13]Result!$K$24</f>
        <v>44233.396557469619</v>
      </c>
      <c r="N485" s="39"/>
    </row>
    <row r="486" spans="2:26" hidden="1" outlineLevel="1" collapsed="1" x14ac:dyDescent="0.25">
      <c r="B486" s="16" t="s">
        <v>25</v>
      </c>
      <c r="C486" s="14">
        <f>+'[1]Stat by Mat'!$M$6-'[15]Stat by Mat'!$M$6</f>
        <v>130901.26927651279</v>
      </c>
      <c r="D486" s="14">
        <f>+'[5]Stat by Mat'!$M$6-'[1]Stat by Mat'!$M$6</f>
        <v>-141094.72252430953</v>
      </c>
      <c r="E486" s="36">
        <f>+'[6]Stat by Mat'!$M$6-'[5]Stat by Mat'!$M$6</f>
        <v>876946.84860748518</v>
      </c>
      <c r="F486" s="14">
        <f>+'[7]Stat by Mat'!$M$6-'[6]Stat by Mat'!$M$6</f>
        <v>-218277.67417144869</v>
      </c>
      <c r="G486" s="14">
        <f>+'[8]Stat by Mat'!$M$6-'[7]Stat by Mat'!$M$6</f>
        <v>193702.7019778695</v>
      </c>
      <c r="H486" s="36">
        <f>+'[9]Stat by Mat'!$M$6-'[8]Stat by Mat'!$M$6</f>
        <v>222239.33230191749</v>
      </c>
      <c r="I486" s="14">
        <f>+'[10]Stat by Mat'!$M$6-'[9]Stat by Mat'!$M$6</f>
        <v>101200.87783946283</v>
      </c>
      <c r="J486" s="14">
        <f>+'[11]Stat by Mat'!$M$6-'[10]Stat by Mat'!$M$6</f>
        <v>94206.549728480168</v>
      </c>
      <c r="K486" s="36">
        <f>+'[12]Stat by Mat'!$M$6-'[11]Stat by Mat'!$M$6</f>
        <v>-502339.73441515677</v>
      </c>
      <c r="L486" s="14">
        <f>+'[13]Stat by Mat'!$M$6-'[12]Stat by Mat'!$M$6</f>
        <v>-6092.088876998052</v>
      </c>
      <c r="M486" s="14">
        <f>+'[14]Stat by Mat'!$M$6-'[13]Stat by Mat'!$M$6</f>
        <v>226545.29175511934</v>
      </c>
      <c r="N486" s="39"/>
      <c r="O486" s="14">
        <f>+C486-SUM(C487:C496)</f>
        <v>9.8953023552894592E-10</v>
      </c>
      <c r="P486" s="14">
        <f t="shared" ref="P486:R486" si="159">+D486-SUM(D487:D496)</f>
        <v>1.6880221664905548E-9</v>
      </c>
      <c r="Q486" s="14">
        <f t="shared" si="159"/>
        <v>-2.0954757928848267E-9</v>
      </c>
      <c r="R486" s="14">
        <f t="shared" si="159"/>
        <v>2.7939677238464355E-9</v>
      </c>
      <c r="S486" s="14">
        <f t="shared" ref="S486" si="160">+G486-SUM(G487:G496)</f>
        <v>-1.2223608791828156E-9</v>
      </c>
      <c r="T486" s="14">
        <f t="shared" ref="T486:Z486" si="161">+H486-SUM(H487:H496)</f>
        <v>-2.9103830456733704E-10</v>
      </c>
      <c r="U486" s="14">
        <f t="shared" si="161"/>
        <v>0</v>
      </c>
      <c r="V486" s="14">
        <f t="shared" si="161"/>
        <v>3.4924596548080444E-10</v>
      </c>
      <c r="W486" s="14">
        <f t="shared" si="161"/>
        <v>-7.5669959187507629E-10</v>
      </c>
      <c r="X486" s="14">
        <f t="shared" si="161"/>
        <v>-1.1641532182693481E-10</v>
      </c>
      <c r="Y486" s="14">
        <f t="shared" si="161"/>
        <v>0</v>
      </c>
      <c r="Z486" s="14">
        <f t="shared" si="161"/>
        <v>0</v>
      </c>
    </row>
    <row r="487" spans="2:26" hidden="1" outlineLevel="2" x14ac:dyDescent="0.25">
      <c r="B487" s="17" t="s">
        <v>26</v>
      </c>
      <c r="C487" s="14">
        <f>+[1]Result!$K$25-[15]Result!$K$25</f>
        <v>21767.007944380632</v>
      </c>
      <c r="D487" s="14">
        <f>+[5]Result!$K$25-[1]Result!$K$25</f>
        <v>-18583.984236335615</v>
      </c>
      <c r="E487" s="36">
        <f>+[6]Result!$K$25-[5]Result!$K$25</f>
        <v>197029.59171720082</v>
      </c>
      <c r="F487" s="14">
        <f>+[7]Result!$K$25-[6]Result!$K$25</f>
        <v>-46168.217086913995</v>
      </c>
      <c r="G487" s="14">
        <f>+[8]Result!$K$25-[7]Result!$K$25</f>
        <v>33545.421171647264</v>
      </c>
      <c r="H487" s="36">
        <f>+[9]Result!$K$25-[8]Result!$K$25</f>
        <v>58121.383614599938</v>
      </c>
      <c r="I487" s="14">
        <f>+[10]Result!$K$25-[9]Result!$K$25</f>
        <v>18991.245292346459</v>
      </c>
      <c r="J487" s="14">
        <f>+[11]Result!$K$25-[10]Result!$K$25</f>
        <v>15095.213818320306</v>
      </c>
      <c r="K487" s="36">
        <f>+[12]Result!$K$25-[11]Result!$K$25</f>
        <v>-60760.656005957862</v>
      </c>
      <c r="L487" s="14">
        <f>+[13]Result!$K$25-[12]Result!$K$25</f>
        <v>-1987.3781921821646</v>
      </c>
      <c r="M487" s="14">
        <f>+[14]Result!$K$25-[13]Result!$K$25</f>
        <v>39525.557560868794</v>
      </c>
      <c r="N487" s="39"/>
    </row>
    <row r="488" spans="2:26" hidden="1" outlineLevel="2" x14ac:dyDescent="0.25">
      <c r="B488" s="17" t="s">
        <v>27</v>
      </c>
      <c r="C488" s="14">
        <f>+[1]Result!$K$26-[15]Result!$K$26</f>
        <v>20420.233405178646</v>
      </c>
      <c r="D488" s="14">
        <f>+[5]Result!$K$26-[1]Result!$K$26</f>
        <v>-19766.977987861261</v>
      </c>
      <c r="E488" s="36">
        <f>+[6]Result!$K$26-[5]Result!$K$26</f>
        <v>170667.8435970752</v>
      </c>
      <c r="F488" s="14">
        <f>+[7]Result!$K$26-[6]Result!$K$26</f>
        <v>-38253.418404942378</v>
      </c>
      <c r="G488" s="14">
        <f>+[8]Result!$K$26-[7]Result!$K$26</f>
        <v>30379.452415161068</v>
      </c>
      <c r="H488" s="36">
        <f>+[9]Result!$K$26-[8]Result!$K$26</f>
        <v>53477.575789337279</v>
      </c>
      <c r="I488" s="14">
        <f>+[10]Result!$K$26-[9]Result!$K$26</f>
        <v>16556.001512890449</v>
      </c>
      <c r="J488" s="14">
        <f>+[11]Result!$K$26-[10]Result!$K$26</f>
        <v>13968.1890887341</v>
      </c>
      <c r="K488" s="36">
        <f>+[12]Result!$K$26-[11]Result!$K$26</f>
        <v>-61878.783558818977</v>
      </c>
      <c r="L488" s="14">
        <f>+[13]Result!$K$26-[12]Result!$K$26</f>
        <v>-1468.9685066151433</v>
      </c>
      <c r="M488" s="14">
        <f>+[14]Result!$K$26-[13]Result!$K$26</f>
        <v>35243.155232815538</v>
      </c>
      <c r="N488" s="39"/>
    </row>
    <row r="489" spans="2:26" hidden="1" outlineLevel="2" x14ac:dyDescent="0.25">
      <c r="B489" s="17" t="s">
        <v>28</v>
      </c>
      <c r="C489" s="14">
        <f>+[1]Result!$K$27-[15]Result!$K$27</f>
        <v>18396.854061903199</v>
      </c>
      <c r="D489" s="14">
        <f>+[5]Result!$K$27-[1]Result!$K$27</f>
        <v>-19280.447264463408</v>
      </c>
      <c r="E489" s="36">
        <f>+[6]Result!$K$27-[5]Result!$K$27</f>
        <v>139940.83771041478</v>
      </c>
      <c r="F489" s="14">
        <f>+[7]Result!$K$27-[6]Result!$K$27</f>
        <v>-31398.138444231125</v>
      </c>
      <c r="G489" s="14">
        <f>+[8]Result!$K$27-[7]Result!$K$27</f>
        <v>26976.67295284383</v>
      </c>
      <c r="H489" s="36">
        <f>+[9]Result!$K$27-[8]Result!$K$27</f>
        <v>44457.548674747581</v>
      </c>
      <c r="I489" s="14">
        <f>+[10]Result!$K$27-[9]Result!$K$27</f>
        <v>14226.431368158199</v>
      </c>
      <c r="J489" s="14">
        <f>+[11]Result!$K$27-[10]Result!$K$27</f>
        <v>12697.940785201732</v>
      </c>
      <c r="K489" s="36">
        <f>+[12]Result!$K$27-[11]Result!$K$27</f>
        <v>-67059.176686070394</v>
      </c>
      <c r="L489" s="14">
        <f>+[13]Result!$K$27-[12]Result!$K$27</f>
        <v>-1037.2621937128715</v>
      </c>
      <c r="M489" s="14">
        <f>+[14]Result!$K$27-[13]Result!$K$27</f>
        <v>31167.991221667267</v>
      </c>
      <c r="N489" s="39"/>
    </row>
    <row r="490" spans="2:26" hidden="1" outlineLevel="2" x14ac:dyDescent="0.25">
      <c r="B490" s="17" t="s">
        <v>29</v>
      </c>
      <c r="C490" s="14">
        <f>+[1]Result!$K$28-[15]Result!$K$28</f>
        <v>16316.861675300868</v>
      </c>
      <c r="D490" s="14">
        <f>+[5]Result!$K$28-[1]Result!$K$28</f>
        <v>-17979.802723492961</v>
      </c>
      <c r="E490" s="36">
        <f>+[6]Result!$K$28-[5]Result!$K$28</f>
        <v>107999.87130025704</v>
      </c>
      <c r="F490" s="14">
        <f>+[7]Result!$K$28-[6]Result!$K$28</f>
        <v>-26075.558600498713</v>
      </c>
      <c r="G490" s="14">
        <f>+[8]Result!$K$28-[7]Result!$K$28</f>
        <v>23899.509752117214</v>
      </c>
      <c r="H490" s="36">
        <f>+[9]Result!$K$28-[8]Result!$K$28</f>
        <v>22610.235757008079</v>
      </c>
      <c r="I490" s="14">
        <f>+[10]Result!$K$28-[9]Result!$K$28</f>
        <v>12281.45004217478</v>
      </c>
      <c r="J490" s="14">
        <f>+[11]Result!$K$28-[10]Result!$K$28</f>
        <v>11686.734715591418</v>
      </c>
      <c r="K490" s="36">
        <f>+[12]Result!$K$28-[11]Result!$K$28</f>
        <v>-68331.131561501301</v>
      </c>
      <c r="L490" s="14">
        <f>+[13]Result!$K$28-[12]Result!$K$28</f>
        <v>-704.75637319288217</v>
      </c>
      <c r="M490" s="14">
        <f>+[14]Result!$K$28-[13]Result!$K$28</f>
        <v>27911.302674001432</v>
      </c>
      <c r="N490" s="39"/>
    </row>
    <row r="491" spans="2:26" hidden="1" outlineLevel="2" x14ac:dyDescent="0.25">
      <c r="B491" s="17" t="s">
        <v>30</v>
      </c>
      <c r="C491" s="14">
        <f>+[1]Result!$K$29-[15]Result!$K$29</f>
        <v>14779.87957145425</v>
      </c>
      <c r="D491" s="14">
        <f>+[5]Result!$K$29-[1]Result!$K$29</f>
        <v>-17080.155049039633</v>
      </c>
      <c r="E491" s="36">
        <f>+[6]Result!$K$29-[5]Result!$K$29</f>
        <v>91700.986396151013</v>
      </c>
      <c r="F491" s="14">
        <f>+[7]Result!$K$29-[6]Result!$K$29</f>
        <v>-22250.761745923199</v>
      </c>
      <c r="G491" s="14">
        <f>+[8]Result!$K$29-[7]Result!$K$29</f>
        <v>21530.574963678257</v>
      </c>
      <c r="H491" s="36">
        <f>+[9]Result!$K$29-[8]Result!$K$29</f>
        <v>23551.975124502322</v>
      </c>
      <c r="I491" s="14">
        <f>+[10]Result!$K$29-[9]Result!$K$29</f>
        <v>10706.853897801484</v>
      </c>
      <c r="J491" s="14">
        <f>+[11]Result!$K$29-[10]Result!$K$29</f>
        <v>10762.583469676552</v>
      </c>
      <c r="K491" s="36">
        <f>+[12]Result!$K$29-[11]Result!$K$29</f>
        <v>-48728.915173092624</v>
      </c>
      <c r="L491" s="14">
        <f>+[13]Result!$K$29-[12]Result!$K$29</f>
        <v>-413.96433286613319</v>
      </c>
      <c r="M491" s="14">
        <f>+[14]Result!$K$29-[13]Result!$K$29</f>
        <v>24482.733403910534</v>
      </c>
      <c r="N491" s="39"/>
    </row>
    <row r="492" spans="2:26" hidden="1" outlineLevel="2" x14ac:dyDescent="0.25">
      <c r="B492" s="17" t="s">
        <v>31</v>
      </c>
      <c r="C492" s="14">
        <f>+[1]Result!$K$30-[15]Result!$K$30</f>
        <v>12109.457855049055</v>
      </c>
      <c r="D492" s="14">
        <f>+[5]Result!$K$30-[1]Result!$K$30</f>
        <v>-14444.757731211139</v>
      </c>
      <c r="E492" s="36">
        <f>+[6]Result!$K$30-[5]Result!$K$30</f>
        <v>73800.916880300385</v>
      </c>
      <c r="F492" s="14">
        <f>+[7]Result!$K$30-[6]Result!$K$30</f>
        <v>-17203.640476209461</v>
      </c>
      <c r="G492" s="14">
        <f>+[8]Result!$K$30-[7]Result!$K$30</f>
        <v>17290.047564658918</v>
      </c>
      <c r="H492" s="36">
        <f>+[9]Result!$K$30-[8]Result!$K$30</f>
        <v>23657.482216961915</v>
      </c>
      <c r="I492" s="14">
        <f>+[10]Result!$K$30-[9]Result!$K$30</f>
        <v>8446.932898859377</v>
      </c>
      <c r="J492" s="14">
        <f>+[11]Result!$K$30-[10]Result!$K$30</f>
        <v>8727.2148718648823</v>
      </c>
      <c r="K492" s="36">
        <f>+[12]Result!$K$30-[11]Result!$K$30</f>
        <v>-46790.724790202337</v>
      </c>
      <c r="L492" s="14">
        <f>+[13]Result!$K$30-[12]Result!$K$30</f>
        <v>-169.28483918739948</v>
      </c>
      <c r="M492" s="14">
        <f>+[14]Result!$K$30-[13]Result!$K$30</f>
        <v>19756.887938412023</v>
      </c>
      <c r="N492" s="39"/>
    </row>
    <row r="493" spans="2:26" hidden="1" outlineLevel="2" x14ac:dyDescent="0.25">
      <c r="B493" s="17" t="s">
        <v>32</v>
      </c>
      <c r="C493" s="14">
        <f>+[1]Result!$K$31-[15]Result!$K$31</f>
        <v>9500.7427487205714</v>
      </c>
      <c r="D493" s="14">
        <f>+[5]Result!$K$31-[1]Result!$K$31</f>
        <v>-11628.865435460932</v>
      </c>
      <c r="E493" s="36">
        <f>+[6]Result!$K$31-[5]Result!$K$31</f>
        <v>52996.434219582065</v>
      </c>
      <c r="F493" s="14">
        <f>+[7]Result!$K$31-[6]Result!$K$31</f>
        <v>-12980.440069515724</v>
      </c>
      <c r="G493" s="14">
        <f>+[8]Result!$K$31-[7]Result!$K$31</f>
        <v>13580.385004281008</v>
      </c>
      <c r="H493" s="36">
        <f>+[9]Result!$K$31-[8]Result!$K$31</f>
        <v>18298.637568520207</v>
      </c>
      <c r="I493" s="14">
        <f>+[10]Result!$K$31-[9]Result!$K$31</f>
        <v>6532.1454171479563</v>
      </c>
      <c r="J493" s="14">
        <f>+[11]Result!$K$31-[10]Result!$K$31</f>
        <v>6814.6982906042249</v>
      </c>
      <c r="K493" s="36">
        <f>+[12]Result!$K$31-[11]Result!$K$31</f>
        <v>-45203.294969741022</v>
      </c>
      <c r="L493" s="14">
        <f>+[13]Result!$K$31-[12]Result!$K$31</f>
        <v>-204.36158929404337</v>
      </c>
      <c r="M493" s="14">
        <f>+[14]Result!$K$31-[13]Result!$K$31</f>
        <v>15722.705608174554</v>
      </c>
      <c r="N493" s="39"/>
    </row>
    <row r="494" spans="2:26" hidden="1" outlineLevel="2" x14ac:dyDescent="0.25">
      <c r="B494" s="17" t="s">
        <v>33</v>
      </c>
      <c r="C494" s="14">
        <f>+[1]Result!$K$32-[15]Result!$K$32</f>
        <v>6971.3518062524963</v>
      </c>
      <c r="D494" s="14">
        <f>+[5]Result!$K$32-[1]Result!$K$32</f>
        <v>-8775.5828506725957</v>
      </c>
      <c r="E494" s="36">
        <f>+[6]Result!$K$32-[5]Result!$K$32</f>
        <v>35758.454573903466</v>
      </c>
      <c r="F494" s="14">
        <f>+[7]Result!$K$32-[6]Result!$K$32</f>
        <v>-9287.6202280115685</v>
      </c>
      <c r="G494" s="14">
        <f>+[8]Result!$K$32-[7]Result!$K$32</f>
        <v>10084.862141913443</v>
      </c>
      <c r="H494" s="36">
        <f>+[9]Result!$K$32-[8]Result!$K$32</f>
        <v>12369.216818289366</v>
      </c>
      <c r="I494" s="14">
        <f>+[10]Result!$K$32-[9]Result!$K$32</f>
        <v>4813.9157545322087</v>
      </c>
      <c r="J494" s="14">
        <f>+[11]Result!$K$32-[10]Result!$K$32</f>
        <v>5120.2607194787706</v>
      </c>
      <c r="K494" s="36">
        <f>+[12]Result!$K$32-[11]Result!$K$32</f>
        <v>-50239.978265264421</v>
      </c>
      <c r="L494" s="14">
        <f>+[13]Result!$K$32-[12]Result!$K$32</f>
        <v>-106.11284994729795</v>
      </c>
      <c r="M494" s="14">
        <f>+[14]Result!$K$32-[13]Result!$K$32</f>
        <v>12138.54946406855</v>
      </c>
      <c r="N494" s="39"/>
    </row>
    <row r="495" spans="2:26" hidden="1" outlineLevel="2" x14ac:dyDescent="0.25">
      <c r="B495" s="17" t="s">
        <v>34</v>
      </c>
      <c r="C495" s="14">
        <f>+[1]Result!$K$33-[15]Result!$K$33</f>
        <v>5181.4804763528518</v>
      </c>
      <c r="D495" s="14">
        <f>+[5]Result!$K$33-[1]Result!$K$33</f>
        <v>-6574.0563138023135</v>
      </c>
      <c r="E495" s="36">
        <f>+[6]Result!$K$33-[5]Result!$K$33</f>
        <v>2739.2450622351025</v>
      </c>
      <c r="F495" s="14">
        <f>+[7]Result!$K$33-[6]Result!$K$33</f>
        <v>-7275.4614333310747</v>
      </c>
      <c r="G495" s="14">
        <f>+[8]Result!$K$33-[7]Result!$K$33</f>
        <v>8045.7735756851034</v>
      </c>
      <c r="H495" s="36">
        <f>+[9]Result!$K$33-[8]Result!$K$33</f>
        <v>-18034.763795707724</v>
      </c>
      <c r="I495" s="14">
        <f>+[10]Result!$K$33-[9]Result!$K$33</f>
        <v>4263.6628680931171</v>
      </c>
      <c r="J495" s="14">
        <f>+[11]Result!$K$33-[10]Result!$K$33</f>
        <v>4577.5160472871503</v>
      </c>
      <c r="K495" s="36">
        <f>+[12]Result!$K$33-[11]Result!$K$33</f>
        <v>-49717.568934497773</v>
      </c>
      <c r="L495" s="14">
        <f>+[13]Result!$K$33-[12]Result!$K$33</f>
        <v>0</v>
      </c>
      <c r="M495" s="14">
        <f>+[14]Result!$K$33-[13]Result!$K$33</f>
        <v>10855.937542176573</v>
      </c>
      <c r="N495" s="39"/>
    </row>
    <row r="496" spans="2:26" hidden="1" outlineLevel="2" x14ac:dyDescent="0.25">
      <c r="B496" s="17" t="s">
        <v>35</v>
      </c>
      <c r="C496" s="14">
        <f>+[1]Result!$K$34-[15]Result!$K$34</f>
        <v>5457.3997319192276</v>
      </c>
      <c r="D496" s="14">
        <f>+[5]Result!$K$34-[1]Result!$K$34</f>
        <v>-6980.0929319713614</v>
      </c>
      <c r="E496" s="36">
        <f>+[6]Result!$K$34-[5]Result!$K$34</f>
        <v>4312.6671503674588</v>
      </c>
      <c r="F496" s="14">
        <f>+[7]Result!$K$34-[6]Result!$K$34</f>
        <v>-7384.4176818742417</v>
      </c>
      <c r="G496" s="14">
        <f>+[8]Result!$K$34-[7]Result!$K$34</f>
        <v>8370.0024358846131</v>
      </c>
      <c r="H496" s="36">
        <f>+[9]Result!$K$34-[8]Result!$K$34</f>
        <v>-16269.959466341184</v>
      </c>
      <c r="I496" s="14">
        <f>+[10]Result!$K$34-[9]Result!$K$34</f>
        <v>4382.2387874587439</v>
      </c>
      <c r="J496" s="14">
        <f>+[11]Result!$K$34-[10]Result!$K$34</f>
        <v>4756.1979217206826</v>
      </c>
      <c r="K496" s="36">
        <f>+[12]Result!$K$34-[11]Result!$K$34</f>
        <v>-3629.5044700092985</v>
      </c>
      <c r="L496" s="14">
        <f>+[13]Result!$K$34-[12]Result!$K$34</f>
        <v>0</v>
      </c>
      <c r="M496" s="14">
        <f>+[14]Result!$K$34-[13]Result!$K$34</f>
        <v>9740.4711090241326</v>
      </c>
      <c r="N496" s="39"/>
    </row>
    <row r="497" spans="2:26" hidden="1" outlineLevel="1" collapsed="1" x14ac:dyDescent="0.25">
      <c r="B497" s="16" t="s">
        <v>36</v>
      </c>
      <c r="C497" s="14">
        <f>+'[1]Stat by Mat'!$M$7-'[15]Stat by Mat'!$M$7</f>
        <v>10338.988347766339</v>
      </c>
      <c r="D497" s="14">
        <f>+'[5]Stat by Mat'!$M$7-'[1]Stat by Mat'!$M$7</f>
        <v>-13599.653718880378</v>
      </c>
      <c r="E497" s="36">
        <f>+'[6]Stat by Mat'!$M$7-'[5]Stat by Mat'!$M$7</f>
        <v>17270.489261775161</v>
      </c>
      <c r="F497" s="14">
        <f>+'[7]Stat by Mat'!$M$7-'[6]Stat by Mat'!$M$7</f>
        <v>-12952.796904878574</v>
      </c>
      <c r="G497" s="14">
        <f>+'[8]Stat by Mat'!$M$7-'[7]Stat by Mat'!$M$7</f>
        <v>15531.086410807096</v>
      </c>
      <c r="H497" s="36">
        <f>+'[9]Stat by Mat'!$M$7-'[8]Stat by Mat'!$M$7</f>
        <v>-13158.723082025419</v>
      </c>
      <c r="I497" s="14">
        <f>+'[10]Stat by Mat'!$M$7-'[9]Stat by Mat'!$M$7</f>
        <v>7669.7416181543376</v>
      </c>
      <c r="J497" s="14">
        <f>+'[11]Stat by Mat'!$M$7-'[10]Stat by Mat'!$M$7</f>
        <v>8803.6072091500973</v>
      </c>
      <c r="K497" s="36">
        <f>+'[12]Stat by Mat'!$M$7-'[11]Stat by Mat'!$M$7</f>
        <v>-22109.92605529225</v>
      </c>
      <c r="L497" s="14">
        <f>+'[13]Stat by Mat'!$M$7-'[12]Stat by Mat'!$M$7</f>
        <v>128.18014119064901</v>
      </c>
      <c r="M497" s="14">
        <f>+'[14]Stat by Mat'!$M$7-'[13]Stat by Mat'!$M$7</f>
        <v>18212.745299290633</v>
      </c>
      <c r="N497" s="39"/>
      <c r="O497" s="14">
        <f>+C497-SUM(C498:C517)</f>
        <v>1.6370904631912708E-11</v>
      </c>
      <c r="P497" s="14">
        <f t="shared" ref="P497:R497" si="162">+D497-SUM(D498:D517)</f>
        <v>4.0017766878008842E-11</v>
      </c>
      <c r="Q497" s="14">
        <f t="shared" si="162"/>
        <v>-1.127773430198431E-10</v>
      </c>
      <c r="R497" s="14">
        <f t="shared" si="162"/>
        <v>6.9121597334742546E-11</v>
      </c>
      <c r="S497" s="14">
        <f t="shared" ref="S497" si="163">+G497-SUM(G498:G517)</f>
        <v>-7.0940586738288403E-11</v>
      </c>
      <c r="T497" s="14">
        <f t="shared" ref="T497:Z497" si="164">+H497-SUM(H498:H517)</f>
        <v>3.4560798667371273E-11</v>
      </c>
      <c r="U497" s="14">
        <f t="shared" si="164"/>
        <v>7.0940586738288403E-11</v>
      </c>
      <c r="V497" s="14">
        <f t="shared" si="164"/>
        <v>-3.2741809263825417E-11</v>
      </c>
      <c r="W497" s="14">
        <f t="shared" si="164"/>
        <v>-8.0035533756017685E-11</v>
      </c>
      <c r="X497" s="14">
        <f t="shared" si="164"/>
        <v>1.5364776118076406E-10</v>
      </c>
      <c r="Y497" s="14">
        <f t="shared" si="164"/>
        <v>0</v>
      </c>
      <c r="Z497" s="14">
        <f t="shared" si="164"/>
        <v>0</v>
      </c>
    </row>
    <row r="498" spans="2:26" hidden="1" outlineLevel="2" x14ac:dyDescent="0.25">
      <c r="B498" s="17" t="s">
        <v>37</v>
      </c>
      <c r="C498" s="14">
        <f>+[1]Result!$K$35-[15]Result!$K$35</f>
        <v>3090.9837853585195</v>
      </c>
      <c r="D498" s="14">
        <f>+[5]Result!$K$35-[1]Result!$K$35</f>
        <v>-3992.3726789651846</v>
      </c>
      <c r="E498" s="36">
        <f>+[6]Result!$K$35-[5]Result!$K$35</f>
        <v>3864.7645029760315</v>
      </c>
      <c r="F498" s="14">
        <f>+[7]Result!$K$35-[6]Result!$K$35</f>
        <v>-4040.0874897149042</v>
      </c>
      <c r="G498" s="14">
        <f>+[8]Result!$K$35-[7]Result!$K$35</f>
        <v>4699.7196648576646</v>
      </c>
      <c r="H498" s="36">
        <f>+[9]Result!$K$35-[8]Result!$K$35</f>
        <v>-5470.7536020306288</v>
      </c>
      <c r="I498" s="14">
        <f>+[10]Result!$K$35-[9]Result!$K$35</f>
        <v>2373.209532404464</v>
      </c>
      <c r="J498" s="14">
        <f>+[11]Result!$K$35-[10]Result!$K$35</f>
        <v>2631.6896973676921</v>
      </c>
      <c r="K498" s="36">
        <f>+[12]Result!$K$35-[11]Result!$K$35</f>
        <v>-3207.613644140074</v>
      </c>
      <c r="L498" s="14">
        <f>+[13]Result!$K$35-[12]Result!$K$35</f>
        <v>0</v>
      </c>
      <c r="M498" s="14">
        <f>+[14]Result!$K$35-[13]Result!$K$35</f>
        <v>5405.1913054400356</v>
      </c>
      <c r="N498" s="39"/>
    </row>
    <row r="499" spans="2:26" hidden="1" outlineLevel="2" x14ac:dyDescent="0.25">
      <c r="B499" s="17" t="s">
        <v>38</v>
      </c>
      <c r="C499" s="14">
        <f>+[1]Result!$K$36-[15]Result!$K$36</f>
        <v>1871.1072263035312</v>
      </c>
      <c r="D499" s="14">
        <f>+[5]Result!$K$36-[1]Result!$K$36</f>
        <v>-2441.2807259197143</v>
      </c>
      <c r="E499" s="36">
        <f>+[6]Result!$K$36-[5]Result!$K$36</f>
        <v>3725.2785120297194</v>
      </c>
      <c r="F499" s="14">
        <f>+[7]Result!$K$36-[6]Result!$K$36</f>
        <v>-2360.109729612057</v>
      </c>
      <c r="G499" s="14">
        <f>+[8]Result!$K$36-[7]Result!$K$36</f>
        <v>2789.7289658417139</v>
      </c>
      <c r="H499" s="36">
        <f>+[9]Result!$K$36-[8]Result!$K$36</f>
        <v>-1607.5941627591965</v>
      </c>
      <c r="I499" s="14">
        <f>+[10]Result!$K$36-[9]Result!$K$36</f>
        <v>1385.5916269324662</v>
      </c>
      <c r="J499" s="14">
        <f>+[11]Result!$K$36-[10]Result!$K$36</f>
        <v>1554.5395263569226</v>
      </c>
      <c r="K499" s="36">
        <f>+[12]Result!$K$36-[11]Result!$K$36</f>
        <v>-4493.1045904679049</v>
      </c>
      <c r="L499" s="14">
        <f>+[13]Result!$K$36-[12]Result!$K$36</f>
        <v>15.29341670863505</v>
      </c>
      <c r="M499" s="14">
        <f>+[14]Result!$K$36-[13]Result!$K$36</f>
        <v>3249.4664633929497</v>
      </c>
      <c r="N499" s="39"/>
    </row>
    <row r="500" spans="2:26" hidden="1" outlineLevel="2" x14ac:dyDescent="0.25">
      <c r="B500" s="17" t="s">
        <v>39</v>
      </c>
      <c r="C500" s="14">
        <f>+[1]Result!$K$37-[15]Result!$K$37</f>
        <v>1310.0745486598316</v>
      </c>
      <c r="D500" s="14">
        <f>+[5]Result!$K$37-[1]Result!$K$37</f>
        <v>-1730.3801284155052</v>
      </c>
      <c r="E500" s="36">
        <f>+[6]Result!$K$37-[5]Result!$K$37</f>
        <v>2292.9120409290772</v>
      </c>
      <c r="F500" s="14">
        <f>+[7]Result!$K$37-[6]Result!$K$37</f>
        <v>-1636.9582144247106</v>
      </c>
      <c r="G500" s="14">
        <f>+[8]Result!$K$37-[7]Result!$K$37</f>
        <v>1968.0929621021642</v>
      </c>
      <c r="H500" s="36">
        <f>+[9]Result!$K$37-[8]Result!$K$37</f>
        <v>-1094.9409068355017</v>
      </c>
      <c r="I500" s="14">
        <f>+[10]Result!$K$37-[9]Result!$K$37</f>
        <v>966.23295919377415</v>
      </c>
      <c r="J500" s="14">
        <f>+[11]Result!$K$37-[10]Result!$K$37</f>
        <v>1109.4431522200757</v>
      </c>
      <c r="K500" s="36">
        <f>+[12]Result!$K$37-[11]Result!$K$37</f>
        <v>-5457.8776282480685</v>
      </c>
      <c r="L500" s="14">
        <f>+[13]Result!$K$37-[12]Result!$K$37</f>
        <v>22.687684875258128</v>
      </c>
      <c r="M500" s="14">
        <f>+[14]Result!$K$37-[13]Result!$K$37</f>
        <v>2374.1244785891904</v>
      </c>
      <c r="N500" s="39"/>
    </row>
    <row r="501" spans="2:26" hidden="1" outlineLevel="2" x14ac:dyDescent="0.25">
      <c r="B501" s="17" t="s">
        <v>40</v>
      </c>
      <c r="C501" s="14">
        <f>+[1]Result!$K$38-[15]Result!$K$38</f>
        <v>1075.793272895251</v>
      </c>
      <c r="D501" s="14">
        <f>+[5]Result!$K$38-[1]Result!$K$38</f>
        <v>-1429.819141939879</v>
      </c>
      <c r="E501" s="36">
        <f>+[6]Result!$K$38-[5]Result!$K$38</f>
        <v>1483.0365898558593</v>
      </c>
      <c r="F501" s="14">
        <f>+[7]Result!$K$38-[6]Result!$K$38</f>
        <v>-1352.1692318692731</v>
      </c>
      <c r="G501" s="14">
        <f>+[8]Result!$K$38-[7]Result!$K$38</f>
        <v>1642.0944043749332</v>
      </c>
      <c r="H501" s="36">
        <f>+[9]Result!$K$38-[8]Result!$K$38</f>
        <v>-1102.5513341718251</v>
      </c>
      <c r="I501" s="14">
        <f>+[10]Result!$K$38-[9]Result!$K$38</f>
        <v>786.02539767209237</v>
      </c>
      <c r="J501" s="14">
        <f>+[11]Result!$K$38-[10]Result!$K$38</f>
        <v>935.47926721804834</v>
      </c>
      <c r="K501" s="36">
        <f>+[12]Result!$K$38-[11]Result!$K$38</f>
        <v>-2640.132599163866</v>
      </c>
      <c r="L501" s="14">
        <f>+[13]Result!$K$38-[12]Result!$K$38</f>
        <v>18.698055298285908</v>
      </c>
      <c r="M501" s="14">
        <f>+[14]Result!$K$38-[13]Result!$K$38</f>
        <v>1928.538954134754</v>
      </c>
      <c r="N501" s="39"/>
    </row>
    <row r="502" spans="2:26" hidden="1" outlineLevel="2" x14ac:dyDescent="0.25">
      <c r="B502" s="17" t="s">
        <v>41</v>
      </c>
      <c r="C502" s="14">
        <f>+[1]Result!$K$39-[15]Result!$K$39</f>
        <v>881.57543673021428</v>
      </c>
      <c r="D502" s="14">
        <f>+[5]Result!$K$39-[1]Result!$K$39</f>
        <v>-1174.2660006473816</v>
      </c>
      <c r="E502" s="36">
        <f>+[6]Result!$K$39-[5]Result!$K$39</f>
        <v>2344.5951732710382</v>
      </c>
      <c r="F502" s="14">
        <f>+[7]Result!$K$39-[6]Result!$K$39</f>
        <v>-1059.3549872130025</v>
      </c>
      <c r="G502" s="14">
        <f>+[8]Result!$K$39-[7]Result!$K$39</f>
        <v>1292.837248182761</v>
      </c>
      <c r="H502" s="36">
        <f>+[9]Result!$K$39-[8]Result!$K$39</f>
        <v>-331.37505186838825</v>
      </c>
      <c r="I502" s="14">
        <f>+[10]Result!$K$39-[9]Result!$K$39</f>
        <v>610.78156408851646</v>
      </c>
      <c r="J502" s="14">
        <f>+[11]Result!$K$39-[10]Result!$K$39</f>
        <v>729.74635536880669</v>
      </c>
      <c r="K502" s="36">
        <f>+[12]Result!$K$39-[11]Result!$K$39</f>
        <v>-1150.8873733696601</v>
      </c>
      <c r="L502" s="14">
        <f>+[13]Result!$K$39-[12]Result!$K$39</f>
        <v>14.571430567732023</v>
      </c>
      <c r="M502" s="14">
        <f>+[14]Result!$K$39-[13]Result!$K$39</f>
        <v>1474.045074795642</v>
      </c>
      <c r="N502" s="39"/>
    </row>
    <row r="503" spans="2:26" hidden="1" outlineLevel="2" x14ac:dyDescent="0.25">
      <c r="B503" s="17" t="s">
        <v>42</v>
      </c>
      <c r="C503" s="14">
        <f>+[1]Result!$K$40-[15]Result!$K$40</f>
        <v>604.36967550916233</v>
      </c>
      <c r="D503" s="14">
        <f>+[5]Result!$K$40-[1]Result!$K$40</f>
        <v>-808.59347121689279</v>
      </c>
      <c r="E503" s="36">
        <f>+[6]Result!$K$40-[5]Result!$K$40</f>
        <v>1364.5298062639413</v>
      </c>
      <c r="F503" s="14">
        <f>+[7]Result!$K$40-[6]Result!$K$40</f>
        <v>-718.84904703732172</v>
      </c>
      <c r="G503" s="14">
        <f>+[8]Result!$K$40-[7]Result!$K$40</f>
        <v>888.15000807587785</v>
      </c>
      <c r="H503" s="36">
        <f>+[9]Result!$K$40-[8]Result!$K$40</f>
        <v>-605.21334704544279</v>
      </c>
      <c r="I503" s="14">
        <f>+[10]Result!$K$40-[9]Result!$K$40</f>
        <v>434.77726604967393</v>
      </c>
      <c r="J503" s="14">
        <f>+[11]Result!$K$40-[10]Result!$K$40</f>
        <v>509.15593870045268</v>
      </c>
      <c r="K503" s="36">
        <f>+[12]Result!$K$40-[11]Result!$K$40</f>
        <v>-1688.3772308212865</v>
      </c>
      <c r="L503" s="14">
        <f>+[13]Result!$K$40-[12]Result!$K$40</f>
        <v>16.026211281245196</v>
      </c>
      <c r="M503" s="14">
        <f>+[14]Result!$K$40-[13]Result!$K$40</f>
        <v>1058.9441034769879</v>
      </c>
      <c r="N503" s="39"/>
    </row>
    <row r="504" spans="2:26" hidden="1" outlineLevel="2" x14ac:dyDescent="0.25">
      <c r="B504" s="17" t="s">
        <v>43</v>
      </c>
      <c r="C504" s="14">
        <f>+[1]Result!$K$41-[15]Result!$K$41</f>
        <v>438.78804809581925</v>
      </c>
      <c r="D504" s="14">
        <f>+[5]Result!$K$41-[1]Result!$K$41</f>
        <v>-585.73775281453345</v>
      </c>
      <c r="E504" s="36">
        <f>+[6]Result!$K$41-[5]Result!$K$41</f>
        <v>636.34425416940212</v>
      </c>
      <c r="F504" s="14">
        <f>+[7]Result!$K$41-[6]Result!$K$41</f>
        <v>-524.23175948801872</v>
      </c>
      <c r="G504" s="14">
        <f>+[8]Result!$K$41-[7]Result!$K$41</f>
        <v>655.20761035619944</v>
      </c>
      <c r="H504" s="36">
        <f>+[9]Result!$K$41-[8]Result!$K$41</f>
        <v>-668.58980732076088</v>
      </c>
      <c r="I504" s="14">
        <f>+[10]Result!$K$41-[9]Result!$K$41</f>
        <v>321.94018275290728</v>
      </c>
      <c r="J504" s="14">
        <f>+[11]Result!$K$41-[10]Result!$K$41</f>
        <v>382.29111027554973</v>
      </c>
      <c r="K504" s="36">
        <f>+[12]Result!$K$41-[11]Result!$K$41</f>
        <v>-1976.2582763250757</v>
      </c>
      <c r="L504" s="14">
        <f>+[13]Result!$K$41-[12]Result!$K$41</f>
        <v>12.531546675319987</v>
      </c>
      <c r="M504" s="14">
        <f>+[14]Result!$K$41-[13]Result!$K$41</f>
        <v>816.39922367756299</v>
      </c>
      <c r="N504" s="39"/>
    </row>
    <row r="505" spans="2:26" hidden="1" outlineLevel="2" x14ac:dyDescent="0.25">
      <c r="B505" s="17" t="s">
        <v>44</v>
      </c>
      <c r="C505" s="14">
        <f>+[1]Result!$K$42-[15]Result!$K$42</f>
        <v>337.91152642390443</v>
      </c>
      <c r="D505" s="14">
        <f>+[5]Result!$K$42-[1]Result!$K$42</f>
        <v>-453.16708359697805</v>
      </c>
      <c r="E505" s="36">
        <f>+[6]Result!$K$42-[5]Result!$K$42</f>
        <v>42.628324760506075</v>
      </c>
      <c r="F505" s="14">
        <f>+[7]Result!$K$42-[6]Result!$K$42</f>
        <v>-409.61577031874913</v>
      </c>
      <c r="G505" s="14">
        <f>+[8]Result!$K$42-[7]Result!$K$42</f>
        <v>515.10068339941063</v>
      </c>
      <c r="H505" s="36">
        <f>+[9]Result!$K$42-[8]Result!$K$42</f>
        <v>-804.00158328935868</v>
      </c>
      <c r="I505" s="14">
        <f>+[10]Result!$K$42-[9]Result!$K$42</f>
        <v>257.02629798824637</v>
      </c>
      <c r="J505" s="14">
        <f>+[11]Result!$K$42-[10]Result!$K$42</f>
        <v>306.4898135667172</v>
      </c>
      <c r="K505" s="36">
        <f>+[12]Result!$K$42-[11]Result!$K$42</f>
        <v>-2105.0211137416445</v>
      </c>
      <c r="L505" s="14">
        <f>+[13]Result!$K$42-[12]Result!$K$42</f>
        <v>10.552847831648251</v>
      </c>
      <c r="M505" s="14">
        <f>+[14]Result!$K$42-[13]Result!$K$42</f>
        <v>676.49628370534265</v>
      </c>
      <c r="N505" s="39"/>
    </row>
    <row r="506" spans="2:26" hidden="1" outlineLevel="2" x14ac:dyDescent="0.25">
      <c r="B506" s="17" t="s">
        <v>45</v>
      </c>
      <c r="C506" s="14">
        <f>+[1]Result!$K$43-[15]Result!$K$43</f>
        <v>301.08803909068956</v>
      </c>
      <c r="D506" s="14">
        <f>+[5]Result!$K$43-[1]Result!$K$43</f>
        <v>-406.66264899487942</v>
      </c>
      <c r="E506" s="36">
        <f>+[6]Result!$K$43-[5]Result!$K$43</f>
        <v>-55.897406295811379</v>
      </c>
      <c r="F506" s="14">
        <f>+[7]Result!$K$43-[6]Result!$K$43</f>
        <v>-368.91281654507839</v>
      </c>
      <c r="G506" s="14">
        <f>+[8]Result!$K$43-[7]Result!$K$43</f>
        <v>466.14784753916319</v>
      </c>
      <c r="H506" s="36">
        <f>+[9]Result!$K$43-[8]Result!$K$43</f>
        <v>-458.89757550930335</v>
      </c>
      <c r="I506" s="14">
        <f>+[10]Result!$K$43-[9]Result!$K$43</f>
        <v>230.03864242337477</v>
      </c>
      <c r="J506" s="14">
        <f>+[11]Result!$K$43-[10]Result!$K$43</f>
        <v>274.85585037120472</v>
      </c>
      <c r="K506" s="36">
        <f>+[12]Result!$K$43-[11]Result!$K$43</f>
        <v>-567.80562591425223</v>
      </c>
      <c r="L506" s="14">
        <f>+[13]Result!$K$43-[12]Result!$K$43</f>
        <v>8.8282135482804733</v>
      </c>
      <c r="M506" s="14">
        <f>+[14]Result!$K$43-[13]Result!$K$43</f>
        <v>554.5740104660199</v>
      </c>
      <c r="N506" s="39"/>
    </row>
    <row r="507" spans="2:26" hidden="1" outlineLevel="2" x14ac:dyDescent="0.25">
      <c r="B507" s="17" t="s">
        <v>46</v>
      </c>
      <c r="C507" s="14">
        <f>+[1]Result!$K$44-[15]Result!$K$44</f>
        <v>242.45957858192196</v>
      </c>
      <c r="D507" s="14">
        <f>+[5]Result!$K$44-[1]Result!$K$44</f>
        <v>-326.76035691726793</v>
      </c>
      <c r="E507" s="36">
        <f>+[6]Result!$K$44-[5]Result!$K$44</f>
        <v>1038.4856711996854</v>
      </c>
      <c r="F507" s="14">
        <f>+[7]Result!$K$44-[6]Result!$K$44</f>
        <v>-271.49269909722716</v>
      </c>
      <c r="G507" s="14">
        <f>+[8]Result!$K$44-[7]Result!$K$44</f>
        <v>344.18106185936267</v>
      </c>
      <c r="H507" s="36">
        <f>+[9]Result!$K$44-[8]Result!$K$44</f>
        <v>-559.01477698178314</v>
      </c>
      <c r="I507" s="14">
        <f>+[10]Result!$K$44-[9]Result!$K$44</f>
        <v>170.92313513084082</v>
      </c>
      <c r="J507" s="14">
        <f>+[11]Result!$K$44-[10]Result!$K$44</f>
        <v>207.31749518411561</v>
      </c>
      <c r="K507" s="36">
        <f>+[12]Result!$K$44-[11]Result!$K$44</f>
        <v>688.6405281686657</v>
      </c>
      <c r="L507" s="14">
        <f>+[13]Result!$K$44-[12]Result!$K$44</f>
        <v>4.0574642783612944</v>
      </c>
      <c r="M507" s="14">
        <f>+[14]Result!$K$44-[13]Result!$K$44</f>
        <v>376.2688727803943</v>
      </c>
      <c r="N507" s="39"/>
    </row>
    <row r="508" spans="2:26" hidden="1" outlineLevel="2" x14ac:dyDescent="0.25">
      <c r="B508" s="17" t="s">
        <v>47</v>
      </c>
      <c r="C508" s="14">
        <f>+[1]Result!$K$45-[15]Result!$K$45</f>
        <v>97.881579731823877</v>
      </c>
      <c r="D508" s="14">
        <f>+[5]Result!$K$45-[1]Result!$K$45</f>
        <v>-132.57956565553286</v>
      </c>
      <c r="E508" s="36">
        <f>+[6]Result!$K$45-[5]Result!$K$45</f>
        <v>330.43270798344111</v>
      </c>
      <c r="F508" s="14">
        <f>+[7]Result!$K$45-[6]Result!$K$45</f>
        <v>-111.19887189677593</v>
      </c>
      <c r="G508" s="14">
        <f>+[8]Result!$K$45-[7]Result!$K$45</f>
        <v>141.70032850458119</v>
      </c>
      <c r="H508" s="36">
        <f>+[9]Result!$K$45-[8]Result!$K$45</f>
        <v>-252.26792686268345</v>
      </c>
      <c r="I508" s="14">
        <f>+[10]Result!$K$45-[9]Result!$K$45</f>
        <v>70.203030208183009</v>
      </c>
      <c r="J508" s="14">
        <f>+[11]Result!$K$45-[10]Result!$K$45</f>
        <v>85.580212317386213</v>
      </c>
      <c r="K508" s="36">
        <f>+[12]Result!$K$45-[11]Result!$K$45</f>
        <v>295.23574693215051</v>
      </c>
      <c r="L508" s="14">
        <f>+[13]Result!$K$45-[12]Result!$K$45</f>
        <v>2.5587635935253275</v>
      </c>
      <c r="M508" s="14">
        <f>+[14]Result!$K$45-[13]Result!$K$45</f>
        <v>155.64889178279827</v>
      </c>
      <c r="N508" s="39"/>
    </row>
    <row r="509" spans="2:26" hidden="1" outlineLevel="2" x14ac:dyDescent="0.25">
      <c r="B509" s="17" t="s">
        <v>48</v>
      </c>
      <c r="C509" s="14">
        <f>+[1]Result!$K$46-[15]Result!$K$46</f>
        <v>40.359426387087979</v>
      </c>
      <c r="D509" s="14">
        <f>+[5]Result!$K$46-[1]Result!$K$46</f>
        <v>-54.951593311653596</v>
      </c>
      <c r="E509" s="36">
        <f>+[6]Result!$K$46-[5]Result!$K$46</f>
        <v>108.80005066540957</v>
      </c>
      <c r="F509" s="14">
        <f>+[7]Result!$K$46-[6]Result!$K$46</f>
        <v>-46.276998792455743</v>
      </c>
      <c r="G509" s="14">
        <f>+[8]Result!$K$46-[7]Result!$K$46</f>
        <v>59.289696888170511</v>
      </c>
      <c r="H509" s="36">
        <f>+[9]Result!$K$46-[8]Result!$K$46</f>
        <v>-106.28433355167272</v>
      </c>
      <c r="I509" s="14">
        <f>+[10]Result!$K$46-[9]Result!$K$46</f>
        <v>29.169030164999867</v>
      </c>
      <c r="J509" s="14">
        <f>+[11]Result!$K$46-[10]Result!$K$46</f>
        <v>35.746938502988087</v>
      </c>
      <c r="K509" s="36">
        <f>+[12]Result!$K$46-[11]Result!$K$46</f>
        <v>98.639868441686986</v>
      </c>
      <c r="L509" s="14">
        <f>+[13]Result!$K$46-[12]Result!$K$46</f>
        <v>1.1074121665917573</v>
      </c>
      <c r="M509" s="14">
        <f>+[14]Result!$K$46-[13]Result!$K$46</f>
        <v>65.892112812596224</v>
      </c>
      <c r="N509" s="39"/>
    </row>
    <row r="510" spans="2:26" hidden="1" outlineLevel="2" x14ac:dyDescent="0.25">
      <c r="B510" s="17" t="s">
        <v>49</v>
      </c>
      <c r="C510" s="14">
        <f>+[1]Result!$K$47-[15]Result!$K$47</f>
        <v>20.439390561533514</v>
      </c>
      <c r="D510" s="14">
        <f>+[5]Result!$K$47-[1]Result!$K$47</f>
        <v>-27.769460615169578</v>
      </c>
      <c r="E510" s="36">
        <f>+[6]Result!$K$47-[5]Result!$K$47</f>
        <v>37.178749037195871</v>
      </c>
      <c r="F510" s="14">
        <f>+[7]Result!$K$47-[6]Result!$K$47</f>
        <v>-23.740311642325537</v>
      </c>
      <c r="G510" s="14">
        <f>+[8]Result!$K$47-[7]Result!$K$47</f>
        <v>30.588091470012046</v>
      </c>
      <c r="H510" s="36">
        <f>+[9]Result!$K$47-[8]Result!$K$47</f>
        <v>-44.619767579284712</v>
      </c>
      <c r="I510" s="14">
        <f>+[10]Result!$K$47-[9]Result!$K$47</f>
        <v>14.988902649987381</v>
      </c>
      <c r="J510" s="14">
        <f>+[11]Result!$K$47-[10]Result!$K$47</f>
        <v>18.213610908236546</v>
      </c>
      <c r="K510" s="36">
        <f>+[12]Result!$K$47-[11]Result!$K$47</f>
        <v>39.700769878645019</v>
      </c>
      <c r="L510" s="14">
        <f>+[13]Result!$K$47-[12]Result!$K$47</f>
        <v>0.58312198890087075</v>
      </c>
      <c r="M510" s="14">
        <f>+[14]Result!$K$47-[13]Result!$K$47</f>
        <v>34.138617862218211</v>
      </c>
      <c r="N510" s="39"/>
    </row>
    <row r="511" spans="2:26" hidden="1" outlineLevel="2" x14ac:dyDescent="0.25">
      <c r="B511" s="17" t="s">
        <v>50</v>
      </c>
      <c r="C511" s="14">
        <f>+[1]Result!$K$48-[15]Result!$K$48</f>
        <v>12.189622568963955</v>
      </c>
      <c r="D511" s="14">
        <f>+[5]Result!$K$48-[1]Result!$K$48</f>
        <v>-16.523663835941306</v>
      </c>
      <c r="E511" s="36">
        <f>+[6]Result!$K$48-[5]Result!$K$48</f>
        <v>28.824285859221618</v>
      </c>
      <c r="F511" s="14">
        <f>+[7]Result!$K$48-[6]Result!$K$48</f>
        <v>-13.912238799585339</v>
      </c>
      <c r="G511" s="14">
        <f>+[8]Result!$K$48-[7]Result!$K$48</f>
        <v>17.910971635975898</v>
      </c>
      <c r="H511" s="36">
        <f>+[9]Result!$K$48-[8]Result!$K$48</f>
        <v>-20.92449104655077</v>
      </c>
      <c r="I511" s="14">
        <f>+[10]Result!$K$48-[9]Result!$K$48</f>
        <v>8.8127603108353014</v>
      </c>
      <c r="J511" s="14">
        <f>+[11]Result!$K$48-[10]Result!$K$48</f>
        <v>10.735354229479753</v>
      </c>
      <c r="K511" s="36">
        <f>+[12]Result!$K$48-[11]Result!$K$48</f>
        <v>23.31317455666283</v>
      </c>
      <c r="L511" s="14">
        <f>+[13]Result!$K$48-[12]Result!$K$48</f>
        <v>0.34769794574538082</v>
      </c>
      <c r="M511" s="14">
        <f>+[14]Result!$K$48-[13]Result!$K$48</f>
        <v>20.109508289860401</v>
      </c>
      <c r="N511" s="39"/>
    </row>
    <row r="512" spans="2:26" hidden="1" outlineLevel="2" x14ac:dyDescent="0.25">
      <c r="B512" s="17" t="s">
        <v>51</v>
      </c>
      <c r="C512" s="14">
        <f>+[1]Result!$K$49-[15]Result!$K$49</f>
        <v>6.8733749589180206</v>
      </c>
      <c r="D512" s="14">
        <f>+[5]Result!$K$49-[1]Result!$K$49</f>
        <v>-9.2704044324123061</v>
      </c>
      <c r="E512" s="36">
        <f>+[6]Result!$K$49-[5]Result!$K$49</f>
        <v>12.482428714717969</v>
      </c>
      <c r="F512" s="14">
        <f>+[7]Result!$K$49-[6]Result!$K$49</f>
        <v>-7.8749519718594456</v>
      </c>
      <c r="G512" s="14">
        <f>+[8]Result!$K$49-[7]Result!$K$49</f>
        <v>10.039762183524658</v>
      </c>
      <c r="H512" s="36">
        <f>+[9]Result!$K$49-[8]Result!$K$49</f>
        <v>-14.116029271329694</v>
      </c>
      <c r="I512" s="14">
        <f>+[10]Result!$K$49-[9]Result!$K$49</f>
        <v>4.9713633200749427</v>
      </c>
      <c r="J512" s="14">
        <f>+[11]Result!$K$49-[10]Result!$K$49</f>
        <v>6.0903612708276</v>
      </c>
      <c r="K512" s="36">
        <f>+[12]Result!$K$49-[11]Result!$K$49</f>
        <v>12.483378595100305</v>
      </c>
      <c r="L512" s="14">
        <f>+[13]Result!$K$49-[12]Result!$K$49</f>
        <v>0.13483940826841945</v>
      </c>
      <c r="M512" s="14">
        <f>+[14]Result!$K$49-[13]Result!$K$49</f>
        <v>11.43986463603261</v>
      </c>
      <c r="N512" s="39"/>
    </row>
    <row r="513" spans="2:26" hidden="1" outlineLevel="2" x14ac:dyDescent="0.25">
      <c r="B513" s="17" t="s">
        <v>52</v>
      </c>
      <c r="C513" s="14">
        <f>+[1]Result!$K$50-[15]Result!$K$50</f>
        <v>3.8058066077431647</v>
      </c>
      <c r="D513" s="14">
        <f>+[5]Result!$K$50-[1]Result!$K$50</f>
        <v>-5.1064104033759179</v>
      </c>
      <c r="E513" s="36">
        <f>+[6]Result!$K$50-[5]Result!$K$50</f>
        <v>7.394539182079825</v>
      </c>
      <c r="F513" s="14">
        <f>+[7]Result!$K$50-[6]Result!$K$50</f>
        <v>-4.3135307543250292</v>
      </c>
      <c r="G513" s="14">
        <f>+[8]Result!$K$50-[7]Result!$K$50</f>
        <v>5.5207943202661909</v>
      </c>
      <c r="H513" s="36">
        <f>+[9]Result!$K$50-[8]Result!$K$50</f>
        <v>-7.9244311742387197</v>
      </c>
      <c r="I513" s="14">
        <f>+[10]Result!$K$50-[9]Result!$K$50</f>
        <v>2.6956699115697802</v>
      </c>
      <c r="J513" s="14">
        <f>+[11]Result!$K$50-[10]Result!$K$50</f>
        <v>3.3220419188531594</v>
      </c>
      <c r="K513" s="36">
        <f>+[12]Result!$K$50-[11]Result!$K$50</f>
        <v>8.5706321996956945</v>
      </c>
      <c r="L513" s="14">
        <f>+[13]Result!$K$50-[12]Result!$K$50</f>
        <v>0.11170373298580216</v>
      </c>
      <c r="M513" s="14">
        <f>+[14]Result!$K$50-[13]Result!$K$50</f>
        <v>6.1752058318758145</v>
      </c>
      <c r="N513" s="39"/>
    </row>
    <row r="514" spans="2:26" hidden="1" outlineLevel="2" x14ac:dyDescent="0.25">
      <c r="B514" s="17" t="s">
        <v>53</v>
      </c>
      <c r="C514" s="14">
        <f>+[1]Result!$K$51-[15]Result!$K$51</f>
        <v>1.9780864578763158</v>
      </c>
      <c r="D514" s="14">
        <f>+[5]Result!$K$51-[1]Result!$K$51</f>
        <v>-2.6470558842909782</v>
      </c>
      <c r="E514" s="36">
        <f>+[6]Result!$K$51-[5]Result!$K$51</f>
        <v>3.6225118975883106</v>
      </c>
      <c r="F514" s="14">
        <f>+[7]Result!$K$51-[6]Result!$K$51</f>
        <v>-2.2535553886861948</v>
      </c>
      <c r="G514" s="14">
        <f>+[8]Result!$K$51-[7]Result!$K$51</f>
        <v>2.9166803004777364</v>
      </c>
      <c r="H514" s="36">
        <f>+[9]Result!$K$51-[8]Result!$K$51</f>
        <v>-5.1811608740098904</v>
      </c>
      <c r="I514" s="14">
        <f>+[10]Result!$K$51-[9]Result!$K$51</f>
        <v>1.4282900741397384</v>
      </c>
      <c r="J514" s="14">
        <f>+[11]Result!$K$51-[10]Result!$K$51</f>
        <v>1.7654256704372102</v>
      </c>
      <c r="K514" s="36">
        <f>+[12]Result!$K$51-[11]Result!$K$51</f>
        <v>5.8416318013157991</v>
      </c>
      <c r="L514" s="14">
        <f>+[13]Result!$K$51-[12]Result!$K$51</f>
        <v>5.9244313339888777E-2</v>
      </c>
      <c r="M514" s="14">
        <f>+[14]Result!$K$51-[13]Result!$K$51</f>
        <v>3.2313612675170873</v>
      </c>
      <c r="N514" s="39"/>
    </row>
    <row r="515" spans="2:26" hidden="1" outlineLevel="2" x14ac:dyDescent="0.25">
      <c r="B515" s="17" t="s">
        <v>54</v>
      </c>
      <c r="C515" s="14">
        <f>+[1]Result!$K$52-[15]Result!$K$52</f>
        <v>0.89440027537679612</v>
      </c>
      <c r="D515" s="14">
        <f>+[5]Result!$K$52-[1]Result!$K$52</f>
        <v>-1.203500984998918</v>
      </c>
      <c r="E515" s="36">
        <f>+[6]Result!$K$52-[5]Result!$K$52</f>
        <v>2.9598713746149059</v>
      </c>
      <c r="F515" s="14">
        <f>+[7]Result!$K$52-[6]Result!$K$52</f>
        <v>-0.99893943785238548</v>
      </c>
      <c r="G515" s="14">
        <f>+[8]Result!$K$52-[7]Result!$K$52</f>
        <v>1.2863843810455293</v>
      </c>
      <c r="H515" s="36">
        <f>+[9]Result!$K$52-[8]Result!$K$52</f>
        <v>-3.5770741284249468</v>
      </c>
      <c r="I515" s="14">
        <f>+[10]Result!$K$52-[9]Result!$K$52</f>
        <v>0.64898411123242283</v>
      </c>
      <c r="J515" s="14">
        <f>+[11]Result!$K$52-[10]Result!$K$52</f>
        <v>0.79485279356985217</v>
      </c>
      <c r="K515" s="36">
        <f>+[12]Result!$K$52-[11]Result!$K$52</f>
        <v>3.0412959121838696</v>
      </c>
      <c r="L515" s="14">
        <f>+[13]Result!$K$52-[12]Result!$K$52</f>
        <v>1.8023565421110277E-2</v>
      </c>
      <c r="M515" s="14">
        <f>+[14]Result!$K$52-[13]Result!$K$52</f>
        <v>1.4492801258546706</v>
      </c>
      <c r="N515" s="39"/>
    </row>
    <row r="516" spans="2:26" hidden="1" outlineLevel="2" x14ac:dyDescent="0.25">
      <c r="B516" s="17" t="s">
        <v>55</v>
      </c>
      <c r="C516" s="14">
        <f>+[1]Result!$K$53-[15]Result!$K$53</f>
        <v>0.32977095383297517</v>
      </c>
      <c r="D516" s="14">
        <f>+[5]Result!$K$53-[1]Result!$K$53</f>
        <v>-0.44632356618875413</v>
      </c>
      <c r="E516" s="36">
        <f>+[6]Result!$K$53-[5]Result!$K$53</f>
        <v>1.4806898798763584</v>
      </c>
      <c r="F516" s="14">
        <f>+[7]Result!$K$53-[6]Result!$K$53</f>
        <v>-0.35987586617713951</v>
      </c>
      <c r="G516" s="14">
        <f>+[8]Result!$K$53-[7]Result!$K$53</f>
        <v>0.46200687523521822</v>
      </c>
      <c r="H516" s="36">
        <f>+[9]Result!$K$53-[8]Result!$K$53</f>
        <v>-0.5627617670479097</v>
      </c>
      <c r="I516" s="14">
        <f>+[10]Result!$K$53-[9]Result!$K$53</f>
        <v>0.22026052083148073</v>
      </c>
      <c r="J516" s="14">
        <f>+[11]Result!$K$53-[10]Result!$K$53</f>
        <v>0.27828086616798586</v>
      </c>
      <c r="K516" s="36">
        <f>+[12]Result!$K$53-[11]Result!$K$53</f>
        <v>1.3174184257592341</v>
      </c>
      <c r="L516" s="14">
        <f>+[13]Result!$K$53-[12]Result!$K$53</f>
        <v>9.2596469921364388E-3</v>
      </c>
      <c r="M516" s="14">
        <f>+[14]Result!$K$53-[13]Result!$K$53</f>
        <v>0.48762933219940763</v>
      </c>
      <c r="N516" s="39"/>
    </row>
    <row r="517" spans="2:26" hidden="1" outlineLevel="2" x14ac:dyDescent="0.25">
      <c r="B517" s="17" t="s">
        <v>56</v>
      </c>
      <c r="C517" s="14">
        <f>+[1]Result!$K$54-[15]Result!$K$54</f>
        <v>8.5751614322313152E-2</v>
      </c>
      <c r="D517" s="14">
        <f>+[5]Result!$K$54-[1]Result!$K$54</f>
        <v>-0.11575076263827011</v>
      </c>
      <c r="E517" s="36">
        <f>+[6]Result!$K$54-[5]Result!$K$54</f>
        <v>0.63595802168047832</v>
      </c>
      <c r="F517" s="14">
        <f>+[7]Result!$K$54-[6]Result!$K$54</f>
        <v>-8.5885008258270723E-2</v>
      </c>
      <c r="G517" s="14">
        <f>+[8]Result!$K$54-[7]Result!$K$54</f>
        <v>0.11123765862884927</v>
      </c>
      <c r="H517" s="36">
        <f>+[9]Result!$K$54-[8]Result!$K$54</f>
        <v>-0.33295795802137329</v>
      </c>
      <c r="I517" s="14">
        <f>+[10]Result!$K$54-[9]Result!$K$54</f>
        <v>5.6722246056987835E-2</v>
      </c>
      <c r="J517" s="14">
        <f>+[11]Result!$K$54-[10]Result!$K$54</f>
        <v>7.1924042596084536E-2</v>
      </c>
      <c r="K517" s="36">
        <f>+[12]Result!$K$54-[11]Result!$K$54</f>
        <v>0.36758198779657514</v>
      </c>
      <c r="L517" s="14">
        <f>+[13]Result!$K$54-[12]Result!$K$54</f>
        <v>3.2037639583264443E-3</v>
      </c>
      <c r="M517" s="14">
        <f>+[14]Result!$K$54-[13]Result!$K$54</f>
        <v>0.12405689080280879</v>
      </c>
      <c r="N517" s="39"/>
    </row>
    <row r="518" spans="2:26" collapsed="1" x14ac:dyDescent="0.25">
      <c r="B518" s="13" t="s">
        <v>91</v>
      </c>
      <c r="C518" s="14">
        <f>+SUM([1]Result!$L$5:$L$54)-SUM([15]Result!$L$5:$L$54)</f>
        <v>-682302.5352842994</v>
      </c>
      <c r="D518" s="14">
        <f>+SUM([5]Result!$L$5:$L$54)-SUM([1]Result!$L$5:$L$54)</f>
        <v>1355800.2109149434</v>
      </c>
      <c r="E518" s="36">
        <f>+SUM([6]Result!$L$5:$L$54)-SUM([5]Result!$L$5:$L$54)</f>
        <v>-2196287.4842988625</v>
      </c>
      <c r="F518" s="14">
        <f>+SUM([7]Result!$L$5:$L$54)-SUM([6]Result!$L$5:$L$54)</f>
        <v>3060547.6009540781</v>
      </c>
      <c r="G518" s="14">
        <f>+SUM([8]Result!$L$5:$L$54)-SUM([7]Result!$L$5:$L$54)</f>
        <v>-657955.26132149249</v>
      </c>
      <c r="H518" s="36">
        <f>+SUM([9]Result!$L$5:$L$54)-SUM([8]Result!$L$5:$L$54)</f>
        <v>-672531.89494498447</v>
      </c>
      <c r="I518" s="14">
        <f>+SUM([10]Result!$L$5:$L$54)-SUM([9]Result!$L$5:$L$54)</f>
        <v>-950275.07544846833</v>
      </c>
      <c r="J518" s="14">
        <f>+SUM([11]Result!$L$5:$L$54)-SUM([10]Result!$L$5:$L$54)</f>
        <v>295900.877625186</v>
      </c>
      <c r="K518" s="36">
        <f>+SUM([12]Result!$L$5:$L$54)-SUM([11]Result!$L$5:$L$54)</f>
        <v>-1307673.5013804398</v>
      </c>
      <c r="L518" s="14">
        <f>+SUM([13]Result!$L$5:$L$54)-SUM([12]Result!$L$5:$L$54)</f>
        <v>322492.75674692169</v>
      </c>
      <c r="M518" s="14">
        <f>+SUM([14]Result!$L$5:$L$54)-SUM([13]Result!$L$5:$L$54)</f>
        <v>-698007.98478925601</v>
      </c>
      <c r="N518" s="39"/>
      <c r="O518" s="14">
        <f>+C518-(C519+C525+C531+C542+C553)</f>
        <v>-1.6763806343078613E-8</v>
      </c>
      <c r="P518" s="14">
        <f t="shared" ref="P518:R518" si="165">+D518-(D519+D525+D531+D542+D553)</f>
        <v>7.4505805969238281E-9</v>
      </c>
      <c r="Q518" s="14">
        <f t="shared" si="165"/>
        <v>9.3132257461547852E-9</v>
      </c>
      <c r="R518" s="14">
        <f t="shared" si="165"/>
        <v>0</v>
      </c>
      <c r="S518" s="14">
        <f t="shared" ref="S518" si="166">+G518-(G519+G525+G531+G542+G553)</f>
        <v>-1.1990778148174286E-8</v>
      </c>
      <c r="T518" s="14">
        <f t="shared" ref="T518:Z518" si="167">+H518-(H519+H525+H531+H542+H553)</f>
        <v>0</v>
      </c>
      <c r="U518" s="14">
        <f t="shared" si="167"/>
        <v>0</v>
      </c>
      <c r="V518" s="14">
        <f t="shared" si="167"/>
        <v>9.0221874415874481E-9</v>
      </c>
      <c r="W518" s="14">
        <f t="shared" si="167"/>
        <v>-1.0244548320770264E-8</v>
      </c>
      <c r="X518" s="14">
        <f t="shared" si="167"/>
        <v>0</v>
      </c>
      <c r="Y518" s="14">
        <f t="shared" si="167"/>
        <v>1.862645149230957E-9</v>
      </c>
      <c r="Z518" s="14">
        <f t="shared" si="167"/>
        <v>0</v>
      </c>
    </row>
    <row r="519" spans="2:26" hidden="1" outlineLevel="1" x14ac:dyDescent="0.25">
      <c r="B519" s="16" t="s">
        <v>2</v>
      </c>
      <c r="C519" s="14">
        <f>+'[1]Stat by Mat 2'!$G$3-'[15]Stat by Mat 2'!$G$3</f>
        <v>-452715.27862139791</v>
      </c>
      <c r="D519" s="14">
        <f>+'[5]Stat by Mat 2'!$G$3-'[1]Stat by Mat 2'!$G$3</f>
        <v>956238.95162051916</v>
      </c>
      <c r="E519" s="36">
        <f>+'[6]Stat by Mat 2'!$G$3-'[5]Stat by Mat 2'!$G$3</f>
        <v>-1484016.4714033604</v>
      </c>
      <c r="F519" s="14">
        <f>+'[7]Stat by Mat 2'!$G$3-'[6]Stat by Mat 2'!$G$3</f>
        <v>2166809.2523200735</v>
      </c>
      <c r="G519" s="14">
        <f>+'[8]Stat by Mat 2'!$G$3-'[7]Stat by Mat 2'!$G$3</f>
        <v>-342165.44160799682</v>
      </c>
      <c r="H519" s="36">
        <f>+'[9]Stat by Mat 2'!$G$3-'[8]Stat by Mat 2'!$G$3</f>
        <v>-266323.19604706764</v>
      </c>
      <c r="I519" s="14">
        <f>+'[10]Stat by Mat 2'!$G$3-'[9]Stat by Mat 2'!$G$3</f>
        <v>-654724.66417508572</v>
      </c>
      <c r="J519" s="14">
        <f>+'[11]Stat by Mat 2'!$G$3-'[10]Stat by Mat 2'!$G$3</f>
        <v>257932.66348358989</v>
      </c>
      <c r="K519" s="36">
        <f>+'[12]Stat by Mat 2'!$G$3-'[11]Stat by Mat 2'!$G$3</f>
        <v>-1066804.4155128449</v>
      </c>
      <c r="L519" s="14">
        <f>+'[13]Stat by Mat 2'!$G$3-'[12]Stat by Mat 2'!$G$3</f>
        <v>184666.75557138771</v>
      </c>
      <c r="M519" s="14">
        <f>+'[14]Stat by Mat 2'!$G$3-'[13]Stat by Mat 2'!$G$3</f>
        <v>-297620.75469875336</v>
      </c>
      <c r="N519" s="39"/>
      <c r="O519" s="14">
        <f>+C519-SUM(C520:C524)</f>
        <v>0</v>
      </c>
      <c r="P519" s="14">
        <f t="shared" ref="P519:R519" si="168">+D519-SUM(D520:D524)</f>
        <v>0</v>
      </c>
      <c r="Q519" s="14">
        <f t="shared" si="168"/>
        <v>0</v>
      </c>
      <c r="R519" s="14">
        <f t="shared" si="168"/>
        <v>0</v>
      </c>
      <c r="S519" s="14">
        <f t="shared" ref="S519" si="169">+G519-SUM(G520:G524)</f>
        <v>0</v>
      </c>
      <c r="T519" s="14">
        <f t="shared" ref="T519:Z519" si="170">+H519-SUM(H520:H524)</f>
        <v>0</v>
      </c>
      <c r="U519" s="14">
        <f t="shared" si="170"/>
        <v>0</v>
      </c>
      <c r="V519" s="14">
        <f t="shared" si="170"/>
        <v>0</v>
      </c>
      <c r="W519" s="14">
        <f t="shared" si="170"/>
        <v>0</v>
      </c>
      <c r="X519" s="14">
        <f t="shared" si="170"/>
        <v>0</v>
      </c>
      <c r="Y519" s="14">
        <f t="shared" si="170"/>
        <v>0</v>
      </c>
      <c r="Z519" s="14">
        <f t="shared" si="170"/>
        <v>0</v>
      </c>
    </row>
    <row r="520" spans="2:26" hidden="1" outlineLevel="2" x14ac:dyDescent="0.25">
      <c r="B520" s="17" t="s">
        <v>3</v>
      </c>
      <c r="C520" s="14">
        <f>+[1]Result!$L$5-[15]Result!$L$5</f>
        <v>-83509.305008292198</v>
      </c>
      <c r="D520" s="14">
        <f>+[5]Result!$L$5-[1]Result!$L$5</f>
        <v>225534.1539298892</v>
      </c>
      <c r="E520" s="36">
        <f>+[6]Result!$L$5-[5]Result!$L$5</f>
        <v>-15769.165075778961</v>
      </c>
      <c r="F520" s="14">
        <f>+[7]Result!$L$5-[6]Result!$L$5</f>
        <v>419253.69917887449</v>
      </c>
      <c r="G520" s="14">
        <f>+[8]Result!$L$5-[7]Result!$L$5</f>
        <v>-23586.606361865997</v>
      </c>
      <c r="H520" s="36">
        <f>+[9]Result!$L$5-[8]Result!$L$5</f>
        <v>222322.51856720448</v>
      </c>
      <c r="I520" s="14">
        <f>+[10]Result!$L$5-[9]Result!$L$5</f>
        <v>-90943.324806213379</v>
      </c>
      <c r="J520" s="14">
        <f>+[11]Result!$L$5-[10]Result!$L$5</f>
        <v>10638.214641153812</v>
      </c>
      <c r="K520" s="36">
        <f>+[12]Result!$L$5-[11]Result!$L$5</f>
        <v>65780.023423969746</v>
      </c>
      <c r="L520" s="14">
        <f>+[13]Result!$L$5-[12]Result!$L$5</f>
        <v>-6754.6830275058746</v>
      </c>
      <c r="M520" s="14">
        <f>+[14]Result!$L$5-[13]Result!$L$5</f>
        <v>-15155.976555168629</v>
      </c>
      <c r="N520" s="39"/>
    </row>
    <row r="521" spans="2:26" hidden="1" outlineLevel="2" x14ac:dyDescent="0.25">
      <c r="B521" s="17" t="s">
        <v>4</v>
      </c>
      <c r="C521" s="14">
        <f>+[1]Result!$L$6-[15]Result!$L$6</f>
        <v>-138578.1854775548</v>
      </c>
      <c r="D521" s="14">
        <f>+[5]Result!$L$6-[1]Result!$L$6</f>
        <v>290533.81904679537</v>
      </c>
      <c r="E521" s="36">
        <f>+[6]Result!$L$6-[5]Result!$L$6</f>
        <v>-921302.2314568758</v>
      </c>
      <c r="F521" s="14">
        <f>+[7]Result!$L$6-[6]Result!$L$6</f>
        <v>748645.14879614115</v>
      </c>
      <c r="G521" s="14">
        <f>+[8]Result!$L$6-[7]Result!$L$6</f>
        <v>-102667.27889087796</v>
      </c>
      <c r="H521" s="36">
        <f>+[9]Result!$L$6-[8]Result!$L$6</f>
        <v>-240484.34633097053</v>
      </c>
      <c r="I521" s="14">
        <f>+[10]Result!$L$6-[9]Result!$L$6</f>
        <v>-223737.49727204442</v>
      </c>
      <c r="J521" s="14">
        <f>+[11]Result!$L$6-[10]Result!$L$6</f>
        <v>72052.808274000883</v>
      </c>
      <c r="K521" s="36">
        <f>+[12]Result!$L$6-[11]Result!$L$6</f>
        <v>-414508.87131875753</v>
      </c>
      <c r="L521" s="14">
        <f>+[13]Result!$L$6-[12]Result!$L$6</f>
        <v>45838.887850105762</v>
      </c>
      <c r="M521" s="14">
        <f>+[14]Result!$L$6-[13]Result!$L$6</f>
        <v>-83500.867268621922</v>
      </c>
      <c r="N521" s="39"/>
    </row>
    <row r="522" spans="2:26" hidden="1" outlineLevel="2" x14ac:dyDescent="0.25">
      <c r="B522" s="17" t="s">
        <v>5</v>
      </c>
      <c r="C522" s="14">
        <f>+[1]Result!$L$7-[15]Result!$L$7</f>
        <v>-112441.2766019851</v>
      </c>
      <c r="D522" s="14">
        <f>+[5]Result!$L$7-[1]Result!$L$7</f>
        <v>204338.70739641786</v>
      </c>
      <c r="E522" s="36">
        <f>+[6]Result!$L$7-[5]Result!$L$7</f>
        <v>-174800.28452304006</v>
      </c>
      <c r="F522" s="14">
        <f>+[7]Result!$L$7-[6]Result!$L$7</f>
        <v>456067.78182822466</v>
      </c>
      <c r="G522" s="14">
        <f>+[8]Result!$L$7-[7]Result!$L$7</f>
        <v>-91216.579819634557</v>
      </c>
      <c r="H522" s="36">
        <f>+[9]Result!$L$7-[8]Result!$L$7</f>
        <v>-89204.841165885329</v>
      </c>
      <c r="I522" s="14">
        <f>+[10]Result!$L$7-[9]Result!$L$7</f>
        <v>-154124.71637828648</v>
      </c>
      <c r="J522" s="14">
        <f>+[11]Result!$L$7-[10]Result!$L$7</f>
        <v>75271.322480633855</v>
      </c>
      <c r="K522" s="36">
        <f>+[12]Result!$L$7-[11]Result!$L$7</f>
        <v>-411451.77767449617</v>
      </c>
      <c r="L522" s="14">
        <f>+[13]Result!$L$7-[12]Result!$L$7</f>
        <v>58565.690403863788</v>
      </c>
      <c r="M522" s="14">
        <f>+[14]Result!$L$7-[13]Result!$L$7</f>
        <v>-76880.279951542616</v>
      </c>
      <c r="N522" s="39"/>
    </row>
    <row r="523" spans="2:26" hidden="1" outlineLevel="2" x14ac:dyDescent="0.25">
      <c r="B523" s="17" t="s">
        <v>6</v>
      </c>
      <c r="C523" s="14">
        <f>+[1]Result!$L$8-[15]Result!$L$8</f>
        <v>-69157.511681489646</v>
      </c>
      <c r="D523" s="14">
        <f>+[5]Result!$L$8-[1]Result!$L$8</f>
        <v>133166.37632286549</v>
      </c>
      <c r="E523" s="36">
        <f>+[6]Result!$L$8-[5]Result!$L$8</f>
        <v>-209893.95118038356</v>
      </c>
      <c r="F523" s="14">
        <f>+[7]Result!$L$8-[6]Result!$L$8</f>
        <v>303755.32562480122</v>
      </c>
      <c r="G523" s="14">
        <f>+[8]Result!$L$8-[7]Result!$L$8</f>
        <v>-68565.01193138212</v>
      </c>
      <c r="H523" s="36">
        <f>+[9]Result!$L$8-[8]Result!$L$8</f>
        <v>-83535.251842208207</v>
      </c>
      <c r="I523" s="14">
        <f>+[10]Result!$L$8-[9]Result!$L$8</f>
        <v>-105356.49896293879</v>
      </c>
      <c r="J523" s="14">
        <f>+[11]Result!$L$8-[10]Result!$L$8</f>
        <v>57823.405207671225</v>
      </c>
      <c r="K523" s="36">
        <f>+[12]Result!$L$8-[11]Result!$L$8</f>
        <v>-197421.56484981626</v>
      </c>
      <c r="L523" s="14">
        <f>+[13]Result!$L$8-[12]Result!$L$8</f>
        <v>47071.517515532672</v>
      </c>
      <c r="M523" s="14">
        <f>+[14]Result!$L$8-[13]Result!$L$8</f>
        <v>-62285.283547781408</v>
      </c>
      <c r="N523" s="39"/>
    </row>
    <row r="524" spans="2:26" hidden="1" outlineLevel="2" x14ac:dyDescent="0.25">
      <c r="B524" s="17" t="s">
        <v>7</v>
      </c>
      <c r="C524" s="14">
        <f>+[1]Result!$L$9-[15]Result!$L$9</f>
        <v>-49028.999852076173</v>
      </c>
      <c r="D524" s="14">
        <f>+[5]Result!$L$9-[1]Result!$L$9</f>
        <v>102665.89492455125</v>
      </c>
      <c r="E524" s="36">
        <f>+[6]Result!$L$9-[5]Result!$L$9</f>
        <v>-162250.83916728199</v>
      </c>
      <c r="F524" s="14">
        <f>+[7]Result!$L$9-[6]Result!$L$9</f>
        <v>239087.29689203203</v>
      </c>
      <c r="G524" s="14">
        <f>+[8]Result!$L$9-[7]Result!$L$9</f>
        <v>-56129.964604236186</v>
      </c>
      <c r="H524" s="36">
        <f>+[9]Result!$L$9-[8]Result!$L$9</f>
        <v>-75421.275275208056</v>
      </c>
      <c r="I524" s="14">
        <f>+[10]Result!$L$9-[9]Result!$L$9</f>
        <v>-80562.626755602658</v>
      </c>
      <c r="J524" s="14">
        <f>+[11]Result!$L$9-[10]Result!$L$9</f>
        <v>42146.912880130112</v>
      </c>
      <c r="K524" s="36">
        <f>+[12]Result!$L$9-[11]Result!$L$9</f>
        <v>-109202.2250937447</v>
      </c>
      <c r="L524" s="14">
        <f>+[13]Result!$L$9-[12]Result!$L$9</f>
        <v>39945.34282939136</v>
      </c>
      <c r="M524" s="14">
        <f>+[14]Result!$L$9-[13]Result!$L$9</f>
        <v>-59798.347375638783</v>
      </c>
      <c r="N524" s="39"/>
    </row>
    <row r="525" spans="2:26" hidden="1" outlineLevel="1" collapsed="1" x14ac:dyDescent="0.25">
      <c r="B525" s="16" t="s">
        <v>8</v>
      </c>
      <c r="C525" s="14">
        <f>+'[1]Stat by Mat 2'!$G$4-'[15]Stat by Mat 2'!$G$4</f>
        <v>-127340.38363672048</v>
      </c>
      <c r="D525" s="14">
        <f>+'[5]Stat by Mat 2'!$G$4-'[1]Stat by Mat 2'!$G$4</f>
        <v>271107.26530546695</v>
      </c>
      <c r="E525" s="36">
        <f>+'[6]Stat by Mat 2'!$G$4-'[5]Stat by Mat 2'!$G$4</f>
        <v>-544595.34522724524</v>
      </c>
      <c r="F525" s="14">
        <f>+'[7]Stat by Mat 2'!$G$4-'[6]Stat by Mat 2'!$G$4</f>
        <v>610441.8432087414</v>
      </c>
      <c r="G525" s="14">
        <f>+'[8]Stat by Mat 2'!$G$4-'[7]Stat by Mat 2'!$G$4</f>
        <v>-166768.06204483286</v>
      </c>
      <c r="H525" s="36">
        <f>+'[9]Stat by Mat 2'!$G$4-'[8]Stat by Mat 2'!$G$4</f>
        <v>-249522.11966542713</v>
      </c>
      <c r="I525" s="14">
        <f>+'[10]Stat by Mat 2'!$G$4-'[9]Stat by Mat 2'!$G$4</f>
        <v>-195114.00220964476</v>
      </c>
      <c r="J525" s="14">
        <f>+'[11]Stat by Mat 2'!$G$4-'[10]Stat by Mat 2'!$G$4</f>
        <v>75217.951717043296</v>
      </c>
      <c r="K525" s="36">
        <f>+'[12]Stat by Mat 2'!$G$4-'[11]Stat by Mat 2'!$G$4</f>
        <v>-128747.12405579537</v>
      </c>
      <c r="L525" s="14">
        <f>+'[13]Stat by Mat 2'!$G$4-'[12]Stat by Mat 2'!$G$4</f>
        <v>106004.98513704166</v>
      </c>
      <c r="M525" s="14">
        <f>+'[14]Stat by Mat 2'!$G$4-'[13]Stat by Mat 2'!$G$4</f>
        <v>-220491.91078224219</v>
      </c>
      <c r="N525" s="39"/>
      <c r="O525" s="14">
        <f>+C525-SUM(C526:C530)</f>
        <v>0</v>
      </c>
      <c r="P525" s="14">
        <f t="shared" ref="P525:R525" si="171">+D525-SUM(D526:D530)</f>
        <v>0</v>
      </c>
      <c r="Q525" s="14">
        <f t="shared" si="171"/>
        <v>0</v>
      </c>
      <c r="R525" s="14">
        <f t="shared" si="171"/>
        <v>0</v>
      </c>
      <c r="S525" s="14">
        <f t="shared" ref="S525" si="172">+G525-SUM(G526:G530)</f>
        <v>0</v>
      </c>
      <c r="T525" s="14">
        <f t="shared" ref="T525:Z525" si="173">+H525-SUM(H526:H530)</f>
        <v>0</v>
      </c>
      <c r="U525" s="14">
        <f t="shared" si="173"/>
        <v>0</v>
      </c>
      <c r="V525" s="14">
        <f t="shared" si="173"/>
        <v>0</v>
      </c>
      <c r="W525" s="14">
        <f t="shared" si="173"/>
        <v>0</v>
      </c>
      <c r="X525" s="14">
        <f t="shared" si="173"/>
        <v>0</v>
      </c>
      <c r="Y525" s="14">
        <f t="shared" si="173"/>
        <v>0</v>
      </c>
      <c r="Z525" s="14">
        <f t="shared" si="173"/>
        <v>0</v>
      </c>
    </row>
    <row r="526" spans="2:26" hidden="1" outlineLevel="2" x14ac:dyDescent="0.25">
      <c r="B526" s="17" t="s">
        <v>9</v>
      </c>
      <c r="C526" s="14">
        <f>+[1]Result!$L$10-[15]Result!$L$10</f>
        <v>-41035.134299248457</v>
      </c>
      <c r="D526" s="14">
        <f>+[5]Result!$L$10-[1]Result!$L$10</f>
        <v>87475.659131675959</v>
      </c>
      <c r="E526" s="36">
        <f>+[6]Result!$L$10-[5]Result!$L$10</f>
        <v>-153294.0344792828</v>
      </c>
      <c r="F526" s="14">
        <f>+[7]Result!$L$10-[6]Result!$L$10</f>
        <v>196008.28222846612</v>
      </c>
      <c r="G526" s="14">
        <f>+[8]Result!$L$10-[7]Result!$L$10</f>
        <v>-47721.561484564096</v>
      </c>
      <c r="H526" s="36">
        <f>+[9]Result!$L$10-[8]Result!$L$10</f>
        <v>-59775.048293609172</v>
      </c>
      <c r="I526" s="14">
        <f>+[10]Result!$L$10-[9]Result!$L$10</f>
        <v>-64293.723774705082</v>
      </c>
      <c r="J526" s="14">
        <f>+[11]Result!$L$10-[10]Result!$L$10</f>
        <v>30842.650568194687</v>
      </c>
      <c r="K526" s="36">
        <f>+[12]Result!$L$10-[11]Result!$L$10</f>
        <v>-59872.353817932308</v>
      </c>
      <c r="L526" s="14">
        <f>+[13]Result!$L$10-[12]Result!$L$10</f>
        <v>33513.257084425539</v>
      </c>
      <c r="M526" s="14">
        <f>+[14]Result!$L$10-[13]Result!$L$10</f>
        <v>-58056.234374895692</v>
      </c>
      <c r="N526" s="39"/>
    </row>
    <row r="527" spans="2:26" hidden="1" outlineLevel="2" x14ac:dyDescent="0.25">
      <c r="B527" s="17" t="s">
        <v>10</v>
      </c>
      <c r="C527" s="14">
        <f>+[1]Result!$L$11-[15]Result!$L$11</f>
        <v>-30248.686749715358</v>
      </c>
      <c r="D527" s="14">
        <f>+[5]Result!$L$11-[1]Result!$L$11</f>
        <v>66921.982100486755</v>
      </c>
      <c r="E527" s="36">
        <f>+[6]Result!$L$11-[5]Result!$L$11</f>
        <v>-139902.61005541682</v>
      </c>
      <c r="F527" s="14">
        <f>+[7]Result!$L$11-[6]Result!$L$11</f>
        <v>150616.70734875277</v>
      </c>
      <c r="G527" s="14">
        <f>+[8]Result!$L$11-[7]Result!$L$11</f>
        <v>-38769.205668319017</v>
      </c>
      <c r="H527" s="36">
        <f>+[9]Result!$L$11-[8]Result!$L$11</f>
        <v>-58764.863296162337</v>
      </c>
      <c r="I527" s="14">
        <f>+[10]Result!$L$11-[9]Result!$L$11</f>
        <v>-47616.677660513669</v>
      </c>
      <c r="J527" s="14">
        <f>+[11]Result!$L$11-[10]Result!$L$11</f>
        <v>20560.492779076099</v>
      </c>
      <c r="K527" s="36">
        <f>+[12]Result!$L$11-[11]Result!$L$11</f>
        <v>-38925.378940489143</v>
      </c>
      <c r="L527" s="14">
        <f>+[13]Result!$L$11-[12]Result!$L$11</f>
        <v>26284.671101614833</v>
      </c>
      <c r="M527" s="14">
        <f>+[14]Result!$L$11-[13]Result!$L$11</f>
        <v>-51844.84909966588</v>
      </c>
      <c r="N527" s="39"/>
    </row>
    <row r="528" spans="2:26" hidden="1" outlineLevel="2" x14ac:dyDescent="0.25">
      <c r="B528" s="17" t="s">
        <v>11</v>
      </c>
      <c r="C528" s="14">
        <f>+[1]Result!$L$12-[15]Result!$L$12</f>
        <v>-21766.310249287635</v>
      </c>
      <c r="D528" s="14">
        <f>+[5]Result!$L$12-[1]Result!$L$12</f>
        <v>49778.323439389467</v>
      </c>
      <c r="E528" s="36">
        <f>+[6]Result!$L$12-[5]Result!$L$12</f>
        <v>-120884.21240282059</v>
      </c>
      <c r="F528" s="14">
        <f>+[7]Result!$L$12-[6]Result!$L$12</f>
        <v>114606.48410591111</v>
      </c>
      <c r="G528" s="14">
        <f>+[8]Result!$L$12-[7]Result!$L$12</f>
        <v>-32084.302217975259</v>
      </c>
      <c r="H528" s="36">
        <f>+[9]Result!$L$12-[8]Result!$L$12</f>
        <v>-53973.704238981009</v>
      </c>
      <c r="I528" s="14">
        <f>+[10]Result!$L$12-[9]Result!$L$12</f>
        <v>-35751.984785776585</v>
      </c>
      <c r="J528" s="14">
        <f>+[11]Result!$L$12-[10]Result!$L$12</f>
        <v>13337.950648780912</v>
      </c>
      <c r="K528" s="36">
        <f>+[12]Result!$L$12-[11]Result!$L$12</f>
        <v>-24059.803142249584</v>
      </c>
      <c r="L528" s="14">
        <f>+[13]Result!$L$12-[12]Result!$L$12</f>
        <v>19954.333617374301</v>
      </c>
      <c r="M528" s="14">
        <f>+[14]Result!$L$12-[13]Result!$L$12</f>
        <v>-43738.741647459567</v>
      </c>
      <c r="N528" s="39"/>
    </row>
    <row r="529" spans="2:26" hidden="1" outlineLevel="2" x14ac:dyDescent="0.25">
      <c r="B529" s="17" t="s">
        <v>12</v>
      </c>
      <c r="C529" s="14">
        <f>+[1]Result!$L$13-[15]Result!$L$13</f>
        <v>-17139.543362395838</v>
      </c>
      <c r="D529" s="14">
        <f>+[5]Result!$L$13-[1]Result!$L$13</f>
        <v>35907.624708967283</v>
      </c>
      <c r="E529" s="36">
        <f>+[6]Result!$L$13-[5]Result!$L$13</f>
        <v>-62835.879378249869</v>
      </c>
      <c r="F529" s="14">
        <f>+[7]Result!$L$13-[6]Result!$L$13</f>
        <v>82812.455339336768</v>
      </c>
      <c r="G529" s="14">
        <f>+[8]Result!$L$13-[7]Result!$L$13</f>
        <v>-25442.684524135664</v>
      </c>
      <c r="H529" s="36">
        <f>+[9]Result!$L$13-[8]Result!$L$13</f>
        <v>-35267.035302106291</v>
      </c>
      <c r="I529" s="14">
        <f>+[10]Result!$L$13-[9]Result!$L$13</f>
        <v>-25232.965724304318</v>
      </c>
      <c r="J529" s="14">
        <f>+[11]Result!$L$13-[10]Result!$L$13</f>
        <v>7002.948150575161</v>
      </c>
      <c r="K529" s="36">
        <f>+[12]Result!$L$13-[11]Result!$L$13</f>
        <v>-8172.7056858148426</v>
      </c>
      <c r="L529" s="14">
        <f>+[13]Result!$L$13-[12]Result!$L$13</f>
        <v>14267.479207662866</v>
      </c>
      <c r="M529" s="14">
        <f>+[14]Result!$L$13-[13]Result!$L$13</f>
        <v>-34432.117597211152</v>
      </c>
      <c r="N529" s="39"/>
    </row>
    <row r="530" spans="2:26" hidden="1" outlineLevel="2" x14ac:dyDescent="0.25">
      <c r="B530" s="17" t="s">
        <v>13</v>
      </c>
      <c r="C530" s="14">
        <f>+[1]Result!$L$14-[15]Result!$L$14</f>
        <v>-17150.708976073191</v>
      </c>
      <c r="D530" s="14">
        <f>+[5]Result!$L$14-[1]Result!$L$14</f>
        <v>31023.675924947485</v>
      </c>
      <c r="E530" s="36">
        <f>+[6]Result!$L$14-[5]Result!$L$14</f>
        <v>-67678.608911475167</v>
      </c>
      <c r="F530" s="14">
        <f>+[7]Result!$L$14-[6]Result!$L$14</f>
        <v>66397.914186274633</v>
      </c>
      <c r="G530" s="14">
        <f>+[8]Result!$L$14-[7]Result!$L$14</f>
        <v>-22750.30814983882</v>
      </c>
      <c r="H530" s="36">
        <f>+[9]Result!$L$14-[8]Result!$L$14</f>
        <v>-41741.468534568325</v>
      </c>
      <c r="I530" s="14">
        <f>+[10]Result!$L$14-[9]Result!$L$14</f>
        <v>-22218.650264345109</v>
      </c>
      <c r="J530" s="14">
        <f>+[11]Result!$L$14-[10]Result!$L$14</f>
        <v>3473.9095704164356</v>
      </c>
      <c r="K530" s="36">
        <f>+[12]Result!$L$14-[11]Result!$L$14</f>
        <v>2283.1175306905061</v>
      </c>
      <c r="L530" s="14">
        <f>+[13]Result!$L$14-[12]Result!$L$14</f>
        <v>11985.24412596412</v>
      </c>
      <c r="M530" s="14">
        <f>+[14]Result!$L$14-[13]Result!$L$14</f>
        <v>-32419.968063009903</v>
      </c>
      <c r="N530" s="39"/>
    </row>
    <row r="531" spans="2:26" hidden="1" outlineLevel="1" collapsed="1" x14ac:dyDescent="0.25">
      <c r="B531" s="16" t="s">
        <v>14</v>
      </c>
      <c r="C531" s="14">
        <f>+'[1]Stat by Mat 2'!$G$5-'[15]Stat by Mat 2'!$G$5</f>
        <v>-76452.46037266776</v>
      </c>
      <c r="D531" s="14">
        <f>+'[5]Stat by Mat 2'!$G$5-'[1]Stat by Mat 2'!$G$5</f>
        <v>100487.3545982074</v>
      </c>
      <c r="E531" s="36">
        <f>+'[6]Stat by Mat 2'!$G$5-'[5]Stat by Mat 2'!$G$5</f>
        <v>-118088.25543374661</v>
      </c>
      <c r="F531" s="14">
        <f>+'[7]Stat by Mat 2'!$G$5-'[6]Stat by Mat 2'!$G$5</f>
        <v>243935.95528402925</v>
      </c>
      <c r="G531" s="14">
        <f>+'[8]Stat by Mat 2'!$G$5-'[7]Stat by Mat 2'!$G$5</f>
        <v>-114037.31257621478</v>
      </c>
      <c r="H531" s="36">
        <f>+'[9]Stat by Mat 2'!$G$5-'[8]Stat by Mat 2'!$G$5</f>
        <v>-115059.50893347897</v>
      </c>
      <c r="I531" s="14">
        <f>+'[10]Stat by Mat 2'!$G$5-'[9]Stat by Mat 2'!$G$5</f>
        <v>-83968.1870936919</v>
      </c>
      <c r="J531" s="14">
        <f>+'[11]Stat by Mat 2'!$G$5-'[10]Stat by Mat 2'!$G$5</f>
        <v>-22959.346738612279</v>
      </c>
      <c r="K531" s="36">
        <f>+'[12]Stat by Mat 2'!$G$5-'[11]Stat by Mat 2'!$G$5</f>
        <v>-30795.281289471313</v>
      </c>
      <c r="L531" s="14">
        <f>+'[13]Stat by Mat 2'!$G$5-'[12]Stat by Mat 2'!$G$5</f>
        <v>30871.057358834893</v>
      </c>
      <c r="M531" s="14">
        <f>+'[14]Stat by Mat 2'!$G$5-'[13]Stat by Mat 2'!$G$5</f>
        <v>-147249.91999632865</v>
      </c>
      <c r="N531" s="39"/>
      <c r="O531" s="14">
        <f>+C531-SUM(C532:C541)</f>
        <v>-2.3283064365386963E-10</v>
      </c>
      <c r="P531" s="14">
        <f t="shared" ref="P531:R531" si="174">+D531-SUM(D532:D541)</f>
        <v>4.6566128730773926E-10</v>
      </c>
      <c r="Q531" s="14">
        <f t="shared" si="174"/>
        <v>0</v>
      </c>
      <c r="R531" s="14">
        <f t="shared" si="174"/>
        <v>-6.9849193096160889E-10</v>
      </c>
      <c r="S531" s="14">
        <f t="shared" ref="S531" si="175">+G531-SUM(G532:G541)</f>
        <v>4.6566128730773926E-10</v>
      </c>
      <c r="T531" s="14">
        <f t="shared" ref="T531:Z531" si="176">+H531-SUM(H532:H541)</f>
        <v>0</v>
      </c>
      <c r="U531" s="14">
        <f t="shared" si="176"/>
        <v>-2.3283064365386963E-10</v>
      </c>
      <c r="V531" s="14">
        <f t="shared" si="176"/>
        <v>6.9849193096160889E-10</v>
      </c>
      <c r="W531" s="14">
        <f t="shared" si="176"/>
        <v>-2.3283064365386963E-10</v>
      </c>
      <c r="X531" s="14">
        <f t="shared" si="176"/>
        <v>-6.9849193096160889E-10</v>
      </c>
      <c r="Y531" s="14">
        <f t="shared" si="176"/>
        <v>0</v>
      </c>
      <c r="Z531" s="14">
        <f t="shared" si="176"/>
        <v>0</v>
      </c>
    </row>
    <row r="532" spans="2:26" hidden="1" outlineLevel="2" x14ac:dyDescent="0.25">
      <c r="B532" s="17" t="s">
        <v>15</v>
      </c>
      <c r="C532" s="14">
        <f>+[1]Result!$L$15-[15]Result!$L$15</f>
        <v>-13586.333737684414</v>
      </c>
      <c r="D532" s="14">
        <f>+[5]Result!$L$15-[1]Result!$L$15</f>
        <v>23811.008307997137</v>
      </c>
      <c r="E532" s="36">
        <f>+[6]Result!$L$15-[5]Result!$L$15</f>
        <v>-39209.544099060819</v>
      </c>
      <c r="F532" s="14">
        <f>+[7]Result!$L$15-[6]Result!$L$15</f>
        <v>50414.170046852902</v>
      </c>
      <c r="G532" s="14">
        <f>+[8]Result!$L$15-[7]Result!$L$15</f>
        <v>-18809.098580054939</v>
      </c>
      <c r="H532" s="36">
        <f>+[9]Result!$L$15-[8]Result!$L$15</f>
        <v>-30938.925147861242</v>
      </c>
      <c r="I532" s="14">
        <f>+[10]Result!$L$15-[9]Result!$L$15</f>
        <v>-18291.239533195272</v>
      </c>
      <c r="J532" s="14">
        <f>+[11]Result!$L$15-[10]Result!$L$15</f>
        <v>759.33819795586169</v>
      </c>
      <c r="K532" s="36">
        <f>+[12]Result!$L$15-[11]Result!$L$15</f>
        <v>-1151.6046709623188</v>
      </c>
      <c r="L532" s="14">
        <f>+[13]Result!$L$15-[12]Result!$L$15</f>
        <v>8737.2016974166036</v>
      </c>
      <c r="M532" s="14">
        <f>+[14]Result!$L$15-[13]Result!$L$15</f>
        <v>-27064.883616818115</v>
      </c>
      <c r="N532" s="39"/>
    </row>
    <row r="533" spans="2:26" hidden="1" outlineLevel="2" x14ac:dyDescent="0.25">
      <c r="B533" s="17" t="s">
        <v>16</v>
      </c>
      <c r="C533" s="14">
        <f>+[1]Result!$L$16-[15]Result!$L$16</f>
        <v>-8500.1953129312024</v>
      </c>
      <c r="D533" s="14">
        <f>+[5]Result!$L$16-[1]Result!$L$16</f>
        <v>15170.260672612116</v>
      </c>
      <c r="E533" s="36">
        <f>+[6]Result!$L$16-[5]Result!$L$16</f>
        <v>-7690.9925751844421</v>
      </c>
      <c r="F533" s="14">
        <f>+[7]Result!$L$16-[6]Result!$L$16</f>
        <v>36180.75184201356</v>
      </c>
      <c r="G533" s="14">
        <f>+[8]Result!$L$16-[7]Result!$L$16</f>
        <v>-13937.617940123193</v>
      </c>
      <c r="H533" s="36">
        <f>+[9]Result!$L$16-[8]Result!$L$16</f>
        <v>-17483.152932178229</v>
      </c>
      <c r="I533" s="14">
        <f>+[10]Result!$L$16-[9]Result!$L$16</f>
        <v>-11841.277149647474</v>
      </c>
      <c r="J533" s="14">
        <f>+[11]Result!$L$16-[10]Result!$L$16</f>
        <v>-1053.0685761477798</v>
      </c>
      <c r="K533" s="36">
        <f>+[12]Result!$L$16-[11]Result!$L$16</f>
        <v>-4213.3718153154477</v>
      </c>
      <c r="L533" s="14">
        <f>+[13]Result!$L$16-[12]Result!$L$16</f>
        <v>5254.7893086029217</v>
      </c>
      <c r="M533" s="14">
        <f>+[14]Result!$L$16-[13]Result!$L$16</f>
        <v>-19543.284804305062</v>
      </c>
      <c r="N533" s="39"/>
    </row>
    <row r="534" spans="2:26" hidden="1" outlineLevel="2" x14ac:dyDescent="0.25">
      <c r="B534" s="17" t="s">
        <v>17</v>
      </c>
      <c r="C534" s="14">
        <f>+[1]Result!$L$17-[15]Result!$L$17</f>
        <v>-7025.9131170222536</v>
      </c>
      <c r="D534" s="14">
        <f>+[5]Result!$L$17-[1]Result!$L$17</f>
        <v>12380.348582867533</v>
      </c>
      <c r="E534" s="36">
        <f>+[6]Result!$L$17-[5]Result!$L$17</f>
        <v>-7065.2579759722576</v>
      </c>
      <c r="F534" s="14">
        <f>+[7]Result!$L$17-[6]Result!$L$17</f>
        <v>30332.586305952631</v>
      </c>
      <c r="G534" s="14">
        <f>+[8]Result!$L$17-[7]Result!$L$17</f>
        <v>-12577.222425060347</v>
      </c>
      <c r="H534" s="36">
        <f>+[9]Result!$L$17-[8]Result!$L$17</f>
        <v>-14527.153499666601</v>
      </c>
      <c r="I534" s="14">
        <f>+[10]Result!$L$17-[9]Result!$L$17</f>
        <v>-8922.7417517574504</v>
      </c>
      <c r="J534" s="14">
        <f>+[11]Result!$L$17-[10]Result!$L$17</f>
        <v>-2074.4055975023657</v>
      </c>
      <c r="K534" s="36">
        <f>+[12]Result!$L$17-[11]Result!$L$17</f>
        <v>-2163.8031896390021</v>
      </c>
      <c r="L534" s="14">
        <f>+[13]Result!$L$17-[12]Result!$L$17</f>
        <v>4212.6728922948241</v>
      </c>
      <c r="M534" s="14">
        <f>+[14]Result!$L$17-[13]Result!$L$17</f>
        <v>-17033.409944858402</v>
      </c>
      <c r="N534" s="39"/>
    </row>
    <row r="535" spans="2:26" hidden="1" outlineLevel="2" x14ac:dyDescent="0.25">
      <c r="B535" s="17" t="s">
        <v>18</v>
      </c>
      <c r="C535" s="14">
        <f>+[1]Result!$L$18-[15]Result!$L$18</f>
        <v>-6763.3403209568933</v>
      </c>
      <c r="D535" s="14">
        <f>+[5]Result!$L$18-[1]Result!$L$18</f>
        <v>11200.128028988838</v>
      </c>
      <c r="E535" s="36">
        <f>+[6]Result!$L$18-[5]Result!$L$18</f>
        <v>-8013.5396810863167</v>
      </c>
      <c r="F535" s="14">
        <f>+[7]Result!$L$18-[6]Result!$L$18</f>
        <v>25967.584303620271</v>
      </c>
      <c r="G535" s="14">
        <f>+[8]Result!$L$18-[7]Result!$L$18</f>
        <v>-12038.046238937415</v>
      </c>
      <c r="H535" s="36">
        <f>+[9]Result!$L$18-[8]Result!$L$18</f>
        <v>-15547.546789835207</v>
      </c>
      <c r="I535" s="14">
        <f>+[10]Result!$L$18-[9]Result!$L$18</f>
        <v>-7741.911218162626</v>
      </c>
      <c r="J535" s="14">
        <f>+[11]Result!$L$18-[10]Result!$L$18</f>
        <v>-2868.261956717819</v>
      </c>
      <c r="K535" s="36">
        <f>+[12]Result!$L$18-[11]Result!$L$18</f>
        <v>-2319.222562273033</v>
      </c>
      <c r="L535" s="14">
        <f>+[13]Result!$L$18-[12]Result!$L$18</f>
        <v>3648.2691974118352</v>
      </c>
      <c r="M535" s="14">
        <f>+[14]Result!$L$18-[13]Result!$L$18</f>
        <v>-15817.411852058955</v>
      </c>
      <c r="N535" s="39"/>
    </row>
    <row r="536" spans="2:26" hidden="1" outlineLevel="2" x14ac:dyDescent="0.25">
      <c r="B536" s="17" t="s">
        <v>19</v>
      </c>
      <c r="C536" s="14">
        <f>+[1]Result!$L$19-[15]Result!$L$19</f>
        <v>-7936.4843750828877</v>
      </c>
      <c r="D536" s="14">
        <f>+[5]Result!$L$19-[1]Result!$L$19</f>
        <v>11097.536276021041</v>
      </c>
      <c r="E536" s="36">
        <f>+[6]Result!$L$19-[5]Result!$L$19</f>
        <v>-8661.0828982004896</v>
      </c>
      <c r="F536" s="14">
        <f>+[7]Result!$L$19-[6]Result!$L$19</f>
        <v>22761.378612506203</v>
      </c>
      <c r="G536" s="14">
        <f>+[8]Result!$L$19-[7]Result!$L$19</f>
        <v>-11474.397087410092</v>
      </c>
      <c r="H536" s="36">
        <f>+[9]Result!$L$19-[8]Result!$L$19</f>
        <v>-11054.272511409596</v>
      </c>
      <c r="I536" s="14">
        <f>+[10]Result!$L$19-[9]Result!$L$19</f>
        <v>-7583.7020777128637</v>
      </c>
      <c r="J536" s="14">
        <f>+[11]Result!$L$19-[10]Result!$L$19</f>
        <v>-2901.9139316952787</v>
      </c>
      <c r="K536" s="36">
        <f>+[12]Result!$L$19-[11]Result!$L$19</f>
        <v>1573.4514226051979</v>
      </c>
      <c r="L536" s="14">
        <f>+[13]Result!$L$19-[12]Result!$L$19</f>
        <v>2874.1951286275871</v>
      </c>
      <c r="M536" s="14">
        <f>+[14]Result!$L$19-[13]Result!$L$19</f>
        <v>-14660.318597019184</v>
      </c>
      <c r="N536" s="39"/>
    </row>
    <row r="537" spans="2:26" hidden="1" outlineLevel="2" x14ac:dyDescent="0.25">
      <c r="B537" s="17" t="s">
        <v>20</v>
      </c>
      <c r="C537" s="14">
        <f>+[1]Result!$L$20-[15]Result!$L$20</f>
        <v>-8219.0686688604765</v>
      </c>
      <c r="D537" s="14">
        <f>+[5]Result!$L$20-[1]Result!$L$20</f>
        <v>9228.3955418402329</v>
      </c>
      <c r="E537" s="36">
        <f>+[6]Result!$L$20-[5]Result!$L$20</f>
        <v>-7892.8254781034775</v>
      </c>
      <c r="F537" s="14">
        <f>+[7]Result!$L$20-[6]Result!$L$20</f>
        <v>19746.54156564083</v>
      </c>
      <c r="G537" s="14">
        <f>+[8]Result!$L$20-[7]Result!$L$20</f>
        <v>-10422.58172619855</v>
      </c>
      <c r="H537" s="36">
        <f>+[9]Result!$L$20-[8]Result!$L$20</f>
        <v>-7088.6477009751834</v>
      </c>
      <c r="I537" s="14">
        <f>+[10]Result!$L$20-[9]Result!$L$20</f>
        <v>-7408.8380021099001</v>
      </c>
      <c r="J537" s="14">
        <f>+[11]Result!$L$20-[10]Result!$L$20</f>
        <v>-2716.0003702770919</v>
      </c>
      <c r="K537" s="36">
        <f>+[12]Result!$L$20-[11]Result!$L$20</f>
        <v>-304.85858295066282</v>
      </c>
      <c r="L537" s="14">
        <f>+[13]Result!$L$20-[12]Result!$L$20</f>
        <v>2131.9419237105176</v>
      </c>
      <c r="M537" s="14">
        <f>+[14]Result!$L$20-[13]Result!$L$20</f>
        <v>-12949.100063498598</v>
      </c>
      <c r="N537" s="39"/>
    </row>
    <row r="538" spans="2:26" hidden="1" outlineLevel="2" x14ac:dyDescent="0.25">
      <c r="B538" s="17" t="s">
        <v>21</v>
      </c>
      <c r="C538" s="14">
        <f>+[1]Result!$L$21-[15]Result!$L$21</f>
        <v>-7542.5439911452122</v>
      </c>
      <c r="D538" s="14">
        <f>+[5]Result!$L$21-[1]Result!$L$21</f>
        <v>6542.3879148704</v>
      </c>
      <c r="E538" s="36">
        <f>+[6]Result!$L$21-[5]Result!$L$21</f>
        <v>-7748.1294227014296</v>
      </c>
      <c r="F538" s="14">
        <f>+[7]Result!$L$21-[6]Result!$L$21</f>
        <v>17524.871408366133</v>
      </c>
      <c r="G538" s="14">
        <f>+[8]Result!$L$21-[7]Result!$L$21</f>
        <v>-9767.8115835245699</v>
      </c>
      <c r="H538" s="36">
        <f>+[9]Result!$L$21-[8]Result!$L$21</f>
        <v>-5155.4270156840794</v>
      </c>
      <c r="I538" s="14">
        <f>+[10]Result!$L$21-[9]Result!$L$21</f>
        <v>-6753.02301775245</v>
      </c>
      <c r="J538" s="14">
        <f>+[11]Result!$L$21-[10]Result!$L$21</f>
        <v>-3100.5809250511229</v>
      </c>
      <c r="K538" s="36">
        <f>+[12]Result!$L$21-[11]Result!$L$21</f>
        <v>-1870.8846544092521</v>
      </c>
      <c r="L538" s="14">
        <f>+[13]Result!$L$21-[12]Result!$L$21</f>
        <v>1521.5850672046654</v>
      </c>
      <c r="M538" s="14">
        <f>+[14]Result!$L$21-[13]Result!$L$21</f>
        <v>-11625.15964376973</v>
      </c>
      <c r="N538" s="39"/>
    </row>
    <row r="539" spans="2:26" hidden="1" outlineLevel="2" x14ac:dyDescent="0.25">
      <c r="B539" s="17" t="s">
        <v>22</v>
      </c>
      <c r="C539" s="14">
        <f>+[1]Result!$L$22-[15]Result!$L$22</f>
        <v>-6288.4866059571505</v>
      </c>
      <c r="D539" s="14">
        <f>+[5]Result!$L$22-[1]Result!$L$22</f>
        <v>4178.4738955730572</v>
      </c>
      <c r="E539" s="36">
        <f>+[6]Result!$L$22-[5]Result!$L$22</f>
        <v>-9125.4084942331538</v>
      </c>
      <c r="F539" s="14">
        <f>+[7]Result!$L$22-[6]Result!$L$22</f>
        <v>15340.754728051834</v>
      </c>
      <c r="G539" s="14">
        <f>+[8]Result!$L$22-[7]Result!$L$22</f>
        <v>-8887.9826124678366</v>
      </c>
      <c r="H539" s="36">
        <f>+[9]Result!$L$22-[8]Result!$L$22</f>
        <v>-3941.5188977485523</v>
      </c>
      <c r="I539" s="14">
        <f>+[10]Result!$L$22-[9]Result!$L$22</f>
        <v>-5817.1124187610112</v>
      </c>
      <c r="J539" s="14">
        <f>+[11]Result!$L$22-[10]Result!$L$22</f>
        <v>-3060.356769412756</v>
      </c>
      <c r="K539" s="36">
        <f>+[12]Result!$L$22-[11]Result!$L$22</f>
        <v>-5333.4264541007578</v>
      </c>
      <c r="L539" s="14">
        <f>+[13]Result!$L$22-[12]Result!$L$22</f>
        <v>1026.418294114992</v>
      </c>
      <c r="M539" s="14">
        <f>+[14]Result!$L$22-[13]Result!$L$22</f>
        <v>-10380.443299934734</v>
      </c>
      <c r="N539" s="39"/>
    </row>
    <row r="540" spans="2:26" hidden="1" outlineLevel="2" x14ac:dyDescent="0.25">
      <c r="B540" s="17" t="s">
        <v>23</v>
      </c>
      <c r="C540" s="14">
        <f>+[1]Result!$L$23-[15]Result!$L$23</f>
        <v>-5363.7417261828668</v>
      </c>
      <c r="D540" s="14">
        <f>+[5]Result!$L$23-[1]Result!$L$23</f>
        <v>3211.7406545476988</v>
      </c>
      <c r="E540" s="36">
        <f>+[6]Result!$L$23-[5]Result!$L$23</f>
        <v>-12206.901448558085</v>
      </c>
      <c r="F540" s="14">
        <f>+[7]Result!$L$23-[6]Result!$L$23</f>
        <v>13670.877492294414</v>
      </c>
      <c r="G540" s="14">
        <f>+[8]Result!$L$23-[7]Result!$L$23</f>
        <v>-8235.4033092046157</v>
      </c>
      <c r="H540" s="36">
        <f>+[9]Result!$L$23-[8]Result!$L$23</f>
        <v>-5404.9758297188673</v>
      </c>
      <c r="I540" s="14">
        <f>+[10]Result!$L$23-[9]Result!$L$23</f>
        <v>-5106.3081279129256</v>
      </c>
      <c r="J540" s="14">
        <f>+[11]Result!$L$23-[10]Result!$L$23</f>
        <v>-2989.7901849935297</v>
      </c>
      <c r="K540" s="36">
        <f>+[12]Result!$L$23-[11]Result!$L$23</f>
        <v>-8605.754606985487</v>
      </c>
      <c r="L540" s="14">
        <f>+[13]Result!$L$23-[12]Result!$L$23</f>
        <v>814.44693407975137</v>
      </c>
      <c r="M540" s="14">
        <f>+[14]Result!$L$23-[13]Result!$L$23</f>
        <v>-9569.1649144941475</v>
      </c>
      <c r="N540" s="39"/>
    </row>
    <row r="541" spans="2:26" hidden="1" outlineLevel="2" x14ac:dyDescent="0.25">
      <c r="B541" s="17" t="s">
        <v>24</v>
      </c>
      <c r="C541" s="14">
        <f>+[1]Result!$L$24-[15]Result!$L$24</f>
        <v>-5226.3525168441702</v>
      </c>
      <c r="D541" s="14">
        <f>+[5]Result!$L$24-[1]Result!$L$24</f>
        <v>3667.0747228888795</v>
      </c>
      <c r="E541" s="36">
        <f>+[6]Result!$L$24-[5]Result!$L$24</f>
        <v>-10474.573360646144</v>
      </c>
      <c r="F541" s="14">
        <f>+[7]Result!$L$24-[6]Result!$L$24</f>
        <v>11996.438978731167</v>
      </c>
      <c r="G541" s="14">
        <f>+[8]Result!$L$24-[7]Result!$L$24</f>
        <v>-7887.1510732336901</v>
      </c>
      <c r="H541" s="36">
        <f>+[9]Result!$L$24-[8]Result!$L$24</f>
        <v>-3917.8886084014084</v>
      </c>
      <c r="I541" s="14">
        <f>+[10]Result!$L$24-[9]Result!$L$24</f>
        <v>-4502.0337966796942</v>
      </c>
      <c r="J541" s="14">
        <f>+[11]Result!$L$24-[10]Result!$L$24</f>
        <v>-2954.3066247710958</v>
      </c>
      <c r="K541" s="36">
        <f>+[12]Result!$L$24-[11]Result!$L$24</f>
        <v>-6405.806175440317</v>
      </c>
      <c r="L541" s="14">
        <f>+[13]Result!$L$24-[12]Result!$L$24</f>
        <v>649.53691537189297</v>
      </c>
      <c r="M541" s="14">
        <f>+[14]Result!$L$24-[13]Result!$L$24</f>
        <v>-8606.7432595717255</v>
      </c>
      <c r="N541" s="39"/>
    </row>
    <row r="542" spans="2:26" hidden="1" outlineLevel="1" collapsed="1" x14ac:dyDescent="0.25">
      <c r="B542" s="16" t="s">
        <v>25</v>
      </c>
      <c r="C542" s="14">
        <f>+'[1]Stat by Mat 2'!$G$6-'[15]Stat by Mat 2'!$G$6</f>
        <v>-24753.377431305125</v>
      </c>
      <c r="D542" s="14">
        <f>+'[5]Stat by Mat 2'!$G$6-'[1]Stat by Mat 2'!$G$6</f>
        <v>26600.564524581423</v>
      </c>
      <c r="E542" s="36">
        <f>+'[6]Stat by Mat 2'!$G$6-'[5]Stat by Mat 2'!$G$6</f>
        <v>-42836.628616578178</v>
      </c>
      <c r="F542" s="14">
        <f>+'[7]Stat by Mat 2'!$G$6-'[6]Stat by Mat 2'!$G$6</f>
        <v>38277.125163676916</v>
      </c>
      <c r="G542" s="14">
        <f>+'[8]Stat by Mat 2'!$G$6-'[7]Stat by Mat 2'!$G$6</f>
        <v>-33719.771776735317</v>
      </c>
      <c r="H542" s="36">
        <f>+'[9]Stat by Mat 2'!$G$6-'[8]Stat by Mat 2'!$G$6</f>
        <v>-33417.654191557318</v>
      </c>
      <c r="I542" s="14">
        <f>+'[10]Stat by Mat 2'!$G$6-'[9]Stat by Mat 2'!$G$6</f>
        <v>-16050.714582204586</v>
      </c>
      <c r="J542" s="14">
        <f>+'[11]Stat by Mat 2'!$G$6-'[10]Stat by Mat 2'!$G$6</f>
        <v>-13794.691424010787</v>
      </c>
      <c r="K542" s="36">
        <f>+'[12]Stat by Mat 2'!$G$6-'[11]Stat by Mat 2'!$G$6</f>
        <v>-77147.342062255135</v>
      </c>
      <c r="L542" s="14">
        <f>+'[13]Stat by Mat 2'!$G$6-'[12]Stat by Mat 2'!$G$6</f>
        <v>955.86962101818062</v>
      </c>
      <c r="M542" s="14">
        <f>+'[14]Stat by Mat 2'!$G$6-'[13]Stat by Mat 2'!$G$6</f>
        <v>-31832.383762038546</v>
      </c>
      <c r="N542" s="39"/>
      <c r="O542" s="14">
        <f>+C542-SUM(C543:C552)</f>
        <v>5.8207660913467407E-11</v>
      </c>
      <c r="P542" s="14">
        <f t="shared" ref="P542:R542" si="177">+D542-SUM(D543:D552)</f>
        <v>1.1641532182693481E-10</v>
      </c>
      <c r="Q542" s="14">
        <f t="shared" si="177"/>
        <v>-1.4551915228366852E-10</v>
      </c>
      <c r="R542" s="14">
        <f t="shared" si="177"/>
        <v>0</v>
      </c>
      <c r="S542" s="14">
        <f t="shared" ref="S542" si="178">+G542-SUM(G543:G552)</f>
        <v>0</v>
      </c>
      <c r="T542" s="14">
        <f t="shared" ref="T542:Z542" si="179">+H542-SUM(H543:H552)</f>
        <v>1.1641532182693481E-10</v>
      </c>
      <c r="U542" s="14">
        <f t="shared" si="179"/>
        <v>-8.7311491370201111E-11</v>
      </c>
      <c r="V542" s="14">
        <f t="shared" si="179"/>
        <v>5.8207660913467407E-11</v>
      </c>
      <c r="W542" s="14">
        <f t="shared" si="179"/>
        <v>-2.0372681319713593E-10</v>
      </c>
      <c r="X542" s="14">
        <f t="shared" si="179"/>
        <v>2.9103830456733704E-10</v>
      </c>
      <c r="Y542" s="14">
        <f t="shared" si="179"/>
        <v>-2.6193447411060333E-10</v>
      </c>
      <c r="Z542" s="14">
        <f t="shared" si="179"/>
        <v>0</v>
      </c>
    </row>
    <row r="543" spans="2:26" hidden="1" outlineLevel="2" x14ac:dyDescent="0.25">
      <c r="B543" s="17" t="s">
        <v>26</v>
      </c>
      <c r="C543" s="14">
        <f>+[1]Result!$L$25-[15]Result!$L$25</f>
        <v>-4811.4342558463104</v>
      </c>
      <c r="D543" s="14">
        <f>+[5]Result!$L$25-[1]Result!$L$25</f>
        <v>4076.7542640930042</v>
      </c>
      <c r="E543" s="36">
        <f>+[6]Result!$L$25-[5]Result!$L$25</f>
        <v>-7767.4054602100514</v>
      </c>
      <c r="F543" s="14">
        <f>+[7]Result!$L$25-[6]Result!$L$25</f>
        <v>9504.8460745071061</v>
      </c>
      <c r="G543" s="14">
        <f>+[8]Result!$L$25-[7]Result!$L$25</f>
        <v>-7070.1439338570926</v>
      </c>
      <c r="H543" s="36">
        <f>+[9]Result!$L$25-[8]Result!$L$25</f>
        <v>-3002.6304287121166</v>
      </c>
      <c r="I543" s="14">
        <f>+[10]Result!$L$25-[9]Result!$L$25</f>
        <v>-3746.7524426907767</v>
      </c>
      <c r="J543" s="14">
        <f>+[11]Result!$L$25-[10]Result!$L$25</f>
        <v>-2713.2995445099659</v>
      </c>
      <c r="K543" s="36">
        <f>+[12]Result!$L$25-[11]Result!$L$25</f>
        <v>-7208.6160920781549</v>
      </c>
      <c r="L543" s="14">
        <f>+[13]Result!$L$25-[12]Result!$L$25</f>
        <v>520.01566306990571</v>
      </c>
      <c r="M543" s="14">
        <f>+[14]Result!$L$25-[13]Result!$L$25</f>
        <v>-7233.2911342189182</v>
      </c>
      <c r="N543" s="39"/>
    </row>
    <row r="544" spans="2:26" hidden="1" outlineLevel="2" x14ac:dyDescent="0.25">
      <c r="B544" s="17" t="s">
        <v>27</v>
      </c>
      <c r="C544" s="14">
        <f>+[1]Result!$L$26-[15]Result!$L$26</f>
        <v>-4244.4484499332029</v>
      </c>
      <c r="D544" s="14">
        <f>+[5]Result!$L$26-[1]Result!$L$26</f>
        <v>4043.6207178754266</v>
      </c>
      <c r="E544" s="36">
        <f>+[6]Result!$L$26-[5]Result!$L$26</f>
        <v>-5471.3172072200105</v>
      </c>
      <c r="F544" s="14">
        <f>+[7]Result!$L$26-[6]Result!$L$26</f>
        <v>7343.8566510181408</v>
      </c>
      <c r="G544" s="14">
        <f>+[8]Result!$L$26-[7]Result!$L$26</f>
        <v>-6029.7131868200377</v>
      </c>
      <c r="H544" s="36">
        <f>+[9]Result!$L$26-[8]Result!$L$26</f>
        <v>-2412.1810755699407</v>
      </c>
      <c r="I544" s="14">
        <f>+[10]Result!$L$26-[9]Result!$L$26</f>
        <v>-2929.3183653135784</v>
      </c>
      <c r="J544" s="14">
        <f>+[11]Result!$L$26-[10]Result!$L$26</f>
        <v>-2379.5740819186904</v>
      </c>
      <c r="K544" s="36">
        <f>+[12]Result!$L$26-[11]Result!$L$26</f>
        <v>-8057.154437978752</v>
      </c>
      <c r="L544" s="14">
        <f>+[13]Result!$L$26-[12]Result!$L$26</f>
        <v>243.26216247514822</v>
      </c>
      <c r="M544" s="14">
        <f>+[14]Result!$L$26-[13]Result!$L$26</f>
        <v>-5771.9216945474036</v>
      </c>
      <c r="N544" s="39"/>
    </row>
    <row r="545" spans="2:26" hidden="1" outlineLevel="2" x14ac:dyDescent="0.25">
      <c r="B545" s="17" t="s">
        <v>28</v>
      </c>
      <c r="C545" s="14">
        <f>+[1]Result!$L$27-[15]Result!$L$27</f>
        <v>-3611.0062221947592</v>
      </c>
      <c r="D545" s="14">
        <f>+[5]Result!$L$27-[1]Result!$L$27</f>
        <v>3867.5639921056572</v>
      </c>
      <c r="E545" s="36">
        <f>+[6]Result!$L$27-[5]Result!$L$27</f>
        <v>-4553.4281883924268</v>
      </c>
      <c r="F545" s="14">
        <f>+[7]Result!$L$27-[6]Result!$L$27</f>
        <v>5737.0161990463967</v>
      </c>
      <c r="G545" s="14">
        <f>+[8]Result!$L$27-[7]Result!$L$27</f>
        <v>-5012.534211503109</v>
      </c>
      <c r="H545" s="36">
        <f>+[9]Result!$L$27-[8]Result!$L$27</f>
        <v>-2442.8250283170491</v>
      </c>
      <c r="I545" s="14">
        <f>+[10]Result!$L$27-[9]Result!$L$27</f>
        <v>-2375.7616752053145</v>
      </c>
      <c r="J545" s="14">
        <f>+[11]Result!$L$27-[10]Result!$L$27</f>
        <v>-1989.5743074270431</v>
      </c>
      <c r="K545" s="36">
        <f>+[12]Result!$L$27-[11]Result!$L$27</f>
        <v>-9563.9718109394889</v>
      </c>
      <c r="L545" s="14">
        <f>+[13]Result!$L$27-[12]Result!$L$27</f>
        <v>144.80512437794823</v>
      </c>
      <c r="M545" s="14">
        <f>+[14]Result!$L$27-[13]Result!$L$27</f>
        <v>-4714.030836174381</v>
      </c>
      <c r="N545" s="39"/>
    </row>
    <row r="546" spans="2:26" hidden="1" outlineLevel="2" x14ac:dyDescent="0.25">
      <c r="B546" s="17" t="s">
        <v>29</v>
      </c>
      <c r="C546" s="14">
        <f>+[1]Result!$L$28-[15]Result!$L$28</f>
        <v>-3099.4616222268669</v>
      </c>
      <c r="D546" s="14">
        <f>+[5]Result!$L$28-[1]Result!$L$28</f>
        <v>3623.5798408437986</v>
      </c>
      <c r="E546" s="36">
        <f>+[6]Result!$L$28-[5]Result!$L$28</f>
        <v>-4838.9601886552991</v>
      </c>
      <c r="F546" s="14">
        <f>+[7]Result!$L$28-[6]Result!$L$28</f>
        <v>4528.7866452332819</v>
      </c>
      <c r="G546" s="14">
        <f>+[8]Result!$L$28-[7]Result!$L$28</f>
        <v>-4116.1351435446413</v>
      </c>
      <c r="H546" s="36">
        <f>+[9]Result!$L$28-[8]Result!$L$28</f>
        <v>-4789.5159180670744</v>
      </c>
      <c r="I546" s="14">
        <f>+[10]Result!$L$28-[9]Result!$L$28</f>
        <v>-2000.9769902629778</v>
      </c>
      <c r="J546" s="14">
        <f>+[11]Result!$L$28-[10]Result!$L$28</f>
        <v>-1799.8262946623145</v>
      </c>
      <c r="K546" s="36">
        <f>+[12]Result!$L$28-[11]Result!$L$28</f>
        <v>-10302.809468377265</v>
      </c>
      <c r="L546" s="14">
        <f>+[13]Result!$L$28-[12]Result!$L$28</f>
        <v>65.274313252069987</v>
      </c>
      <c r="M546" s="14">
        <f>+[14]Result!$L$28-[13]Result!$L$28</f>
        <v>-3945.3066727019614</v>
      </c>
      <c r="N546" s="39"/>
    </row>
    <row r="547" spans="2:26" hidden="1" outlineLevel="2" x14ac:dyDescent="0.25">
      <c r="B547" s="17" t="s">
        <v>30</v>
      </c>
      <c r="C547" s="14">
        <f>+[1]Result!$L$29-[15]Result!$L$29</f>
        <v>-2748.9404557934031</v>
      </c>
      <c r="D547" s="14">
        <f>+[5]Result!$L$29-[1]Result!$L$29</f>
        <v>3282.3473216297571</v>
      </c>
      <c r="E547" s="36">
        <f>+[6]Result!$L$29-[5]Result!$L$29</f>
        <v>-4035.2863629909698</v>
      </c>
      <c r="F547" s="14">
        <f>+[7]Result!$L$29-[6]Result!$L$29</f>
        <v>3674.4746641741367</v>
      </c>
      <c r="G547" s="14">
        <f>+[8]Result!$L$29-[7]Result!$L$29</f>
        <v>-3452.1664143413072</v>
      </c>
      <c r="H547" s="36">
        <f>+[9]Result!$L$29-[8]Result!$L$29</f>
        <v>-3665.3458640815224</v>
      </c>
      <c r="I547" s="14">
        <f>+[10]Result!$L$29-[9]Result!$L$29</f>
        <v>-1669.8038265039213</v>
      </c>
      <c r="J547" s="14">
        <f>+[11]Result!$L$29-[10]Result!$L$29</f>
        <v>-1464.6941908610752</v>
      </c>
      <c r="K547" s="36">
        <f>+[12]Result!$L$29-[11]Result!$L$29</f>
        <v>-7395.567666251678</v>
      </c>
      <c r="L547" s="14">
        <f>+[13]Result!$L$29-[12]Result!$L$29</f>
        <v>8.8840293715475127</v>
      </c>
      <c r="M547" s="14">
        <f>+[14]Result!$L$29-[13]Result!$L$29</f>
        <v>-3142.1920826856513</v>
      </c>
      <c r="N547" s="39"/>
    </row>
    <row r="548" spans="2:26" hidden="1" outlineLevel="2" x14ac:dyDescent="0.25">
      <c r="B548" s="17" t="s">
        <v>31</v>
      </c>
      <c r="C548" s="14">
        <f>+[1]Result!$L$30-[15]Result!$L$30</f>
        <v>-2045.0060256482102</v>
      </c>
      <c r="D548" s="14">
        <f>+[5]Result!$L$30-[1]Result!$L$30</f>
        <v>2550.2341462568147</v>
      </c>
      <c r="E548" s="36">
        <f>+[6]Result!$L$30-[5]Result!$L$30</f>
        <v>-2380.7507153848419</v>
      </c>
      <c r="F548" s="14">
        <f>+[7]Result!$L$30-[6]Result!$L$30</f>
        <v>2633.8777392870979</v>
      </c>
      <c r="G548" s="14">
        <f>+[8]Result!$L$30-[7]Result!$L$30</f>
        <v>-2688.5570321267005</v>
      </c>
      <c r="H548" s="36">
        <f>+[9]Result!$L$30-[8]Result!$L$30</f>
        <v>-1923.7509826970054</v>
      </c>
      <c r="I548" s="14">
        <f>+[10]Result!$L$30-[9]Result!$L$30</f>
        <v>-1232.6611704773968</v>
      </c>
      <c r="J548" s="14">
        <f>+[11]Result!$L$30-[10]Result!$L$30</f>
        <v>-1088.1782265744405</v>
      </c>
      <c r="K548" s="36">
        <f>+[12]Result!$L$30-[11]Result!$L$30</f>
        <v>-7610.1509783635847</v>
      </c>
      <c r="L548" s="14">
        <f>+[13]Result!$L$30-[12]Result!$L$30</f>
        <v>35.645499926642515</v>
      </c>
      <c r="M548" s="14">
        <f>+[14]Result!$L$30-[13]Result!$L$30</f>
        <v>-2347.9386450265301</v>
      </c>
      <c r="N548" s="39"/>
    </row>
    <row r="549" spans="2:26" hidden="1" outlineLevel="2" x14ac:dyDescent="0.25">
      <c r="B549" s="17" t="s">
        <v>32</v>
      </c>
      <c r="C549" s="14">
        <f>+[1]Result!$L$31-[15]Result!$L$31</f>
        <v>-1529.7123324624845</v>
      </c>
      <c r="D549" s="14">
        <f>+[5]Result!$L$31-[1]Result!$L$31</f>
        <v>1862.8940508209635</v>
      </c>
      <c r="E549" s="36">
        <f>+[6]Result!$L$31-[5]Result!$L$31</f>
        <v>-1917.174999781535</v>
      </c>
      <c r="F549" s="14">
        <f>+[7]Result!$L$31-[6]Result!$L$31</f>
        <v>1860.3932953892509</v>
      </c>
      <c r="G549" s="14">
        <f>+[8]Result!$L$31-[7]Result!$L$31</f>
        <v>-1968.234070537088</v>
      </c>
      <c r="H549" s="36">
        <f>+[9]Result!$L$31-[8]Result!$L$31</f>
        <v>-1383.5796511847875</v>
      </c>
      <c r="I549" s="14">
        <f>+[10]Result!$L$31-[9]Result!$L$31</f>
        <v>-837.73121602763422</v>
      </c>
      <c r="J549" s="14">
        <f>+[11]Result!$L$31-[10]Result!$L$31</f>
        <v>-862.16102739871712</v>
      </c>
      <c r="K549" s="36">
        <f>+[12]Result!$L$31-[11]Result!$L$31</f>
        <v>-7826.7724247367005</v>
      </c>
      <c r="L549" s="14">
        <f>+[13]Result!$L$31-[12]Result!$L$31</f>
        <v>-40.678099305951037</v>
      </c>
      <c r="M549" s="14">
        <f>+[14]Result!$L$31-[13]Result!$L$31</f>
        <v>-1666.4987856631051</v>
      </c>
      <c r="N549" s="39"/>
    </row>
    <row r="550" spans="2:26" hidden="1" outlineLevel="2" x14ac:dyDescent="0.25">
      <c r="B550" s="17" t="s">
        <v>33</v>
      </c>
      <c r="C550" s="14">
        <f>+[1]Result!$L$32-[15]Result!$L$32</f>
        <v>-1145.6493050813442</v>
      </c>
      <c r="D550" s="14">
        <f>+[5]Result!$L$32-[1]Result!$L$32</f>
        <v>1346.1508475051378</v>
      </c>
      <c r="E550" s="36">
        <f>+[6]Result!$L$32-[5]Result!$L$32</f>
        <v>-1564.5126812606468</v>
      </c>
      <c r="F550" s="14">
        <f>+[7]Result!$L$32-[6]Result!$L$32</f>
        <v>1278.8617629019427</v>
      </c>
      <c r="G550" s="14">
        <f>+[8]Result!$L$32-[7]Result!$L$32</f>
        <v>-1372.9832667505252</v>
      </c>
      <c r="H550" s="36">
        <f>+[9]Result!$L$32-[8]Result!$L$32</f>
        <v>-1185.6559237744659</v>
      </c>
      <c r="I550" s="14">
        <f>+[10]Result!$L$32-[9]Result!$L$32</f>
        <v>-530.8591488666716</v>
      </c>
      <c r="J550" s="14">
        <f>+[11]Result!$L$32-[10]Result!$L$32</f>
        <v>-566.73243458516663</v>
      </c>
      <c r="K550" s="36">
        <f>+[12]Result!$L$32-[11]Result!$L$32</f>
        <v>-9347.2996230078861</v>
      </c>
      <c r="L550" s="14">
        <f>+[13]Result!$L$32-[12]Result!$L$32</f>
        <v>-21.339072149421554</v>
      </c>
      <c r="M550" s="14">
        <f>+[14]Result!$L$32-[13]Result!$L$32</f>
        <v>-1206.6984662414179</v>
      </c>
      <c r="N550" s="39"/>
    </row>
    <row r="551" spans="2:26" hidden="1" outlineLevel="2" x14ac:dyDescent="0.25">
      <c r="B551" s="17" t="s">
        <v>34</v>
      </c>
      <c r="C551" s="14">
        <f>+[1]Result!$L$33-[15]Result!$L$33</f>
        <v>-788.22763330987073</v>
      </c>
      <c r="D551" s="14">
        <f>+[5]Result!$L$33-[1]Result!$L$33</f>
        <v>988.94335575419245</v>
      </c>
      <c r="E551" s="36">
        <f>+[6]Result!$L$33-[5]Result!$L$33</f>
        <v>-5258.6977888412366</v>
      </c>
      <c r="F551" s="14">
        <f>+[7]Result!$L$33-[6]Result!$L$33</f>
        <v>902.66442989261122</v>
      </c>
      <c r="G551" s="14">
        <f>+[8]Result!$L$33-[7]Result!$L$33</f>
        <v>-1049.0467792509007</v>
      </c>
      <c r="H551" s="36">
        <f>+[9]Result!$L$33-[8]Result!$L$33</f>
        <v>-6379.3748433782021</v>
      </c>
      <c r="I551" s="14">
        <f>+[10]Result!$L$33-[9]Result!$L$33</f>
        <v>-380.0399821519386</v>
      </c>
      <c r="J551" s="14">
        <f>+[11]Result!$L$33-[10]Result!$L$33</f>
        <v>-469.09867816334008</v>
      </c>
      <c r="K551" s="36">
        <f>+[12]Result!$L$33-[11]Result!$L$33</f>
        <v>-9610.7644751585322</v>
      </c>
      <c r="L551" s="14">
        <f>+[13]Result!$L$33-[12]Result!$L$33</f>
        <v>0</v>
      </c>
      <c r="M551" s="14">
        <f>+[14]Result!$L$33-[13]Result!$L$33</f>
        <v>-1008.1189019175945</v>
      </c>
      <c r="N551" s="39"/>
    </row>
    <row r="552" spans="2:26" hidden="1" outlineLevel="2" x14ac:dyDescent="0.25">
      <c r="B552" s="17" t="s">
        <v>35</v>
      </c>
      <c r="C552" s="14">
        <f>+[1]Result!$L$34-[15]Result!$L$34</f>
        <v>-729.49112880873145</v>
      </c>
      <c r="D552" s="14">
        <f>+[5]Result!$L$34-[1]Result!$L$34</f>
        <v>958.47598769655451</v>
      </c>
      <c r="E552" s="36">
        <f>+[6]Result!$L$34-[5]Result!$L$34</f>
        <v>-5049.0950238410151</v>
      </c>
      <c r="F552" s="14">
        <f>+[7]Result!$L$34-[6]Result!$L$34</f>
        <v>812.34770222695079</v>
      </c>
      <c r="G552" s="14">
        <f>+[8]Result!$L$34-[7]Result!$L$34</f>
        <v>-960.25773800391471</v>
      </c>
      <c r="H552" s="36">
        <f>+[9]Result!$L$34-[8]Result!$L$34</f>
        <v>-6232.7944757752703</v>
      </c>
      <c r="I552" s="14">
        <f>+[10]Result!$L$34-[9]Result!$L$34</f>
        <v>-346.80976470428868</v>
      </c>
      <c r="J552" s="14">
        <f>+[11]Result!$L$34-[10]Result!$L$34</f>
        <v>-461.55263791009202</v>
      </c>
      <c r="K552" s="36">
        <f>+[12]Result!$L$34-[11]Result!$L$34</f>
        <v>-224.23508536288864</v>
      </c>
      <c r="L552" s="14">
        <f>+[13]Result!$L$34-[12]Result!$L$34</f>
        <v>0</v>
      </c>
      <c r="M552" s="14">
        <f>+[14]Result!$L$34-[13]Result!$L$34</f>
        <v>-796.38654286132078</v>
      </c>
      <c r="N552" s="39"/>
    </row>
    <row r="553" spans="2:26" hidden="1" outlineLevel="1" collapsed="1" x14ac:dyDescent="0.25">
      <c r="B553" s="16" t="s">
        <v>36</v>
      </c>
      <c r="C553" s="14">
        <f>+'[1]Stat by Mat 2'!$G$7-'[15]Stat by Mat 2'!$G$7</f>
        <v>-1041.0352221913636</v>
      </c>
      <c r="D553" s="14">
        <f>+'[5]Stat by Mat 2'!$G$7-'[1]Stat by Mat 2'!$G$7</f>
        <v>1366.0748661609396</v>
      </c>
      <c r="E553" s="36">
        <f>+'[6]Stat by Mat 2'!$G$7-'[5]Stat by Mat 2'!$G$7</f>
        <v>-6750.783617941619</v>
      </c>
      <c r="F553" s="14">
        <f>+'[7]Stat by Mat 2'!$G$7-'[6]Stat by Mat 2'!$G$7</f>
        <v>1083.4249775536009</v>
      </c>
      <c r="G553" s="14">
        <f>+'[8]Stat by Mat 2'!$G$7-'[7]Stat by Mat 2'!$G$7</f>
        <v>-1264.6733157007402</v>
      </c>
      <c r="H553" s="36">
        <f>+'[9]Stat by Mat 2'!$G$7-'[8]Stat by Mat 2'!$G$7</f>
        <v>-8209.4161074541917</v>
      </c>
      <c r="I553" s="14">
        <f>+'[10]Stat by Mat 2'!$G$7-'[9]Stat by Mat 2'!$G$7</f>
        <v>-417.50738784148416</v>
      </c>
      <c r="J553" s="14">
        <f>+'[11]Stat by Mat 2'!$G$7-'[10]Stat by Mat 2'!$G$7</f>
        <v>-495.69941283312801</v>
      </c>
      <c r="K553" s="36">
        <f>+'[12]Stat by Mat 2'!$G$7-'[11]Stat by Mat 2'!$G$7</f>
        <v>-4179.3384600628342</v>
      </c>
      <c r="L553" s="14">
        <f>+'[13]Stat by Mat 2'!$G$7-'[12]Stat by Mat 2'!$G$7</f>
        <v>-5.9109413604892325</v>
      </c>
      <c r="M553" s="14">
        <f>+'[14]Stat by Mat 2'!$G$7-'[13]Stat by Mat 2'!$G$7</f>
        <v>-813.01554989507713</v>
      </c>
      <c r="N553" s="39"/>
      <c r="O553" s="14">
        <f>+C553-SUM(C554:C573)</f>
        <v>7.2759576141834259E-12</v>
      </c>
      <c r="P553" s="14">
        <f t="shared" ref="P553:R553" si="180">+D553-SUM(D554:D573)</f>
        <v>-1.0459189070388675E-11</v>
      </c>
      <c r="Q553" s="14">
        <f t="shared" si="180"/>
        <v>0</v>
      </c>
      <c r="R553" s="14">
        <f t="shared" si="180"/>
        <v>2.5011104298755527E-12</v>
      </c>
      <c r="S553" s="14">
        <f t="shared" ref="S553" si="181">+G553-SUM(G554:G573)</f>
        <v>0</v>
      </c>
      <c r="T553" s="14">
        <f t="shared" ref="T553:Z553" si="182">+H553-SUM(H554:H573)</f>
        <v>0</v>
      </c>
      <c r="U553" s="14">
        <f t="shared" si="182"/>
        <v>4.5474735088646412E-12</v>
      </c>
      <c r="V553" s="14">
        <f t="shared" si="182"/>
        <v>-2.8421709430404007E-12</v>
      </c>
      <c r="W553" s="14">
        <f t="shared" si="182"/>
        <v>9.0949470177292824E-12</v>
      </c>
      <c r="X553" s="14">
        <f t="shared" si="182"/>
        <v>-4.226841099352896E-12</v>
      </c>
      <c r="Y553" s="14">
        <f t="shared" si="182"/>
        <v>-1.7394086171407253E-11</v>
      </c>
      <c r="Z553" s="14">
        <f t="shared" si="182"/>
        <v>0</v>
      </c>
    </row>
    <row r="554" spans="2:26" hidden="1" outlineLevel="2" x14ac:dyDescent="0.25">
      <c r="B554" s="17" t="s">
        <v>37</v>
      </c>
      <c r="C554" s="14">
        <f>+[1]Result!$L$35-[15]Result!$L$35</f>
        <v>-383.87834186755936</v>
      </c>
      <c r="D554" s="14">
        <f>+[5]Result!$L$35-[1]Result!$L$35</f>
        <v>504.13451796580921</v>
      </c>
      <c r="E554" s="36">
        <f>+[6]Result!$L$35-[5]Result!$L$35</f>
        <v>-2497.2383987981011</v>
      </c>
      <c r="F554" s="14">
        <f>+[7]Result!$L$35-[6]Result!$L$35</f>
        <v>425.62299477891065</v>
      </c>
      <c r="G554" s="14">
        <f>+[8]Result!$L$35-[7]Result!$L$35</f>
        <v>-485.74666611864814</v>
      </c>
      <c r="H554" s="36">
        <f>+[9]Result!$L$35-[8]Result!$L$35</f>
        <v>-2783.8142844171962</v>
      </c>
      <c r="I554" s="14">
        <f>+[10]Result!$L$35-[9]Result!$L$35</f>
        <v>-170.92457200739591</v>
      </c>
      <c r="J554" s="14">
        <f>+[11]Result!$L$35-[10]Result!$L$35</f>
        <v>-222.73049654318311</v>
      </c>
      <c r="K554" s="36">
        <f>+[12]Result!$L$35-[11]Result!$L$35</f>
        <v>-393.49323460215237</v>
      </c>
      <c r="L554" s="14">
        <f>+[13]Result!$L$35-[12]Result!$L$35</f>
        <v>-19.373540755244903</v>
      </c>
      <c r="M554" s="14">
        <f>+[14]Result!$L$35-[13]Result!$L$35</f>
        <v>-363.5895011586108</v>
      </c>
      <c r="N554" s="39"/>
    </row>
    <row r="555" spans="2:26" hidden="1" outlineLevel="2" x14ac:dyDescent="0.25">
      <c r="B555" s="17" t="s">
        <v>38</v>
      </c>
      <c r="C555" s="14">
        <f>+[1]Result!$L$36-[15]Result!$L$36</f>
        <v>-214.59916967646859</v>
      </c>
      <c r="D555" s="14">
        <f>+[5]Result!$L$36-[1]Result!$L$36</f>
        <v>281.20471737236949</v>
      </c>
      <c r="E555" s="36">
        <f>+[6]Result!$L$36-[5]Result!$L$36</f>
        <v>-1175.5204608442873</v>
      </c>
      <c r="F555" s="14">
        <f>+[7]Result!$L$36-[6]Result!$L$36</f>
        <v>233.72114978644822</v>
      </c>
      <c r="G555" s="14">
        <f>+[8]Result!$L$36-[7]Result!$L$36</f>
        <v>-272.60953973438882</v>
      </c>
      <c r="H555" s="36">
        <f>+[9]Result!$L$36-[8]Result!$L$36</f>
        <v>-1310.6476854752691</v>
      </c>
      <c r="I555" s="14">
        <f>+[10]Result!$L$36-[9]Result!$L$36</f>
        <v>-85.905374725232832</v>
      </c>
      <c r="J555" s="14">
        <f>+[11]Result!$L$36-[10]Result!$L$36</f>
        <v>-112.25726779230172</v>
      </c>
      <c r="K555" s="36">
        <f>+[12]Result!$L$36-[11]Result!$L$36</f>
        <v>-829.42948230380716</v>
      </c>
      <c r="L555" s="14">
        <f>+[13]Result!$L$36-[12]Result!$L$36</f>
        <v>-8.2447398358781356</v>
      </c>
      <c r="M555" s="14">
        <f>+[14]Result!$L$36-[13]Result!$L$36</f>
        <v>-187.26096181951289</v>
      </c>
      <c r="N555" s="39"/>
    </row>
    <row r="556" spans="2:26" hidden="1" outlineLevel="2" x14ac:dyDescent="0.25">
      <c r="B556" s="17" t="s">
        <v>39</v>
      </c>
      <c r="C556" s="14">
        <f>+[1]Result!$L$37-[15]Result!$L$37</f>
        <v>-141.17656904103933</v>
      </c>
      <c r="D556" s="14">
        <f>+[5]Result!$L$37-[1]Result!$L$37</f>
        <v>183.64113777363673</v>
      </c>
      <c r="E556" s="36">
        <f>+[6]Result!$L$37-[5]Result!$L$37</f>
        <v>-855.57483882059751</v>
      </c>
      <c r="F556" s="14">
        <f>+[7]Result!$L$37-[6]Result!$L$37</f>
        <v>143.32849111440009</v>
      </c>
      <c r="G556" s="14">
        <f>+[8]Result!$L$37-[7]Result!$L$37</f>
        <v>-172.7624111991463</v>
      </c>
      <c r="H556" s="36">
        <f>+[9]Result!$L$37-[8]Result!$L$37</f>
        <v>-915.94582178896962</v>
      </c>
      <c r="I556" s="14">
        <f>+[10]Result!$L$37-[9]Result!$L$37</f>
        <v>-53.282262680251733</v>
      </c>
      <c r="J556" s="14">
        <f>+[11]Result!$L$37-[10]Result!$L$37</f>
        <v>-66.506937395541172</v>
      </c>
      <c r="K556" s="36">
        <f>+[12]Result!$L$37-[11]Result!$L$37</f>
        <v>-1129.3648950846036</v>
      </c>
      <c r="L556" s="14">
        <f>+[13]Result!$L$37-[12]Result!$L$37</f>
        <v>5.2912061349779833</v>
      </c>
      <c r="M556" s="14">
        <f>+[14]Result!$L$37-[13]Result!$L$37</f>
        <v>-122.60764719649887</v>
      </c>
      <c r="N556" s="39"/>
    </row>
    <row r="557" spans="2:26" hidden="1" outlineLevel="2" x14ac:dyDescent="0.25">
      <c r="B557" s="17" t="s">
        <v>40</v>
      </c>
      <c r="C557" s="14">
        <f>+[1]Result!$L$38-[15]Result!$L$38</f>
        <v>-108.46304599827272</v>
      </c>
      <c r="D557" s="14">
        <f>+[5]Result!$L$38-[1]Result!$L$38</f>
        <v>141.46437365541351</v>
      </c>
      <c r="E557" s="36">
        <f>+[6]Result!$L$38-[5]Result!$L$38</f>
        <v>-768.88447299600375</v>
      </c>
      <c r="F557" s="14">
        <f>+[7]Result!$L$38-[6]Result!$L$38</f>
        <v>104.25197161174583</v>
      </c>
      <c r="G557" s="14">
        <f>+[8]Result!$L$38-[7]Result!$L$38</f>
        <v>-125.06406312487525</v>
      </c>
      <c r="H557" s="36">
        <f>+[9]Result!$L$38-[8]Result!$L$38</f>
        <v>-796.31259104534547</v>
      </c>
      <c r="I557" s="14">
        <f>+[10]Result!$L$38-[9]Result!$L$38</f>
        <v>-47.667881946785201</v>
      </c>
      <c r="J557" s="14">
        <f>+[11]Result!$L$38-[10]Result!$L$38</f>
        <v>-44.609084564566729</v>
      </c>
      <c r="K557" s="36">
        <f>+[12]Result!$L$38-[11]Result!$L$38</f>
        <v>-521.28897196014441</v>
      </c>
      <c r="L557" s="14">
        <f>+[13]Result!$L$38-[12]Result!$L$38</f>
        <v>4.4640462313836906</v>
      </c>
      <c r="M557" s="14">
        <f>+[14]Result!$L$38-[13]Result!$L$38</f>
        <v>-78.996410872852721</v>
      </c>
      <c r="N557" s="39"/>
    </row>
    <row r="558" spans="2:26" hidden="1" outlineLevel="2" x14ac:dyDescent="0.25">
      <c r="B558" s="17" t="s">
        <v>41</v>
      </c>
      <c r="C558" s="14">
        <f>+[1]Result!$L$39-[15]Result!$L$39</f>
        <v>-72.271439015050419</v>
      </c>
      <c r="D558" s="14">
        <f>+[5]Result!$L$39-[1]Result!$L$39</f>
        <v>97.271784742850286</v>
      </c>
      <c r="E558" s="36">
        <f>+[6]Result!$L$39-[5]Result!$L$39</f>
        <v>-347.24340141106222</v>
      </c>
      <c r="F558" s="14">
        <f>+[7]Result!$L$39-[6]Result!$L$39</f>
        <v>70.838220803132572</v>
      </c>
      <c r="G558" s="14">
        <f>+[8]Result!$L$39-[7]Result!$L$39</f>
        <v>-85.849565991491545</v>
      </c>
      <c r="H558" s="36">
        <f>+[9]Result!$L$39-[8]Result!$L$39</f>
        <v>-503.42964962629048</v>
      </c>
      <c r="I558" s="14">
        <f>+[10]Result!$L$39-[9]Result!$L$39</f>
        <v>-36.62391645367461</v>
      </c>
      <c r="J558" s="14">
        <f>+[11]Result!$L$39-[10]Result!$L$39</f>
        <v>-27.965477522553556</v>
      </c>
      <c r="K558" s="36">
        <f>+[12]Result!$L$39-[11]Result!$L$39</f>
        <v>-200.63921383038905</v>
      </c>
      <c r="L558" s="14">
        <f>+[13]Result!$L$39-[12]Result!$L$39</f>
        <v>3.5583201597328298</v>
      </c>
      <c r="M558" s="14">
        <f>+[14]Result!$L$39-[13]Result!$L$39</f>
        <v>-46.698396005322138</v>
      </c>
      <c r="N558" s="39"/>
    </row>
    <row r="559" spans="2:26" hidden="1" outlineLevel="2" x14ac:dyDescent="0.25">
      <c r="B559" s="17" t="s">
        <v>42</v>
      </c>
      <c r="C559" s="14">
        <f>+[1]Result!$L$40-[15]Result!$L$40</f>
        <v>-43.782511068086023</v>
      </c>
      <c r="D559" s="14">
        <f>+[5]Result!$L$40-[1]Result!$L$40</f>
        <v>59.636284225831332</v>
      </c>
      <c r="E559" s="36">
        <f>+[6]Result!$L$40-[5]Result!$L$40</f>
        <v>-269.57976257841437</v>
      </c>
      <c r="F559" s="14">
        <f>+[7]Result!$L$40-[6]Result!$L$40</f>
        <v>42.092061743329396</v>
      </c>
      <c r="G559" s="14">
        <f>+[8]Result!$L$40-[7]Result!$L$40</f>
        <v>-50.222660002516932</v>
      </c>
      <c r="H559" s="36">
        <f>+[9]Result!$L$40-[8]Result!$L$40</f>
        <v>-437.40352982294644</v>
      </c>
      <c r="I559" s="14">
        <f>+[10]Result!$L$40-[9]Result!$L$40</f>
        <v>-14.973296104155452</v>
      </c>
      <c r="J559" s="14">
        <f>+[11]Result!$L$40-[10]Result!$L$40</f>
        <v>-14.803243178135745</v>
      </c>
      <c r="K559" s="36">
        <f>+[12]Result!$L$40-[11]Result!$L$40</f>
        <v>-363.21177854268535</v>
      </c>
      <c r="L559" s="14">
        <f>+[13]Result!$L$40-[12]Result!$L$40</f>
        <v>4.0141866172161826</v>
      </c>
      <c r="M559" s="14">
        <f>+[14]Result!$L$40-[13]Result!$L$40</f>
        <v>-23.782077407304314</v>
      </c>
      <c r="N559" s="39"/>
    </row>
    <row r="560" spans="2:26" hidden="1" outlineLevel="2" x14ac:dyDescent="0.25">
      <c r="B560" s="17" t="s">
        <v>43</v>
      </c>
      <c r="C560" s="14">
        <f>+[1]Result!$L$41-[15]Result!$L$41</f>
        <v>-27.63807600992368</v>
      </c>
      <c r="D560" s="14">
        <f>+[5]Result!$L$41-[1]Result!$L$41</f>
        <v>39.089964636474178</v>
      </c>
      <c r="E560" s="36">
        <f>+[6]Result!$L$41-[5]Result!$L$41</f>
        <v>-264.45253229563605</v>
      </c>
      <c r="F560" s="14">
        <f>+[7]Result!$L$41-[6]Result!$L$41</f>
        <v>25.246084459144186</v>
      </c>
      <c r="G560" s="14">
        <f>+[8]Result!$L$41-[7]Result!$L$41</f>
        <v>-29.52379677375211</v>
      </c>
      <c r="H560" s="36">
        <f>+[9]Result!$L$41-[8]Result!$L$41</f>
        <v>-375.37334862793068</v>
      </c>
      <c r="I560" s="14">
        <f>+[10]Result!$L$41-[9]Result!$L$41</f>
        <v>-8.0074783478776226</v>
      </c>
      <c r="J560" s="14">
        <f>+[11]Result!$L$41-[10]Result!$L$41</f>
        <v>-6.5641958467440418</v>
      </c>
      <c r="K560" s="36">
        <f>+[12]Result!$L$41-[11]Result!$L$41</f>
        <v>-458.68713360278889</v>
      </c>
      <c r="L560" s="14">
        <f>+[13]Result!$L$41-[12]Result!$L$41</f>
        <v>3.1832835643399449</v>
      </c>
      <c r="M560" s="14">
        <f>+[14]Result!$L$41-[13]Result!$L$41</f>
        <v>-9.7175587346137036</v>
      </c>
      <c r="N560" s="39"/>
    </row>
    <row r="561" spans="2:26" hidden="1" outlineLevel="2" x14ac:dyDescent="0.25">
      <c r="B561" s="17" t="s">
        <v>44</v>
      </c>
      <c r="C561" s="14">
        <f>+[1]Result!$L$42-[15]Result!$L$42</f>
        <v>-18.18120463658488</v>
      </c>
      <c r="D561" s="14">
        <f>+[5]Result!$L$42-[1]Result!$L$42</f>
        <v>23.86503886704304</v>
      </c>
      <c r="E561" s="36">
        <f>+[6]Result!$L$42-[5]Result!$L$42</f>
        <v>-300.6524529934195</v>
      </c>
      <c r="F561" s="14">
        <f>+[7]Result!$L$42-[6]Result!$L$42</f>
        <v>17.868072209083039</v>
      </c>
      <c r="G561" s="14">
        <f>+[8]Result!$L$42-[7]Result!$L$42</f>
        <v>-20.554865053945832</v>
      </c>
      <c r="H561" s="36">
        <f>+[9]Result!$L$42-[8]Result!$L$42</f>
        <v>-365.02127162262332</v>
      </c>
      <c r="I561" s="14">
        <f>+[10]Result!$L$42-[9]Result!$L$42</f>
        <v>-3.9061977305664186</v>
      </c>
      <c r="J561" s="14">
        <f>+[11]Result!$L$42-[10]Result!$L$42</f>
        <v>-4.776303144344638</v>
      </c>
      <c r="K561" s="36">
        <f>+[12]Result!$L$42-[11]Result!$L$42</f>
        <v>-508.17839249654571</v>
      </c>
      <c r="L561" s="14">
        <f>+[13]Result!$L$42-[12]Result!$L$42</f>
        <v>2.7545423296833178</v>
      </c>
      <c r="M561" s="14">
        <f>+[14]Result!$L$42-[13]Result!$L$42</f>
        <v>-0.96437184759815864</v>
      </c>
      <c r="N561" s="39"/>
    </row>
    <row r="562" spans="2:26" hidden="1" outlineLevel="2" x14ac:dyDescent="0.25">
      <c r="B562" s="17" t="s">
        <v>45</v>
      </c>
      <c r="C562" s="14">
        <f>+[1]Result!$L$43-[15]Result!$L$43</f>
        <v>-16.320692315393899</v>
      </c>
      <c r="D562" s="14">
        <f>+[5]Result!$L$43-[1]Result!$L$43</f>
        <v>18.56515120603035</v>
      </c>
      <c r="E562" s="36">
        <f>+[6]Result!$L$43-[5]Result!$L$43</f>
        <v>-287.52567522164463</v>
      </c>
      <c r="F562" s="14">
        <f>+[7]Result!$L$43-[6]Result!$L$43</f>
        <v>13.670216907306894</v>
      </c>
      <c r="G562" s="14">
        <f>+[8]Result!$L$43-[7]Result!$L$43</f>
        <v>-15.454318687929117</v>
      </c>
      <c r="H562" s="36">
        <f>+[9]Result!$L$43-[8]Result!$L$43</f>
        <v>-263.8411164665431</v>
      </c>
      <c r="I562" s="14">
        <f>+[10]Result!$L$43-[9]Result!$L$43</f>
        <v>-0.50930813488048443</v>
      </c>
      <c r="J562" s="14">
        <f>+[11]Result!$L$43-[10]Result!$L$43</f>
        <v>-1.0361768636357738</v>
      </c>
      <c r="K562" s="36">
        <f>+[12]Result!$L$43-[11]Result!$L$43</f>
        <v>-122.86846488495939</v>
      </c>
      <c r="L562" s="14">
        <f>+[13]Result!$L$43-[12]Result!$L$43</f>
        <v>0.17847807137331984</v>
      </c>
      <c r="M562" s="14">
        <f>+[14]Result!$L$43-[13]Result!$L$43</f>
        <v>4.252020479991188</v>
      </c>
      <c r="N562" s="39"/>
    </row>
    <row r="563" spans="2:26" hidden="1" outlineLevel="2" x14ac:dyDescent="0.25">
      <c r="B563" s="17" t="s">
        <v>46</v>
      </c>
      <c r="C563" s="14">
        <f>+[1]Result!$L$44-[15]Result!$L$44</f>
        <v>-10.930913647038324</v>
      </c>
      <c r="D563" s="14">
        <f>+[5]Result!$L$44-[1]Result!$L$44</f>
        <v>12.703222403888503</v>
      </c>
      <c r="E563" s="36">
        <f>+[6]Result!$L$44-[5]Result!$L$44</f>
        <v>39.236852598995029</v>
      </c>
      <c r="F563" s="14">
        <f>+[7]Result!$L$44-[6]Result!$L$44</f>
        <v>6.0905675264802994</v>
      </c>
      <c r="G563" s="14">
        <f>+[8]Result!$L$44-[7]Result!$L$44</f>
        <v>-6.9253687220916618</v>
      </c>
      <c r="H563" s="36">
        <f>+[9]Result!$L$44-[8]Result!$L$44</f>
        <v>-252.37605734239878</v>
      </c>
      <c r="I563" s="14">
        <f>+[10]Result!$L$44-[9]Result!$L$44</f>
        <v>1.2707631955254328</v>
      </c>
      <c r="J563" s="14">
        <f>+[11]Result!$L$44-[10]Result!$L$44</f>
        <v>1.6544548022648087</v>
      </c>
      <c r="K563" s="36">
        <f>+[12]Result!$L$44-[11]Result!$L$44</f>
        <v>200.61453477899795</v>
      </c>
      <c r="L563" s="14">
        <f>+[13]Result!$L$44-[12]Result!$L$44</f>
        <v>-1.8638736279353907</v>
      </c>
      <c r="M563" s="14">
        <f>+[14]Result!$L$44-[13]Result!$L$44</f>
        <v>6.8109777227318773</v>
      </c>
      <c r="N563" s="39"/>
    </row>
    <row r="564" spans="2:26" hidden="1" outlineLevel="2" x14ac:dyDescent="0.25">
      <c r="B564" s="17" t="s">
        <v>47</v>
      </c>
      <c r="C564" s="14">
        <f>+[1]Result!$L$45-[15]Result!$L$45</f>
        <v>-2.8083450336162059</v>
      </c>
      <c r="D564" s="14">
        <f>+[5]Result!$L$45-[1]Result!$L$45</f>
        <v>3.2923693728771468</v>
      </c>
      <c r="E564" s="36">
        <f>+[6]Result!$L$45-[5]Result!$L$45</f>
        <v>-2.5879773103683874</v>
      </c>
      <c r="F564" s="14">
        <f>+[7]Result!$L$45-[6]Result!$L$45</f>
        <v>1.0995737681168976</v>
      </c>
      <c r="G564" s="14">
        <f>+[8]Result!$L$45-[7]Result!$L$45</f>
        <v>-1.2425083150287719</v>
      </c>
      <c r="H564" s="36">
        <f>+[9]Result!$L$45-[8]Result!$L$45</f>
        <v>-110.80098251515847</v>
      </c>
      <c r="I564" s="14">
        <f>+[10]Result!$L$45-[9]Result!$L$45</f>
        <v>1.205525592055892</v>
      </c>
      <c r="J564" s="14">
        <f>+[11]Result!$L$45-[10]Result!$L$45</f>
        <v>1.4473522575185598</v>
      </c>
      <c r="K564" s="36">
        <f>+[12]Result!$L$45-[11]Result!$L$45</f>
        <v>86.670173662238085</v>
      </c>
      <c r="L564" s="14">
        <f>+[13]Result!$L$45-[12]Result!$L$45</f>
        <v>8.6161507264478132E-2</v>
      </c>
      <c r="M564" s="14">
        <f>+[14]Result!$L$45-[13]Result!$L$45</f>
        <v>3.817028137815214</v>
      </c>
      <c r="N564" s="39"/>
    </row>
    <row r="565" spans="2:26" hidden="1" outlineLevel="2" x14ac:dyDescent="0.25">
      <c r="B565" s="17" t="s">
        <v>48</v>
      </c>
      <c r="C565" s="14">
        <f>+[1]Result!$L$46-[15]Result!$L$46</f>
        <v>-0.7833160720365413</v>
      </c>
      <c r="D565" s="14">
        <f>+[5]Result!$L$46-[1]Result!$L$46</f>
        <v>0.88407350464217416</v>
      </c>
      <c r="E565" s="36">
        <f>+[6]Result!$L$46-[5]Result!$L$46</f>
        <v>-6.9601033831324912</v>
      </c>
      <c r="F565" s="14">
        <f>+[7]Result!$L$46-[6]Result!$L$46</f>
        <v>0.15077272876465031</v>
      </c>
      <c r="G565" s="14">
        <f>+[8]Result!$L$46-[7]Result!$L$46</f>
        <v>0.15838400995471602</v>
      </c>
      <c r="H565" s="36">
        <f>+[9]Result!$L$46-[8]Result!$L$46</f>
        <v>-46.763027711339646</v>
      </c>
      <c r="I565" s="14">
        <f>+[10]Result!$L$46-[9]Result!$L$46</f>
        <v>0.49252141449846931</v>
      </c>
      <c r="J565" s="14">
        <f>+[11]Result!$L$46-[10]Result!$L$46</f>
        <v>0.92510470121555954</v>
      </c>
      <c r="K565" s="36">
        <f>+[12]Result!$L$46-[11]Result!$L$46</f>
        <v>30.080300722245966</v>
      </c>
      <c r="L565" s="14">
        <f>+[13]Result!$L$46-[12]Result!$L$46</f>
        <v>4.4762848925756771E-2</v>
      </c>
      <c r="M565" s="14">
        <f>+[14]Result!$L$46-[13]Result!$L$46</f>
        <v>1.9393321299903619</v>
      </c>
      <c r="N565" s="39"/>
    </row>
    <row r="566" spans="2:26" hidden="1" outlineLevel="2" x14ac:dyDescent="0.25">
      <c r="B566" s="17" t="s">
        <v>49</v>
      </c>
      <c r="C566" s="14">
        <f>+[1]Result!$L$47-[15]Result!$L$47</f>
        <v>-0.36339576873353963</v>
      </c>
      <c r="D566" s="14">
        <f>+[5]Result!$L$47-[1]Result!$L$47</f>
        <v>0.41700444271361903</v>
      </c>
      <c r="E566" s="36">
        <f>+[6]Result!$L$47-[5]Result!$L$47</f>
        <v>-7.859152951818146</v>
      </c>
      <c r="F566" s="14">
        <f>+[7]Result!$L$47-[6]Result!$L$47</f>
        <v>7.6253235492799831E-2</v>
      </c>
      <c r="G566" s="14">
        <f>+[8]Result!$L$47-[7]Result!$L$47</f>
        <v>0.27992621288422015</v>
      </c>
      <c r="H566" s="36">
        <f>+[9]Result!$L$47-[8]Result!$L$47</f>
        <v>-21.445647063565957</v>
      </c>
      <c r="I566" s="14">
        <f>+[10]Result!$L$47-[9]Result!$L$47</f>
        <v>0.44623187785771279</v>
      </c>
      <c r="J566" s="14">
        <f>+[11]Result!$L$47-[10]Result!$L$47</f>
        <v>0.48548294681665993</v>
      </c>
      <c r="K566" s="36">
        <f>+[12]Result!$L$47-[11]Result!$L$47</f>
        <v>12.645498346381487</v>
      </c>
      <c r="L566" s="14">
        <f>+[13]Result!$L$47-[12]Result!$L$47</f>
        <v>2.6973651706043711E-2</v>
      </c>
      <c r="M566" s="14">
        <f>+[14]Result!$L$47-[13]Result!$L$47</f>
        <v>1.3489096006367163</v>
      </c>
      <c r="N566" s="39"/>
    </row>
    <row r="567" spans="2:26" hidden="1" outlineLevel="2" x14ac:dyDescent="0.25">
      <c r="B567" s="17" t="s">
        <v>50</v>
      </c>
      <c r="C567" s="14">
        <f>+[1]Result!$L$48-[15]Result!$L$48</f>
        <v>-0.10774078363937178</v>
      </c>
      <c r="D567" s="14">
        <f>+[5]Result!$L$48-[1]Result!$L$48</f>
        <v>0.14218854586027874</v>
      </c>
      <c r="E567" s="36">
        <f>+[6]Result!$L$48-[5]Result!$L$48</f>
        <v>-2.5848331514659435</v>
      </c>
      <c r="F567" s="14">
        <f>+[7]Result!$L$48-[6]Result!$L$48</f>
        <v>-0.12838714741309332</v>
      </c>
      <c r="G567" s="14">
        <f>+[8]Result!$L$48-[7]Result!$L$48</f>
        <v>0.24724804039260562</v>
      </c>
      <c r="H567" s="36">
        <f>+[9]Result!$L$48-[8]Result!$L$48</f>
        <v>-11.179879177767077</v>
      </c>
      <c r="I567" s="14">
        <f>+[10]Result!$L$48-[9]Result!$L$48</f>
        <v>0.37624090090901063</v>
      </c>
      <c r="J567" s="14">
        <f>+[11]Result!$L$48-[10]Result!$L$48</f>
        <v>0.40893450543813969</v>
      </c>
      <c r="K567" s="36">
        <f>+[12]Result!$L$48-[11]Result!$L$48</f>
        <v>7.4580070397374243</v>
      </c>
      <c r="L567" s="14">
        <f>+[13]Result!$L$48-[12]Result!$L$48</f>
        <v>1.8502170056137857E-2</v>
      </c>
      <c r="M567" s="14">
        <f>+[14]Result!$L$48-[13]Result!$L$48</f>
        <v>1.0244472727047196</v>
      </c>
      <c r="N567" s="39"/>
    </row>
    <row r="568" spans="2:26" hidden="1" outlineLevel="2" x14ac:dyDescent="0.25">
      <c r="B568" s="17" t="s">
        <v>51</v>
      </c>
      <c r="C568" s="14">
        <f>+[1]Result!$L$49-[15]Result!$L$49</f>
        <v>7.2028371339598607E-2</v>
      </c>
      <c r="D568" s="14">
        <f>+[5]Result!$L$49-[1]Result!$L$49</f>
        <v>-5.0215684835734464E-2</v>
      </c>
      <c r="E568" s="36">
        <f>+[6]Result!$L$49-[5]Result!$L$49</f>
        <v>-2.2133843262700452</v>
      </c>
      <c r="F568" s="14">
        <f>+[7]Result!$L$49-[6]Result!$L$49</f>
        <v>-0.19063271269394022</v>
      </c>
      <c r="G568" s="14">
        <f>+[8]Result!$L$49-[7]Result!$L$49</f>
        <v>0.18435020205998853</v>
      </c>
      <c r="H568" s="36">
        <f>+[9]Result!$L$49-[8]Result!$L$49</f>
        <v>-6.9614554254145844</v>
      </c>
      <c r="I568" s="14">
        <f>+[10]Result!$L$49-[9]Result!$L$49</f>
        <v>0.20899036654643055</v>
      </c>
      <c r="J568" s="14">
        <f>+[11]Result!$L$49-[10]Result!$L$49</f>
        <v>0.2854748336513353</v>
      </c>
      <c r="K568" s="36">
        <f>+[12]Result!$L$49-[11]Result!$L$49</f>
        <v>4.1350495336485551</v>
      </c>
      <c r="L568" s="14">
        <f>+[13]Result!$L$49-[12]Result!$L$49</f>
        <v>-5.5506266339989452E-2</v>
      </c>
      <c r="M568" s="14">
        <f>+[14]Result!$L$49-[13]Result!$L$49</f>
        <v>0.63655479521577263</v>
      </c>
      <c r="N568" s="39"/>
    </row>
    <row r="569" spans="2:26" hidden="1" outlineLevel="2" x14ac:dyDescent="0.25">
      <c r="B569" s="17" t="s">
        <v>52</v>
      </c>
      <c r="C569" s="14">
        <f>+[1]Result!$L$50-[15]Result!$L$50</f>
        <v>8.3845689770953413E-2</v>
      </c>
      <c r="D569" s="14">
        <f>+[5]Result!$L$50-[1]Result!$L$50</f>
        <v>-6.9831770350020861E-2</v>
      </c>
      <c r="E569" s="36">
        <f>+[6]Result!$L$50-[5]Result!$L$50</f>
        <v>-1.0133201971536749</v>
      </c>
      <c r="F569" s="14">
        <f>+[7]Result!$L$50-[6]Result!$L$50</f>
        <v>-0.14112446105089305</v>
      </c>
      <c r="G569" s="14">
        <f>+[8]Result!$L$50-[7]Result!$L$50</f>
        <v>0.17348010013270709</v>
      </c>
      <c r="H569" s="36">
        <f>+[9]Result!$L$50-[8]Result!$L$50</f>
        <v>-3.8963792702375599</v>
      </c>
      <c r="I569" s="14">
        <f>+[10]Result!$L$50-[9]Result!$L$50</f>
        <v>0.13845623066495705</v>
      </c>
      <c r="J569" s="14">
        <f>+[11]Result!$L$50-[10]Result!$L$50</f>
        <v>0.15693910746963979</v>
      </c>
      <c r="K569" s="36">
        <f>+[12]Result!$L$50-[11]Result!$L$50</f>
        <v>2.8086912001333246</v>
      </c>
      <c r="L569" s="14">
        <f>+[13]Result!$L$50-[12]Result!$L$50</f>
        <v>7.1828919538177161E-3</v>
      </c>
      <c r="M569" s="14">
        <f>+[14]Result!$L$50-[13]Result!$L$50</f>
        <v>0.37044939701856094</v>
      </c>
      <c r="N569" s="39"/>
    </row>
    <row r="570" spans="2:26" hidden="1" outlineLevel="2" x14ac:dyDescent="0.25">
      <c r="B570" s="17" t="s">
        <v>53</v>
      </c>
      <c r="C570" s="14">
        <f>+[1]Result!$L$51-[15]Result!$L$51</f>
        <v>6.1206906902953051E-2</v>
      </c>
      <c r="D570" s="14">
        <f>+[5]Result!$L$51-[1]Result!$L$51</f>
        <v>-5.2482143911987578E-2</v>
      </c>
      <c r="E570" s="36">
        <f>+[6]Result!$L$51-[5]Result!$L$51</f>
        <v>-0.56324629453384034</v>
      </c>
      <c r="F570" s="14">
        <f>+[7]Result!$L$51-[6]Result!$L$51</f>
        <v>-9.3040442311405513E-2</v>
      </c>
      <c r="G570" s="14">
        <f>+[8]Result!$L$51-[7]Result!$L$51</f>
        <v>0.13507054972652099</v>
      </c>
      <c r="H570" s="36">
        <f>+[9]Result!$L$51-[8]Result!$L$51</f>
        <v>-2.3539991334619401</v>
      </c>
      <c r="I570" s="14">
        <f>+[10]Result!$L$51-[9]Result!$L$51</f>
        <v>9.2111911210508879E-2</v>
      </c>
      <c r="J570" s="14">
        <f>+[11]Result!$L$51-[10]Result!$L$51</f>
        <v>0.10341161346700289</v>
      </c>
      <c r="K570" s="36">
        <f>+[12]Result!$L$51-[11]Result!$L$51</f>
        <v>1.8828285073076145</v>
      </c>
      <c r="L570" s="14">
        <f>+[13]Result!$L$51-[12]Result!$L$51</f>
        <v>4.2414417122529358E-3</v>
      </c>
      <c r="M570" s="14">
        <f>+[14]Result!$L$51-[13]Result!$L$51</f>
        <v>0.2305572867776462</v>
      </c>
      <c r="N570" s="39"/>
    </row>
    <row r="571" spans="2:26" hidden="1" outlineLevel="2" x14ac:dyDescent="0.25">
      <c r="B571" s="17" t="s">
        <v>54</v>
      </c>
      <c r="C571" s="14">
        <f>+[1]Result!$L$52-[15]Result!$L$52</f>
        <v>3.5543309573224491E-2</v>
      </c>
      <c r="D571" s="14">
        <f>+[5]Result!$L$52-[1]Result!$L$52</f>
        <v>-4.0758170373223379E-2</v>
      </c>
      <c r="E571" s="36">
        <f>+[6]Result!$L$52-[5]Result!$L$52</f>
        <v>0.13978539802723944</v>
      </c>
      <c r="F571" s="14">
        <f>+[7]Result!$L$52-[6]Result!$L$52</f>
        <v>-5.1757764357954983E-2</v>
      </c>
      <c r="G571" s="14">
        <f>+[8]Result!$L$52-[7]Result!$L$52</f>
        <v>6.9613799517604491E-2</v>
      </c>
      <c r="H571" s="36">
        <f>+[9]Result!$L$52-[8]Result!$L$52</f>
        <v>-1.4205786004430685</v>
      </c>
      <c r="I571" s="14">
        <f>+[10]Result!$L$52-[9]Result!$L$52</f>
        <v>4.33019015128977E-2</v>
      </c>
      <c r="J571" s="14">
        <f>+[11]Result!$L$52-[10]Result!$L$52</f>
        <v>5.3314424115399106E-2</v>
      </c>
      <c r="K571" s="36">
        <f>+[12]Result!$L$52-[11]Result!$L$52</f>
        <v>0.9846313711405692</v>
      </c>
      <c r="L571" s="14">
        <f>+[13]Result!$L$52-[12]Result!$L$52</f>
        <v>-6.9374669935058364E-3</v>
      </c>
      <c r="M571" s="14">
        <f>+[14]Result!$L$52-[13]Result!$L$52</f>
        <v>0.11778714013641434</v>
      </c>
      <c r="N571" s="39"/>
    </row>
    <row r="572" spans="2:26" hidden="1" outlineLevel="2" x14ac:dyDescent="0.25">
      <c r="B572" s="17" t="s">
        <v>55</v>
      </c>
      <c r="C572" s="14">
        <f>+[1]Result!$L$53-[15]Result!$L$53</f>
        <v>1.3381868484533044E-2</v>
      </c>
      <c r="D572" s="14">
        <f>+[5]Result!$L$53-[1]Result!$L$53</f>
        <v>-1.8797434194883778E-2</v>
      </c>
      <c r="E572" s="36">
        <f>+[6]Result!$L$53-[5]Result!$L$53</f>
        <v>0.1729900695407629</v>
      </c>
      <c r="F572" s="14">
        <f>+[7]Result!$L$53-[6]Result!$L$53</f>
        <v>-2.1638305651631384E-2</v>
      </c>
      <c r="G572" s="14">
        <f>+[8]Result!$L$53-[7]Result!$L$53</f>
        <v>2.7818951358142385E-2</v>
      </c>
      <c r="H572" s="36">
        <f>+[9]Result!$L$53-[8]Result!$L$53</f>
        <v>-0.2964961609562824</v>
      </c>
      <c r="I572" s="14">
        <f>+[10]Result!$L$53-[9]Result!$L$53</f>
        <v>1.4327685380353117E-2</v>
      </c>
      <c r="J572" s="14">
        <f>+[11]Result!$L$53-[10]Result!$L$53</f>
        <v>2.2635200741019545E-2</v>
      </c>
      <c r="K572" s="36">
        <f>+[12]Result!$L$53-[11]Result!$L$53</f>
        <v>0.42437711062190608</v>
      </c>
      <c r="L572" s="14">
        <f>+[13]Result!$L$53-[12]Result!$L$53</f>
        <v>7.5631420095589874E-4</v>
      </c>
      <c r="M572" s="14">
        <f>+[14]Result!$L$53-[13]Result!$L$53</f>
        <v>4.2370954460615451E-2</v>
      </c>
      <c r="N572" s="39"/>
    </row>
    <row r="573" spans="2:26" hidden="1" outlineLevel="2" x14ac:dyDescent="0.25">
      <c r="B573" s="17" t="s">
        <v>56</v>
      </c>
      <c r="C573" s="14">
        <f>+[1]Result!$L$54-[15]Result!$L$54</f>
        <v>3.5325960008005808E-3</v>
      </c>
      <c r="D573" s="14">
        <f>+[5]Result!$L$54-[1]Result!$L$54</f>
        <v>-4.8773508239094987E-3</v>
      </c>
      <c r="E573" s="36">
        <f>+[6]Result!$L$54-[5]Result!$L$54</f>
        <v>0.12076756573323921</v>
      </c>
      <c r="F573" s="14">
        <f>+[7]Result!$L$54-[6]Result!$L$54</f>
        <v>-4.8722852782705495E-3</v>
      </c>
      <c r="G573" s="14">
        <f>+[8]Result!$L$54-[7]Result!$L$54</f>
        <v>6.5561570467806973E-3</v>
      </c>
      <c r="H573" s="36">
        <f>+[9]Result!$L$54-[8]Result!$L$54</f>
        <v>-0.13230616032396325</v>
      </c>
      <c r="I573" s="14">
        <f>+[10]Result!$L$54-[9]Result!$L$54</f>
        <v>4.4292131699137371E-3</v>
      </c>
      <c r="J573" s="14">
        <f>+[11]Result!$L$54-[10]Result!$L$54</f>
        <v>6.665625183174928E-3</v>
      </c>
      <c r="K573" s="36">
        <f>+[12]Result!$L$54-[11]Result!$L$54</f>
        <v>0.11901497277875883</v>
      </c>
      <c r="L573" s="14">
        <f>+[13]Result!$L$54-[12]Result!$L$54</f>
        <v>1.0126573802073935E-3</v>
      </c>
      <c r="M573" s="14">
        <f>+[14]Result!$L$54-[13]Result!$L$54</f>
        <v>1.0940229774886845E-2</v>
      </c>
      <c r="N573" s="39"/>
    </row>
    <row r="574" spans="2:26" collapsed="1" x14ac:dyDescent="0.25">
      <c r="B574" s="13" t="s">
        <v>92</v>
      </c>
      <c r="C574" s="24">
        <f>+SUM([1]Result!$G$5:$G$54)-SUM([15]Result!$G$5:$G$54)</f>
        <v>2126755.1734800339</v>
      </c>
      <c r="D574" s="24">
        <f>+SUM([5]Result!$G$5:$G$54)-SUM([1]Result!$G$5:$G$54)</f>
        <v>-4077622.9985109568</v>
      </c>
      <c r="E574" s="37">
        <f>+SUM([6]Result!$G$5:$G$54)-SUM([5]Result!$G$5:$G$54)</f>
        <v>-29110461.187225461</v>
      </c>
      <c r="F574" s="24">
        <f>+SUM([7]Result!$G$5:$G$54)-SUM([6]Result!$G$5:$G$54)</f>
        <v>-9432443.7490408421</v>
      </c>
      <c r="G574" s="24">
        <f>+SUM([8]Result!$G$5:$G$54)-SUM([7]Result!$G$5:$G$54)</f>
        <v>2298597.7003694773</v>
      </c>
      <c r="H574" s="37">
        <f>+SUM([9]Result!$G$5:$G$54)-SUM([8]Result!$G$5:$G$54)</f>
        <v>33416362.382900357</v>
      </c>
      <c r="I574" s="24">
        <f>+SUM([10]Result!$G$5:$G$54)-SUM([9]Result!$G$5:$G$54)</f>
        <v>3024519.7261550426</v>
      </c>
      <c r="J574" s="24">
        <f>+SUM([11]Result!$G$5:$G$54)-SUM([10]Result!$G$5:$G$54)</f>
        <v>-808322.94152581692</v>
      </c>
      <c r="K574" s="37">
        <f>+SUM([12]Result!$G$5:$G$54)-SUM([11]Result!$G$5:$G$54)</f>
        <v>-429072.28116881847</v>
      </c>
      <c r="L574" s="24">
        <f>+SUM([13]Result!$G$5:$G$54)-SUM([12]Result!$G$5:$G$54)</f>
        <v>-1111498.301405549</v>
      </c>
      <c r="M574" s="24">
        <f>+SUM([14]Result!$G$5:$G$54)-SUM([13]Result!$G$5:$G$54)</f>
        <v>2687087.2716757059</v>
      </c>
      <c r="N574" s="39"/>
      <c r="O574" s="14">
        <f>+C574-(C575+C581+C587+C598+C609)</f>
        <v>7.8231096267700195E-8</v>
      </c>
      <c r="P574" s="14">
        <f t="shared" ref="P574:R574" si="183">+D574-(D575+D581+D587+D598+D609)</f>
        <v>1.6810372471809387E-7</v>
      </c>
      <c r="Q574" s="14">
        <f t="shared" si="183"/>
        <v>-1.0058283805847168E-7</v>
      </c>
      <c r="R574" s="14">
        <f t="shared" si="183"/>
        <v>-1.5087425708770752E-7</v>
      </c>
      <c r="S574" s="14">
        <f t="shared" ref="S574" si="184">+G574-(G575+G581+G587+G598+G609)</f>
        <v>6.8452209234237671E-8</v>
      </c>
      <c r="T574" s="14">
        <f t="shared" ref="T574:Z574" si="185">+H574-(H575+H581+H587+H598+H609)</f>
        <v>-1.7508864402770996E-7</v>
      </c>
      <c r="U574" s="14">
        <f t="shared" si="185"/>
        <v>-2.384185791015625E-7</v>
      </c>
      <c r="V574" s="14">
        <f t="shared" si="185"/>
        <v>6.5867789089679718E-7</v>
      </c>
      <c r="W574" s="14">
        <f t="shared" si="185"/>
        <v>1.9004801288247108E-7</v>
      </c>
      <c r="X574" s="14">
        <f t="shared" si="185"/>
        <v>-5.2386894822120667E-7</v>
      </c>
      <c r="Y574" s="14">
        <f t="shared" si="185"/>
        <v>3.1944364309310913E-7</v>
      </c>
      <c r="Z574" s="14">
        <f t="shared" si="185"/>
        <v>0</v>
      </c>
    </row>
    <row r="575" spans="2:26" hidden="1" outlineLevel="1" x14ac:dyDescent="0.25">
      <c r="B575" s="16" t="s">
        <v>2</v>
      </c>
      <c r="C575" s="14">
        <f>+'[1]Stat by Mat'!$J$3-'[15]Stat by Mat'!$J$3</f>
        <v>1198041.358710885</v>
      </c>
      <c r="D575" s="14">
        <f>+'[5]Stat by Mat'!$J$3-'[1]Stat by Mat'!$J$3</f>
        <v>-2504266.4317715168</v>
      </c>
      <c r="E575" s="36">
        <f>+'[6]Stat by Mat'!$J$3-'[5]Stat by Mat'!$J$3</f>
        <v>-39717411.737403989</v>
      </c>
      <c r="F575" s="14">
        <f>+'[7]Stat by Mat'!$J$3-'[6]Stat by Mat'!$J$3</f>
        <v>-5717323.8423985243</v>
      </c>
      <c r="G575" s="14">
        <f>+'[8]Stat by Mat'!$J$3-'[7]Stat by Mat'!$J$3</f>
        <v>948503.19450473785</v>
      </c>
      <c r="H575" s="36">
        <f>+'[9]Stat by Mat'!$J$3-'[8]Stat by Mat'!$J$3</f>
        <v>32439650.117127657</v>
      </c>
      <c r="I575" s="14">
        <f>+'[10]Stat by Mat'!$J$3-'[9]Stat by Mat'!$J$3</f>
        <v>1753839.4855736494</v>
      </c>
      <c r="J575" s="14">
        <f>+'[11]Stat by Mat'!$J$3-'[10]Stat by Mat'!$J$3</f>
        <v>-721405.34948670864</v>
      </c>
      <c r="K575" s="36">
        <f>+'[12]Stat by Mat'!$J$3-'[11]Stat by Mat'!$J$3</f>
        <v>271258.84529447556</v>
      </c>
      <c r="L575" s="14">
        <f>+'[13]Stat by Mat'!$J$3-'[12]Stat by Mat'!$J$3</f>
        <v>-540081.44423139095</v>
      </c>
      <c r="M575" s="14">
        <f>+'[14]Stat by Mat'!$J$3-'[13]Stat by Mat'!$J$3</f>
        <v>840015.07156407833</v>
      </c>
      <c r="N575" s="39"/>
      <c r="O575" s="14">
        <f>+C575-SUM(C576:C580)</f>
        <v>7.4505805969238281E-8</v>
      </c>
      <c r="P575" s="14">
        <f t="shared" ref="P575:R575" si="186">+D575-SUM(D576:D580)</f>
        <v>8.1956386566162109E-8</v>
      </c>
      <c r="Q575" s="14">
        <f t="shared" si="186"/>
        <v>8.9406967163085938E-8</v>
      </c>
      <c r="R575" s="14">
        <f t="shared" si="186"/>
        <v>-1.4901161193847656E-7</v>
      </c>
      <c r="S575" s="14">
        <f t="shared" ref="S575" si="187">+G575-SUM(G576:G580)</f>
        <v>-1.4156103134155273E-7</v>
      </c>
      <c r="T575" s="14">
        <f t="shared" ref="T575:Z575" si="188">+H575-SUM(H576:H580)</f>
        <v>1.0430812835693359E-7</v>
      </c>
      <c r="U575" s="14">
        <f t="shared" si="188"/>
        <v>1.4901161193847656E-8</v>
      </c>
      <c r="V575" s="14">
        <f t="shared" si="188"/>
        <v>-2.2351741790771484E-8</v>
      </c>
      <c r="W575" s="14">
        <f t="shared" si="188"/>
        <v>4.4703483581542969E-8</v>
      </c>
      <c r="X575" s="14">
        <f t="shared" si="188"/>
        <v>-1.4901161193847656E-8</v>
      </c>
      <c r="Y575" s="14">
        <f t="shared" si="188"/>
        <v>-2.9802322387695313E-8</v>
      </c>
      <c r="Z575" s="14">
        <f t="shared" si="188"/>
        <v>0</v>
      </c>
    </row>
    <row r="576" spans="2:26" hidden="1" outlineLevel="2" x14ac:dyDescent="0.25">
      <c r="B576" s="17" t="s">
        <v>3</v>
      </c>
      <c r="C576" s="14">
        <f>+[1]Result!$G$5-[15]Result!$G$5</f>
        <v>184723.72736561298</v>
      </c>
      <c r="D576" s="14">
        <f>+[5]Result!$G$5-[1]Result!$G$5</f>
        <v>-499738.8756724</v>
      </c>
      <c r="E576" s="36">
        <f>+[6]Result!$G$5-[5]Result!$G$5</f>
        <v>-981385.19023615122</v>
      </c>
      <c r="F576" s="14">
        <f>+[7]Result!$G$5-[6]Result!$G$5</f>
        <v>-933931.65924966335</v>
      </c>
      <c r="G576" s="14">
        <f>+[8]Result!$G$5-[7]Result!$G$5</f>
        <v>54156.495281755924</v>
      </c>
      <c r="H576" s="36">
        <f>+[9]Result!$G$5-[8]Result!$G$5</f>
        <v>37063735.738836765</v>
      </c>
      <c r="I576" s="14">
        <f>+[10]Result!$G$5-[9]Result!$G$5</f>
        <v>203433.25780963898</v>
      </c>
      <c r="J576" s="14">
        <f>+[11]Result!$G$5-[10]Result!$G$5</f>
        <v>-26280.31286495924</v>
      </c>
      <c r="K576" s="36">
        <f>+[12]Result!$G$5-[11]Result!$G$5</f>
        <v>19813373.004714668</v>
      </c>
      <c r="L576" s="14">
        <f>+[13]Result!$G$5-[12]Result!$G$5</f>
        <v>14897.652500033379</v>
      </c>
      <c r="M576" s="14">
        <f>+[14]Result!$G$5-[13]Result!$G$5</f>
        <v>33096.615527868271</v>
      </c>
      <c r="N576" s="39"/>
    </row>
    <row r="577" spans="2:26" hidden="1" outlineLevel="2" x14ac:dyDescent="0.25">
      <c r="B577" s="17" t="s">
        <v>4</v>
      </c>
      <c r="C577" s="14">
        <f>+[1]Result!$G$6-[15]Result!$G$6</f>
        <v>336486.73561495543</v>
      </c>
      <c r="D577" s="14">
        <f>+[5]Result!$G$6-[1]Result!$G$6</f>
        <v>-700030.47448900342</v>
      </c>
      <c r="E577" s="36">
        <f>+[6]Result!$G$6-[5]Result!$G$6</f>
        <v>-38171616.348924369</v>
      </c>
      <c r="F577" s="14">
        <f>+[7]Result!$G$6-[6]Result!$G$6</f>
        <v>-1829739.9755289853</v>
      </c>
      <c r="G577" s="14">
        <f>+[8]Result!$G$6-[7]Result!$G$6</f>
        <v>256822.90467578173</v>
      </c>
      <c r="H577" s="36">
        <f>+[9]Result!$G$6-[8]Result!$G$6</f>
        <v>-5547689.2810947895</v>
      </c>
      <c r="I577" s="14">
        <f>+[10]Result!$G$6-[9]Result!$G$6</f>
        <v>551604.96937313676</v>
      </c>
      <c r="J577" s="14">
        <f>+[11]Result!$G$6-[10]Result!$G$6</f>
        <v>-181428.11694350839</v>
      </c>
      <c r="K577" s="36">
        <f>+[12]Result!$G$6-[11]Result!$G$6</f>
        <v>-8739037.6769454777</v>
      </c>
      <c r="L577" s="14">
        <f>+[13]Result!$G$6-[12]Result!$G$6</f>
        <v>-121214.73046839237</v>
      </c>
      <c r="M577" s="14">
        <f>+[14]Result!$G$6-[13]Result!$G$6</f>
        <v>208950.35782384872</v>
      </c>
      <c r="N577" s="39"/>
    </row>
    <row r="578" spans="2:26" hidden="1" outlineLevel="2" x14ac:dyDescent="0.25">
      <c r="B578" s="17" t="s">
        <v>5</v>
      </c>
      <c r="C578" s="14">
        <f>+[1]Result!$G$7-[15]Result!$G$7</f>
        <v>306833.06745456159</v>
      </c>
      <c r="D578" s="14">
        <f>+[5]Result!$G$7-[1]Result!$G$7</f>
        <v>-561171.2480276376</v>
      </c>
      <c r="E578" s="36">
        <f>+[6]Result!$G$7-[5]Result!$G$7</f>
        <v>-499266.5599104315</v>
      </c>
      <c r="F578" s="14">
        <f>+[7]Result!$G$7-[6]Result!$G$7</f>
        <v>-1249320.4154675156</v>
      </c>
      <c r="G578" s="14">
        <f>+[8]Result!$G$7-[7]Result!$G$7</f>
        <v>246645.61466825008</v>
      </c>
      <c r="H578" s="36">
        <f>+[9]Result!$G$7-[8]Result!$G$7</f>
        <v>759609.75751785934</v>
      </c>
      <c r="I578" s="14">
        <f>+[10]Result!$G$7-[9]Result!$G$7</f>
        <v>422476.33732071519</v>
      </c>
      <c r="J578" s="14">
        <f>+[11]Result!$G$7-[10]Result!$G$7</f>
        <v>-206729.77929630876</v>
      </c>
      <c r="K578" s="36">
        <f>+[12]Result!$G$7-[11]Result!$G$7</f>
        <v>-7770948.6978335679</v>
      </c>
      <c r="L578" s="14">
        <f>+[13]Result!$G$7-[12]Result!$G$7</f>
        <v>-162142.54887084663</v>
      </c>
      <c r="M578" s="14">
        <f>+[14]Result!$G$7-[13]Result!$G$7</f>
        <v>211856.84056656063</v>
      </c>
      <c r="N578" s="39"/>
    </row>
    <row r="579" spans="2:26" hidden="1" outlineLevel="2" x14ac:dyDescent="0.25">
      <c r="B579" s="17" t="s">
        <v>6</v>
      </c>
      <c r="C579" s="14">
        <f>+[1]Result!$G$8-[15]Result!$G$8</f>
        <v>209514.30402562767</v>
      </c>
      <c r="D579" s="14">
        <f>+[5]Result!$G$8-[1]Result!$G$8</f>
        <v>-404331.01922765374</v>
      </c>
      <c r="E579" s="36">
        <f>+[6]Result!$G$8-[5]Result!$G$8</f>
        <v>-793430.66054642946</v>
      </c>
      <c r="F579" s="14">
        <f>+[7]Result!$G$8-[6]Result!$G$8</f>
        <v>-920612.38044722378</v>
      </c>
      <c r="G579" s="14">
        <f>+[8]Result!$G$8-[7]Result!$G$8</f>
        <v>206008.18949509412</v>
      </c>
      <c r="H579" s="36">
        <f>+[9]Result!$G$8-[8]Result!$G$8</f>
        <v>123197.27513642609</v>
      </c>
      <c r="I579" s="14">
        <f>+[10]Result!$G$8-[9]Result!$G$8</f>
        <v>316122.73580266535</v>
      </c>
      <c r="J579" s="14">
        <f>+[11]Result!$G$8-[10]Result!$G$8</f>
        <v>-172306.08666916937</v>
      </c>
      <c r="K579" s="36">
        <f>+[12]Result!$G$8-[11]Result!$G$8</f>
        <v>-2274840.3998019472</v>
      </c>
      <c r="L579" s="14">
        <f>+[13]Result!$G$8-[12]Result!$G$8</f>
        <v>-141275.10266718268</v>
      </c>
      <c r="M579" s="14">
        <f>+[14]Result!$G$8-[13]Result!$G$8</f>
        <v>190075.18495154381</v>
      </c>
      <c r="N579" s="39"/>
    </row>
    <row r="580" spans="2:26" hidden="1" outlineLevel="2" x14ac:dyDescent="0.25">
      <c r="B580" s="17" t="s">
        <v>7</v>
      </c>
      <c r="C580" s="14">
        <f>+[1]Result!$G$9-[15]Result!$G$9</f>
        <v>160483.52425005287</v>
      </c>
      <c r="D580" s="14">
        <f>+[5]Result!$G$9-[1]Result!$G$9</f>
        <v>-338994.814354904</v>
      </c>
      <c r="E580" s="36">
        <f>+[6]Result!$G$9-[5]Result!$G$9</f>
        <v>728287.02221330255</v>
      </c>
      <c r="F580" s="14">
        <f>+[7]Result!$G$9-[6]Result!$G$9</f>
        <v>-783719.41170498729</v>
      </c>
      <c r="G580" s="14">
        <f>+[8]Result!$G$9-[7]Result!$G$9</f>
        <v>184869.99038399756</v>
      </c>
      <c r="H580" s="36">
        <f>+[9]Result!$G$9-[8]Result!$G$9</f>
        <v>40796.626731291413</v>
      </c>
      <c r="I580" s="14">
        <f>+[10]Result!$G$9-[9]Result!$G$9</f>
        <v>260202.18526747823</v>
      </c>
      <c r="J580" s="14">
        <f>+[11]Result!$G$9-[10]Result!$G$9</f>
        <v>-134661.05371274054</v>
      </c>
      <c r="K580" s="36">
        <f>+[12]Result!$G$9-[11]Result!$G$9</f>
        <v>-757287.38483924419</v>
      </c>
      <c r="L580" s="14">
        <f>+[13]Result!$G$9-[12]Result!$G$9</f>
        <v>-130346.71472498775</v>
      </c>
      <c r="M580" s="14">
        <f>+[14]Result!$G$9-[13]Result!$G$9</f>
        <v>196036.0726942867</v>
      </c>
      <c r="N580" s="39"/>
    </row>
    <row r="581" spans="2:26" hidden="1" outlineLevel="1" collapsed="1" x14ac:dyDescent="0.25">
      <c r="B581" s="16" t="s">
        <v>8</v>
      </c>
      <c r="C581" s="14">
        <f>+'[1]Stat by Mat'!$J$4-'[15]Stat by Mat'!$J$4</f>
        <v>477365.48071202636</v>
      </c>
      <c r="D581" s="14">
        <f>+'[5]Stat by Mat'!$J$4-'[1]Stat by Mat'!$J$4</f>
        <v>-1017730.1546316743</v>
      </c>
      <c r="E581" s="36">
        <f>+'[6]Stat by Mat'!$J$4-'[5]Stat by Mat'!$J$4</f>
        <v>4811790.8481369019</v>
      </c>
      <c r="F581" s="14">
        <f>+'[7]Stat by Mat'!$J$4-'[6]Stat by Mat'!$J$4</f>
        <v>-2433592.331432119</v>
      </c>
      <c r="G581" s="14">
        <f>+'[8]Stat by Mat'!$J$4-'[7]Stat by Mat'!$J$4</f>
        <v>670891.52507485449</v>
      </c>
      <c r="H581" s="36">
        <f>+'[9]Stat by Mat'!$J$4-'[8]Stat by Mat'!$J$4</f>
        <v>248550.23071311414</v>
      </c>
      <c r="I581" s="14">
        <f>+'[10]Stat by Mat'!$J$4-'[9]Stat by Mat'!$J$4</f>
        <v>778321.50347930193</v>
      </c>
      <c r="J581" s="14">
        <f>+'[11]Stat by Mat'!$J$4-'[10]Stat by Mat'!$J$4</f>
        <v>-294802.31818217039</v>
      </c>
      <c r="K581" s="36">
        <f>+'[12]Stat by Mat'!$J$4-'[11]Stat by Mat'!$J$4</f>
        <v>-62314.678534656763</v>
      </c>
      <c r="L581" s="14">
        <f>+'[13]Stat by Mat'!$J$4-'[12]Stat by Mat'!$J$4</f>
        <v>-420394.93818242848</v>
      </c>
      <c r="M581" s="14">
        <f>+'[14]Stat by Mat'!$J$4-'[13]Stat by Mat'!$J$4</f>
        <v>903874.46402703226</v>
      </c>
      <c r="N581" s="39"/>
      <c r="O581" s="14">
        <f>+C581-SUM(C582:C586)</f>
        <v>-1.1175870895385742E-8</v>
      </c>
      <c r="P581" s="14">
        <f t="shared" ref="P581:R581" si="189">+D581-SUM(D582:D586)</f>
        <v>-7.4505805969238281E-9</v>
      </c>
      <c r="Q581" s="14">
        <f t="shared" si="189"/>
        <v>0</v>
      </c>
      <c r="R581" s="14">
        <f t="shared" si="189"/>
        <v>5.5879354476928711E-9</v>
      </c>
      <c r="S581" s="14">
        <f t="shared" ref="S581" si="190">+G581-SUM(G582:G586)</f>
        <v>1.862645149230957E-9</v>
      </c>
      <c r="T581" s="14">
        <f t="shared" ref="T581:Z581" si="191">+H581-SUM(H582:H586)</f>
        <v>-1.1175870895385742E-8</v>
      </c>
      <c r="U581" s="14">
        <f t="shared" si="191"/>
        <v>-7.4505805969238281E-9</v>
      </c>
      <c r="V581" s="14">
        <f t="shared" si="191"/>
        <v>1.1175870895385742E-8</v>
      </c>
      <c r="W581" s="14">
        <f t="shared" si="191"/>
        <v>-9.3132257461547852E-9</v>
      </c>
      <c r="X581" s="14">
        <f t="shared" si="191"/>
        <v>1.3038516044616699E-8</v>
      </c>
      <c r="Y581" s="14">
        <f t="shared" si="191"/>
        <v>3.7252902984619141E-9</v>
      </c>
      <c r="Z581" s="14">
        <f t="shared" si="191"/>
        <v>0</v>
      </c>
    </row>
    <row r="582" spans="2:26" hidden="1" outlineLevel="2" x14ac:dyDescent="0.25">
      <c r="B582" s="17" t="s">
        <v>9</v>
      </c>
      <c r="C582" s="14">
        <f>+[1]Result!$G$10-[15]Result!$G$10</f>
        <v>142349.02763285488</v>
      </c>
      <c r="D582" s="14">
        <f>+[5]Result!$G$10-[1]Result!$G$10</f>
        <v>-309845.12628409266</v>
      </c>
      <c r="E582" s="36">
        <f>+[6]Result!$G$10-[5]Result!$G$10</f>
        <v>1001227.6690362766</v>
      </c>
      <c r="F582" s="14">
        <f>+[7]Result!$G$10-[6]Result!$G$10</f>
        <v>-693132.46396367997</v>
      </c>
      <c r="G582" s="14">
        <f>+[8]Result!$G$10-[7]Result!$G$10</f>
        <v>170944.03249034286</v>
      </c>
      <c r="H582" s="36">
        <f>+[9]Result!$G$10-[8]Result!$G$10</f>
        <v>176818.05111304298</v>
      </c>
      <c r="I582" s="14">
        <f>+[10]Result!$G$10-[9]Result!$G$10</f>
        <v>223575.34633746743</v>
      </c>
      <c r="J582" s="14">
        <f>+[11]Result!$G$10-[10]Result!$G$10</f>
        <v>-107468.85265946016</v>
      </c>
      <c r="K582" s="36">
        <f>+[12]Result!$G$10-[11]Result!$G$10</f>
        <v>-147413.21345731616</v>
      </c>
      <c r="L582" s="14">
        <f>+[13]Result!$G$10-[12]Result!$G$10</f>
        <v>-118970.16519255191</v>
      </c>
      <c r="M582" s="14">
        <f>+[14]Result!$G$10-[13]Result!$G$10</f>
        <v>205493.25303603336</v>
      </c>
      <c r="N582" s="39"/>
    </row>
    <row r="583" spans="2:26" hidden="1" outlineLevel="2" x14ac:dyDescent="0.25">
      <c r="B583" s="17" t="s">
        <v>10</v>
      </c>
      <c r="C583" s="14">
        <f>+[1]Result!$G$11-[15]Result!$G$11</f>
        <v>113159.07573151961</v>
      </c>
      <c r="D583" s="14">
        <f>+[5]Result!$G$11-[1]Result!$G$11</f>
        <v>-253797.18745945022</v>
      </c>
      <c r="E583" s="36">
        <f>+[6]Result!$G$11-[5]Result!$G$11</f>
        <v>911380.05739015341</v>
      </c>
      <c r="F583" s="14">
        <f>+[7]Result!$G$11-[6]Result!$G$11</f>
        <v>-578243.80028006807</v>
      </c>
      <c r="G583" s="14">
        <f>+[8]Result!$G$11-[7]Result!$G$11</f>
        <v>151280.71217250824</v>
      </c>
      <c r="H583" s="36">
        <f>+[9]Result!$G$11-[8]Result!$G$11</f>
        <v>45916.651070293039</v>
      </c>
      <c r="I583" s="14">
        <f>+[10]Result!$G$11-[9]Result!$G$11</f>
        <v>181575.14471370354</v>
      </c>
      <c r="J583" s="14">
        <f>+[11]Result!$G$11-[10]Result!$G$11</f>
        <v>-80309.288235586137</v>
      </c>
      <c r="K583" s="36">
        <f>+[12]Result!$G$11-[11]Result!$G$11</f>
        <v>-52720.227183021605</v>
      </c>
      <c r="L583" s="14">
        <f>+[13]Result!$G$11-[12]Result!$G$11</f>
        <v>-99794.319011565298</v>
      </c>
      <c r="M583" s="14">
        <f>+[14]Result!$G$11-[13]Result!$G$11</f>
        <v>199220.89838818833</v>
      </c>
      <c r="N583" s="39"/>
    </row>
    <row r="584" spans="2:26" hidden="1" outlineLevel="2" x14ac:dyDescent="0.25">
      <c r="B584" s="17" t="s">
        <v>11</v>
      </c>
      <c r="C584" s="14">
        <f>+[1]Result!$G$12-[15]Result!$G$12</f>
        <v>88731.869682896882</v>
      </c>
      <c r="D584" s="14">
        <f>+[5]Result!$G$12-[1]Result!$G$12</f>
        <v>-201218.59169303253</v>
      </c>
      <c r="E584" s="36">
        <f>+[6]Result!$G$12-[5]Result!$G$12</f>
        <v>848640.77937480249</v>
      </c>
      <c r="F584" s="14">
        <f>+[7]Result!$G$12-[6]Result!$G$12</f>
        <v>-474519.55323761515</v>
      </c>
      <c r="G584" s="14">
        <f>+[8]Result!$G$12-[7]Result!$G$12</f>
        <v>133289.38553954288</v>
      </c>
      <c r="H584" s="36">
        <f>+[9]Result!$G$12-[8]Result!$G$12</f>
        <v>-18152.168850015849</v>
      </c>
      <c r="I584" s="14">
        <f>+[10]Result!$G$12-[9]Result!$G$12</f>
        <v>147668.2200922519</v>
      </c>
      <c r="J584" s="14">
        <f>+[11]Result!$G$12-[10]Result!$G$12</f>
        <v>-55932.109342906624</v>
      </c>
      <c r="K584" s="36">
        <f>+[12]Result!$G$12-[11]Result!$G$12</f>
        <v>-16910.9931438528</v>
      </c>
      <c r="L584" s="14">
        <f>+[13]Result!$G$12-[12]Result!$G$12</f>
        <v>-81034.300523806363</v>
      </c>
      <c r="M584" s="14">
        <f>+[14]Result!$G$12-[13]Result!$G$12</f>
        <v>183384.53440160677</v>
      </c>
      <c r="N584" s="39"/>
    </row>
    <row r="585" spans="2:26" hidden="1" outlineLevel="2" x14ac:dyDescent="0.25">
      <c r="B585" s="17" t="s">
        <v>12</v>
      </c>
      <c r="C585" s="14">
        <f>+[1]Result!$G$13-[15]Result!$G$13</f>
        <v>69327.221386950463</v>
      </c>
      <c r="D585" s="14">
        <f>+[5]Result!$G$13-[1]Result!$G$13</f>
        <v>-140708.97290240228</v>
      </c>
      <c r="E585" s="36">
        <f>+[6]Result!$G$13-[5]Result!$G$13</f>
        <v>1187671.8671705704</v>
      </c>
      <c r="F585" s="14">
        <f>+[7]Result!$G$13-[6]Result!$G$13</f>
        <v>-371502.0554725863</v>
      </c>
      <c r="G585" s="14">
        <f>+[8]Result!$G$13-[7]Result!$G$13</f>
        <v>113489.15126891062</v>
      </c>
      <c r="H585" s="36">
        <f>+[9]Result!$G$13-[8]Result!$G$13</f>
        <v>91337.420885385945</v>
      </c>
      <c r="I585" s="14">
        <f>+[10]Result!$G$13-[9]Result!$G$13</f>
        <v>114237.0384192802</v>
      </c>
      <c r="J585" s="14">
        <f>+[11]Result!$G$13-[10]Result!$G$13</f>
        <v>-32781.562827562913</v>
      </c>
      <c r="K585" s="36">
        <f>+[12]Result!$G$13-[11]Result!$G$13</f>
        <v>50065.798758836463</v>
      </c>
      <c r="L585" s="14">
        <f>+[13]Result!$G$13-[12]Result!$G$13</f>
        <v>-63563.238072628155</v>
      </c>
      <c r="M585" s="14">
        <f>+[14]Result!$G$13-[13]Result!$G$13</f>
        <v>157200.55593030341</v>
      </c>
      <c r="N585" s="39"/>
    </row>
    <row r="586" spans="2:26" hidden="1" outlineLevel="2" x14ac:dyDescent="0.25">
      <c r="B586" s="17" t="s">
        <v>13</v>
      </c>
      <c r="C586" s="14">
        <f>+[1]Result!$G$14-[15]Result!$G$14</f>
        <v>63798.2862778157</v>
      </c>
      <c r="D586" s="14">
        <f>+[5]Result!$G$14-[1]Result!$G$14</f>
        <v>-112160.27629268914</v>
      </c>
      <c r="E586" s="36">
        <f>+[6]Result!$G$14-[5]Result!$G$14</f>
        <v>862870.47516509518</v>
      </c>
      <c r="F586" s="14">
        <f>+[7]Result!$G$14-[6]Result!$G$14</f>
        <v>-316194.4584781751</v>
      </c>
      <c r="G586" s="14">
        <f>+[8]Result!$G$14-[7]Result!$G$14</f>
        <v>101888.24360354804</v>
      </c>
      <c r="H586" s="36">
        <f>+[9]Result!$G$14-[8]Result!$G$14</f>
        <v>-47369.723505580798</v>
      </c>
      <c r="I586" s="14">
        <f>+[10]Result!$G$14-[9]Result!$G$14</f>
        <v>111265.75391660631</v>
      </c>
      <c r="J586" s="14">
        <f>+[11]Result!$G$14-[10]Result!$G$14</f>
        <v>-18310.505116665736</v>
      </c>
      <c r="K586" s="36">
        <f>+[12]Result!$G$14-[11]Result!$G$14</f>
        <v>104663.95649070665</v>
      </c>
      <c r="L586" s="14">
        <f>+[13]Result!$G$14-[12]Result!$G$14</f>
        <v>-57032.91538188979</v>
      </c>
      <c r="M586" s="14">
        <f>+[14]Result!$G$14-[13]Result!$G$14</f>
        <v>158575.22227089666</v>
      </c>
      <c r="N586" s="39"/>
    </row>
    <row r="587" spans="2:26" hidden="1" outlineLevel="1" collapsed="1" x14ac:dyDescent="0.25">
      <c r="B587" s="16" t="s">
        <v>14</v>
      </c>
      <c r="C587" s="14">
        <f>+'[1]Stat by Mat'!$J$5-'[15]Stat by Mat'!$J$5</f>
        <v>320684.77071677893</v>
      </c>
      <c r="D587" s="14">
        <f>+'[5]Stat by Mat'!$J$5-'[1]Stat by Mat'!$J$5</f>
        <v>-413333.21538839489</v>
      </c>
      <c r="E587" s="36">
        <f>+'[6]Stat by Mat'!$J$5-'[5]Stat by Mat'!$J$5</f>
        <v>5046899.5507504866</v>
      </c>
      <c r="F587" s="14">
        <f>+'[7]Stat by Mat'!$J$5-'[6]Stat by Mat'!$J$5</f>
        <v>-1068654.1584515944</v>
      </c>
      <c r="G587" s="14">
        <f>+'[8]Stat by Mat'!$J$5-'[7]Stat by Mat'!$J$5</f>
        <v>488005.46355175972</v>
      </c>
      <c r="H587" s="36">
        <f>+'[9]Stat by Mat'!$J$5-'[8]Stat by Mat'!$J$5</f>
        <v>528068.59004347771</v>
      </c>
      <c r="I587" s="14">
        <f>+'[10]Stat by Mat'!$J$5-'[9]Stat by Mat'!$J$5</f>
        <v>394023.51124123484</v>
      </c>
      <c r="J587" s="14">
        <f>+'[11]Stat by Mat'!$J$5-'[10]Stat by Mat'!$J$5</f>
        <v>116203.3448157236</v>
      </c>
      <c r="K587" s="36">
        <f>+'[12]Stat by Mat'!$J$5-'[11]Stat by Mat'!$J$5</f>
        <v>-288665.9505598098</v>
      </c>
      <c r="L587" s="14">
        <f>+'[13]Stat by Mat'!$J$5-'[12]Stat by Mat'!$J$5</f>
        <v>-145471.58284261078</v>
      </c>
      <c r="M587" s="14">
        <f>+'[14]Stat by Mat'!$J$5-'[13]Stat by Mat'!$J$5</f>
        <v>725832.52578935027</v>
      </c>
      <c r="N587" s="39"/>
      <c r="O587" s="14">
        <f>+C587-SUM(C588:C597)</f>
        <v>-7.4505805969238281E-9</v>
      </c>
      <c r="P587" s="14">
        <f t="shared" ref="P587:R587" si="192">+D587-SUM(D588:D597)</f>
        <v>6.9849193096160889E-9</v>
      </c>
      <c r="Q587" s="14">
        <f t="shared" si="192"/>
        <v>0</v>
      </c>
      <c r="R587" s="14">
        <f t="shared" si="192"/>
        <v>0</v>
      </c>
      <c r="S587" s="14">
        <f t="shared" ref="S587" si="193">+G587-SUM(G588:G597)</f>
        <v>3.4924596548080444E-9</v>
      </c>
      <c r="T587" s="14">
        <f t="shared" ref="T587:Z587" si="194">+H587-SUM(H588:H597)</f>
        <v>-4.8894435167312622E-9</v>
      </c>
      <c r="U587" s="14">
        <f t="shared" si="194"/>
        <v>5.3551048040390015E-9</v>
      </c>
      <c r="V587" s="14">
        <f t="shared" si="194"/>
        <v>-8.8475644588470459E-9</v>
      </c>
      <c r="W587" s="14">
        <f t="shared" si="194"/>
        <v>-3.4924596548080444E-9</v>
      </c>
      <c r="X587" s="14">
        <f t="shared" si="194"/>
        <v>1.862645149230957E-9</v>
      </c>
      <c r="Y587" s="14">
        <f t="shared" si="194"/>
        <v>1.0943040251731873E-8</v>
      </c>
      <c r="Z587" s="14">
        <f t="shared" si="194"/>
        <v>0</v>
      </c>
    </row>
    <row r="588" spans="2:26" hidden="1" outlineLevel="2" x14ac:dyDescent="0.25">
      <c r="B588" s="17" t="s">
        <v>15</v>
      </c>
      <c r="C588" s="14">
        <f>+[1]Result!$G$15-[15]Result!$G$15</f>
        <v>51199.153519421816</v>
      </c>
      <c r="D588" s="14">
        <f>+[5]Result!$G$15-[1]Result!$G$15</f>
        <v>-87937.013394325972</v>
      </c>
      <c r="E588" s="36">
        <f>+[6]Result!$G$15-[5]Result!$G$15</f>
        <v>866181.57098523621</v>
      </c>
      <c r="F588" s="14">
        <f>+[7]Result!$G$15-[6]Result!$G$15</f>
        <v>-224697.10604719073</v>
      </c>
      <c r="G588" s="14">
        <f>+[8]Result!$G$15-[7]Result!$G$15</f>
        <v>74590.158095401712</v>
      </c>
      <c r="H588" s="36">
        <f>+[9]Result!$G$15-[8]Result!$G$15</f>
        <v>-21537.183826228604</v>
      </c>
      <c r="I588" s="14">
        <f>+[10]Result!$G$15-[9]Result!$G$15</f>
        <v>93660.154428381473</v>
      </c>
      <c r="J588" s="14">
        <f>+[11]Result!$G$15-[10]Result!$G$15</f>
        <v>-2630.1618183813989</v>
      </c>
      <c r="K588" s="36">
        <f>+[12]Result!$G$15-[11]Result!$G$15</f>
        <v>15581.201196761802</v>
      </c>
      <c r="L588" s="14">
        <f>+[13]Result!$G$15-[12]Result!$G$15</f>
        <v>-44563.277980727144</v>
      </c>
      <c r="M588" s="14">
        <f>+[14]Result!$G$15-[13]Result!$G$15</f>
        <v>138258.54915465508</v>
      </c>
      <c r="N588" s="39"/>
    </row>
    <row r="589" spans="2:26" hidden="1" outlineLevel="2" x14ac:dyDescent="0.25">
      <c r="B589" s="17" t="s">
        <v>16</v>
      </c>
      <c r="C589" s="14">
        <f>+[1]Result!$G$16-[15]Result!$G$16</f>
        <v>33458.718289086595</v>
      </c>
      <c r="D589" s="14">
        <f>+[5]Result!$G$16-[1]Result!$G$16</f>
        <v>-59612.400194500573</v>
      </c>
      <c r="E589" s="36">
        <f>+[6]Result!$G$16-[5]Result!$G$16</f>
        <v>862053.37806870602</v>
      </c>
      <c r="F589" s="14">
        <f>+[7]Result!$G$16-[6]Result!$G$16</f>
        <v>-146532.4666842185</v>
      </c>
      <c r="G589" s="14">
        <f>+[8]Result!$G$16-[7]Result!$G$16</f>
        <v>53611.850177071057</v>
      </c>
      <c r="H589" s="36">
        <f>+[9]Result!$G$16-[8]Result!$G$16</f>
        <v>53521.048716613092</v>
      </c>
      <c r="I589" s="14">
        <f>+[10]Result!$G$16-[9]Result!$G$16</f>
        <v>54347.939861171879</v>
      </c>
      <c r="J589" s="14">
        <f>+[11]Result!$G$16-[10]Result!$G$16</f>
        <v>5600.8239913871512</v>
      </c>
      <c r="K589" s="36">
        <f>+[12]Result!$G$16-[11]Result!$G$16</f>
        <v>-40722.521804229356</v>
      </c>
      <c r="L589" s="14">
        <f>+[13]Result!$G$16-[12]Result!$G$16</f>
        <v>-26336.664332398213</v>
      </c>
      <c r="M589" s="14">
        <f>+[14]Result!$G$16-[13]Result!$G$16</f>
        <v>103258.67875656951</v>
      </c>
      <c r="N589" s="39"/>
    </row>
    <row r="590" spans="2:26" hidden="1" outlineLevel="2" x14ac:dyDescent="0.25">
      <c r="B590" s="17" t="s">
        <v>17</v>
      </c>
      <c r="C590" s="14">
        <f>+[1]Result!$G$17-[15]Result!$G$17</f>
        <v>28741.864085566252</v>
      </c>
      <c r="D590" s="14">
        <f>+[5]Result!$G$17-[1]Result!$G$17</f>
        <v>-51109.126869912259</v>
      </c>
      <c r="E590" s="36">
        <f>+[6]Result!$G$17-[5]Result!$G$17</f>
        <v>721308.71226777881</v>
      </c>
      <c r="F590" s="14">
        <f>+[7]Result!$G$17-[6]Result!$G$17</f>
        <v>-124418.17745751608</v>
      </c>
      <c r="G590" s="14">
        <f>+[8]Result!$G$17-[7]Result!$G$17</f>
        <v>51433.324802711606</v>
      </c>
      <c r="H590" s="36">
        <f>+[9]Result!$G$17-[8]Result!$G$17</f>
        <v>71266.145011280663</v>
      </c>
      <c r="I590" s="14">
        <f>+[10]Result!$G$17-[9]Result!$G$17</f>
        <v>36895.753856614232</v>
      </c>
      <c r="J590" s="14">
        <f>+[11]Result!$G$17-[10]Result!$G$17</f>
        <v>9511.1231355583295</v>
      </c>
      <c r="K590" s="36">
        <f>+[12]Result!$G$17-[11]Result!$G$17</f>
        <v>-28989.258272905834</v>
      </c>
      <c r="L590" s="14">
        <f>+[13]Result!$G$17-[12]Result!$G$17</f>
        <v>-17636.057386593893</v>
      </c>
      <c r="M590" s="14">
        <f>+[14]Result!$G$17-[13]Result!$G$17</f>
        <v>82118.029986250214</v>
      </c>
      <c r="N590" s="39"/>
    </row>
    <row r="591" spans="2:26" hidden="1" outlineLevel="2" x14ac:dyDescent="0.25">
      <c r="B591" s="17" t="s">
        <v>18</v>
      </c>
      <c r="C591" s="14">
        <f>+[1]Result!$G$18-[15]Result!$G$18</f>
        <v>29676.218538533896</v>
      </c>
      <c r="D591" s="14">
        <f>+[5]Result!$G$18-[1]Result!$G$18</f>
        <v>-47212.602092349902</v>
      </c>
      <c r="E591" s="36">
        <f>+[6]Result!$G$18-[5]Result!$G$18</f>
        <v>598728.66927802935</v>
      </c>
      <c r="F591" s="14">
        <f>+[7]Result!$G$18-[6]Result!$G$18</f>
        <v>-111108.20749861468</v>
      </c>
      <c r="G591" s="14">
        <f>+[8]Result!$G$18-[7]Result!$G$18</f>
        <v>50509.116892852355</v>
      </c>
      <c r="H591" s="36">
        <f>+[9]Result!$G$18-[8]Result!$G$18</f>
        <v>44431.978433368262</v>
      </c>
      <c r="I591" s="14">
        <f>+[10]Result!$G$18-[9]Result!$G$18</f>
        <v>34350.321485344321</v>
      </c>
      <c r="J591" s="14">
        <f>+[11]Result!$G$18-[10]Result!$G$18</f>
        <v>13107.647319463082</v>
      </c>
      <c r="K591" s="36">
        <f>+[12]Result!$G$18-[11]Result!$G$18</f>
        <v>-31974.332017875742</v>
      </c>
      <c r="L591" s="14">
        <f>+[13]Result!$G$18-[12]Result!$G$18</f>
        <v>-14991.514393804129</v>
      </c>
      <c r="M591" s="14">
        <f>+[14]Result!$G$18-[13]Result!$G$18</f>
        <v>68575.861636770889</v>
      </c>
      <c r="N591" s="39"/>
    </row>
    <row r="592" spans="2:26" hidden="1" outlineLevel="2" x14ac:dyDescent="0.25">
      <c r="B592" s="17" t="s">
        <v>19</v>
      </c>
      <c r="C592" s="14">
        <f>+[1]Result!$G$19-[15]Result!$G$19</f>
        <v>35176.470661091618</v>
      </c>
      <c r="D592" s="14">
        <f>+[5]Result!$G$19-[1]Result!$G$19</f>
        <v>-47750.435602062847</v>
      </c>
      <c r="E592" s="36">
        <f>+[6]Result!$G$19-[5]Result!$G$19</f>
        <v>514659.12368205003</v>
      </c>
      <c r="F592" s="14">
        <f>+[7]Result!$G$19-[6]Result!$G$19</f>
        <v>-101515.06602668809</v>
      </c>
      <c r="G592" s="14">
        <f>+[8]Result!$G$19-[7]Result!$G$19</f>
        <v>50682.272804463282</v>
      </c>
      <c r="H592" s="36">
        <f>+[9]Result!$G$19-[8]Result!$G$19</f>
        <v>69601.556669033132</v>
      </c>
      <c r="I592" s="14">
        <f>+[10]Result!$G$19-[9]Result!$G$19</f>
        <v>35487.294006471988</v>
      </c>
      <c r="J592" s="14">
        <f>+[11]Result!$G$19-[10]Result!$G$19</f>
        <v>14608.664500760846</v>
      </c>
      <c r="K592" s="36">
        <f>+[12]Result!$G$19-[11]Result!$G$19</f>
        <v>-4074.6992554324679</v>
      </c>
      <c r="L592" s="14">
        <f>+[13]Result!$G$19-[12]Result!$G$19</f>
        <v>-12687.496125196572</v>
      </c>
      <c r="M592" s="14">
        <f>+[14]Result!$G$19-[13]Result!$G$19</f>
        <v>67722.765052096453</v>
      </c>
      <c r="N592" s="39"/>
    </row>
    <row r="593" spans="2:26" hidden="1" outlineLevel="2" x14ac:dyDescent="0.25">
      <c r="B593" s="17" t="s">
        <v>20</v>
      </c>
      <c r="C593" s="14">
        <f>+[1]Result!$G$20-[15]Result!$G$20</f>
        <v>35795.459647422656</v>
      </c>
      <c r="D593" s="14">
        <f>+[5]Result!$G$20-[1]Result!$G$20</f>
        <v>-40445.105603820179</v>
      </c>
      <c r="E593" s="36">
        <f>+[6]Result!$G$20-[5]Result!$G$20</f>
        <v>431576.17697093124</v>
      </c>
      <c r="F593" s="14">
        <f>+[7]Result!$G$20-[6]Result!$G$20</f>
        <v>-89313.653454772662</v>
      </c>
      <c r="G593" s="14">
        <f>+[8]Result!$G$20-[7]Result!$G$20</f>
        <v>47441.456052434631</v>
      </c>
      <c r="H593" s="36">
        <f>+[9]Result!$G$20-[8]Result!$G$20</f>
        <v>77591.563063478097</v>
      </c>
      <c r="I593" s="14">
        <f>+[10]Result!$G$20-[9]Result!$G$20</f>
        <v>34027.801784197334</v>
      </c>
      <c r="J593" s="14">
        <f>+[11]Result!$G$20-[10]Result!$G$20</f>
        <v>14668.25145553099</v>
      </c>
      <c r="K593" s="36">
        <f>+[12]Result!$G$20-[11]Result!$G$20</f>
        <v>-18748.876614791807</v>
      </c>
      <c r="L593" s="14">
        <f>+[13]Result!$G$20-[12]Result!$G$20</f>
        <v>-9676.2940606097691</v>
      </c>
      <c r="M593" s="14">
        <f>+[14]Result!$G$20-[13]Result!$G$20</f>
        <v>63379.344676617999</v>
      </c>
      <c r="N593" s="39"/>
    </row>
    <row r="594" spans="2:26" hidden="1" outlineLevel="2" x14ac:dyDescent="0.25">
      <c r="B594" s="17" t="s">
        <v>21</v>
      </c>
      <c r="C594" s="14">
        <f>+[1]Result!$G$21-[15]Result!$G$21</f>
        <v>32420.055042617489</v>
      </c>
      <c r="D594" s="14">
        <f>+[5]Result!$G$21-[1]Result!$G$21</f>
        <v>-29082.387347787153</v>
      </c>
      <c r="E594" s="36">
        <f>+[6]Result!$G$21-[5]Result!$G$21</f>
        <v>359356.0560567244</v>
      </c>
      <c r="F594" s="14">
        <f>+[7]Result!$G$21-[6]Result!$G$21</f>
        <v>-80742.222729051951</v>
      </c>
      <c r="G594" s="14">
        <f>+[8]Result!$G$21-[7]Result!$G$21</f>
        <v>44490.649048926309</v>
      </c>
      <c r="H594" s="36">
        <f>+[9]Result!$G$21-[8]Result!$G$21</f>
        <v>70838.201769951731</v>
      </c>
      <c r="I594" s="14">
        <f>+[10]Result!$G$21-[9]Result!$G$21</f>
        <v>31298.141512006056</v>
      </c>
      <c r="J594" s="14">
        <f>+[11]Result!$G$21-[10]Result!$G$21</f>
        <v>15218.757676921319</v>
      </c>
      <c r="K594" s="36">
        <f>+[12]Result!$G$21-[11]Result!$G$21</f>
        <v>-28104.861400328577</v>
      </c>
      <c r="L594" s="14">
        <f>+[13]Result!$G$21-[12]Result!$G$21</f>
        <v>-7214.4390939860605</v>
      </c>
      <c r="M594" s="14">
        <f>+[14]Result!$G$21-[13]Result!$G$21</f>
        <v>58377.230228874367</v>
      </c>
      <c r="N594" s="39"/>
    </row>
    <row r="595" spans="2:26" hidden="1" outlineLevel="2" x14ac:dyDescent="0.25">
      <c r="B595" s="17" t="s">
        <v>22</v>
      </c>
      <c r="C595" s="14">
        <f>+[1]Result!$G$22-[15]Result!$G$22</f>
        <v>27573.423428737093</v>
      </c>
      <c r="D595" s="14">
        <f>+[5]Result!$G$22-[1]Result!$G$22</f>
        <v>-19385.55518589681</v>
      </c>
      <c r="E595" s="36">
        <f>+[6]Result!$G$22-[5]Result!$G$22</f>
        <v>284619.7524401336</v>
      </c>
      <c r="F595" s="14">
        <f>+[7]Result!$G$22-[6]Result!$G$22</f>
        <v>-72009.950412139762</v>
      </c>
      <c r="G595" s="14">
        <f>+[8]Result!$G$22-[7]Result!$G$22</f>
        <v>40967.913096457953</v>
      </c>
      <c r="H595" s="36">
        <f>+[9]Result!$G$22-[8]Result!$G$22</f>
        <v>63330.505871844245</v>
      </c>
      <c r="I595" s="14">
        <f>+[10]Result!$G$22-[9]Result!$G$22</f>
        <v>27792.67373904516</v>
      </c>
      <c r="J595" s="14">
        <f>+[11]Result!$G$22-[10]Result!$G$22</f>
        <v>15405.572360682301</v>
      </c>
      <c r="K595" s="36">
        <f>+[12]Result!$G$22-[11]Result!$G$22</f>
        <v>-46728.410463283304</v>
      </c>
      <c r="L595" s="14">
        <f>+[13]Result!$G$22-[12]Result!$G$22</f>
        <v>-5349.7429298509378</v>
      </c>
      <c r="M595" s="14">
        <f>+[14]Result!$G$22-[13]Result!$G$22</f>
        <v>52842.886151844403</v>
      </c>
      <c r="N595" s="39"/>
    </row>
    <row r="596" spans="2:26" hidden="1" outlineLevel="2" x14ac:dyDescent="0.25">
      <c r="B596" s="17" t="s">
        <v>23</v>
      </c>
      <c r="C596" s="14">
        <f>+[1]Result!$G$23-[15]Result!$G$23</f>
        <v>23794.268305768259</v>
      </c>
      <c r="D596" s="14">
        <f>+[5]Result!$G$23-[1]Result!$G$23</f>
        <v>-14729.235859876499</v>
      </c>
      <c r="E596" s="36">
        <f>+[6]Result!$G$23-[5]Result!$G$23</f>
        <v>215295.21239205729</v>
      </c>
      <c r="F596" s="14">
        <f>+[7]Result!$G$23-[6]Result!$G$23</f>
        <v>-63107.0950496234</v>
      </c>
      <c r="G596" s="14">
        <f>+[8]Result!$G$23-[7]Result!$G$23</f>
        <v>37918.325225223787</v>
      </c>
      <c r="H596" s="36">
        <f>+[9]Result!$G$23-[8]Result!$G$23</f>
        <v>46917.359145617811</v>
      </c>
      <c r="I596" s="14">
        <f>+[10]Result!$G$23-[9]Result!$G$23</f>
        <v>24455.102254817495</v>
      </c>
      <c r="J596" s="14">
        <f>+[11]Result!$G$23-[10]Result!$G$23</f>
        <v>15350.997757049045</v>
      </c>
      <c r="K596" s="36">
        <f>+[12]Result!$G$23-[11]Result!$G$23</f>
        <v>-60437.597656865604</v>
      </c>
      <c r="L596" s="14">
        <f>+[13]Result!$G$23-[12]Result!$G$23</f>
        <v>-4040.5553705261555</v>
      </c>
      <c r="M596" s="14">
        <f>+[14]Result!$G$23-[13]Result!$G$23</f>
        <v>47960.353069819743</v>
      </c>
      <c r="N596" s="39"/>
    </row>
    <row r="597" spans="2:26" hidden="1" outlineLevel="2" x14ac:dyDescent="0.25">
      <c r="B597" s="17" t="s">
        <v>24</v>
      </c>
      <c r="C597" s="14">
        <f>+[1]Result!$G$24-[15]Result!$G$24</f>
        <v>22849.13919854071</v>
      </c>
      <c r="D597" s="14">
        <f>+[5]Result!$G$24-[1]Result!$G$24</f>
        <v>-16069.353237869684</v>
      </c>
      <c r="E597" s="36">
        <f>+[6]Result!$G$24-[5]Result!$G$24</f>
        <v>193120.89860883821</v>
      </c>
      <c r="F597" s="14">
        <f>+[7]Result!$G$24-[6]Result!$G$24</f>
        <v>-55210.213091779966</v>
      </c>
      <c r="G597" s="14">
        <f>+[8]Result!$G$24-[7]Result!$G$24</f>
        <v>36360.397356213536</v>
      </c>
      <c r="H597" s="36">
        <f>+[9]Result!$G$24-[8]Result!$G$24</f>
        <v>52107.415188524174</v>
      </c>
      <c r="I597" s="14">
        <f>+[10]Result!$G$24-[9]Result!$G$24</f>
        <v>21708.328313179547</v>
      </c>
      <c r="J597" s="14">
        <f>+[11]Result!$G$24-[10]Result!$G$24</f>
        <v>15361.668436760781</v>
      </c>
      <c r="K597" s="36">
        <f>+[12]Result!$G$24-[11]Result!$G$24</f>
        <v>-44466.594270855421</v>
      </c>
      <c r="L597" s="14">
        <f>+[13]Result!$G$24-[12]Result!$G$24</f>
        <v>-2975.5411689197645</v>
      </c>
      <c r="M597" s="14">
        <f>+[14]Result!$G$24-[13]Result!$G$24</f>
        <v>43338.827075840672</v>
      </c>
      <c r="N597" s="39"/>
    </row>
    <row r="598" spans="2:26" hidden="1" outlineLevel="1" collapsed="1" x14ac:dyDescent="0.25">
      <c r="B598" s="16" t="s">
        <v>25</v>
      </c>
      <c r="C598" s="14">
        <f>+'[1]Stat by Mat'!$J$6-'[15]Stat by Mat'!$J$6</f>
        <v>122475.61870452389</v>
      </c>
      <c r="D598" s="14">
        <f>+'[5]Stat by Mat'!$J$6-'[1]Stat by Mat'!$J$6</f>
        <v>-131529.39807276521</v>
      </c>
      <c r="E598" s="36">
        <f>+'[6]Stat by Mat'!$J$6-'[5]Stat by Mat'!$J$6</f>
        <v>731092.64543525036</v>
      </c>
      <c r="F598" s="14">
        <f>+'[7]Stat by Mat'!$J$6-'[6]Stat by Mat'!$J$6</f>
        <v>-202760.35137110855</v>
      </c>
      <c r="G598" s="14">
        <f>+'[8]Stat by Mat'!$J$6-'[7]Stat by Mat'!$J$6</f>
        <v>179104.21187780332</v>
      </c>
      <c r="H598" s="36">
        <f>+'[9]Stat by Mat'!$J$6-'[8]Stat by Mat'!$J$6</f>
        <v>203822.15917141549</v>
      </c>
      <c r="I598" s="14">
        <f>+'[10]Stat by Mat'!$J$6-'[9]Stat by Mat'!$J$6</f>
        <v>92506.736633126624</v>
      </c>
      <c r="J598" s="14">
        <f>+'[11]Stat by Mat'!$J$6-'[10]Stat by Mat'!$J$6</f>
        <v>84981.907524944283</v>
      </c>
      <c r="K598" s="36">
        <f>+'[12]Stat by Mat'!$J$6-'[11]Stat by Mat'!$J$6</f>
        <v>-336336.40467317495</v>
      </c>
      <c r="L598" s="14">
        <f>+'[13]Stat by Mat'!$J$6-'[12]Stat by Mat'!$J$6</f>
        <v>-5645.7570396726951</v>
      </c>
      <c r="M598" s="14">
        <f>+'[14]Stat by Mat'!$J$6-'[13]Stat by Mat'!$J$6</f>
        <v>203652.51860098261</v>
      </c>
      <c r="N598" s="39"/>
      <c r="O598" s="14">
        <f>+C598-SUM(C599:C608)</f>
        <v>-2.2700987756252289E-9</v>
      </c>
      <c r="P598" s="14">
        <f t="shared" ref="P598:R598" si="195">+D598-SUM(D599:D608)</f>
        <v>-3.2014213502407074E-10</v>
      </c>
      <c r="Q598" s="14">
        <f t="shared" si="195"/>
        <v>1.862645149230957E-9</v>
      </c>
      <c r="R598" s="14">
        <f t="shared" si="195"/>
        <v>-1.7753336578607559E-9</v>
      </c>
      <c r="S598" s="14">
        <f t="shared" ref="S598" si="196">+G598-SUM(G599:G608)</f>
        <v>2.2700987756252289E-9</v>
      </c>
      <c r="T598" s="14">
        <f t="shared" ref="T598:Z598" si="197">+H598-SUM(H599:H608)</f>
        <v>-1.862645149230957E-9</v>
      </c>
      <c r="U598" s="14">
        <f t="shared" si="197"/>
        <v>0</v>
      </c>
      <c r="V598" s="14">
        <f t="shared" si="197"/>
        <v>1.3678800314664841E-9</v>
      </c>
      <c r="W598" s="14">
        <f t="shared" si="197"/>
        <v>-4.6566128730773926E-10</v>
      </c>
      <c r="X598" s="14">
        <f t="shared" si="197"/>
        <v>-7.2759576141834259E-10</v>
      </c>
      <c r="Y598" s="14">
        <f t="shared" si="197"/>
        <v>9.6042640507221222E-10</v>
      </c>
      <c r="Z598" s="14">
        <f t="shared" si="197"/>
        <v>0</v>
      </c>
    </row>
    <row r="599" spans="2:26" hidden="1" outlineLevel="2" x14ac:dyDescent="0.25">
      <c r="B599" s="17" t="s">
        <v>26</v>
      </c>
      <c r="C599" s="14">
        <f>+[1]Result!$G$25-[15]Result!$G$25</f>
        <v>21558.100229632575</v>
      </c>
      <c r="D599" s="14">
        <f>+[5]Result!$G$25-[1]Result!$G$25</f>
        <v>-18373.679554557428</v>
      </c>
      <c r="E599" s="36">
        <f>+[6]Result!$G$25-[5]Result!$G$25</f>
        <v>166877.93817404541</v>
      </c>
      <c r="F599" s="14">
        <f>+[7]Result!$G$25-[6]Result!$G$25</f>
        <v>-45196.286935358075</v>
      </c>
      <c r="G599" s="14">
        <f>+[8]Result!$G$25-[7]Result!$G$25</f>
        <v>32963.152549107326</v>
      </c>
      <c r="H599" s="36">
        <f>+[9]Result!$G$25-[8]Result!$G$25</f>
        <v>49784.703127454501</v>
      </c>
      <c r="I599" s="14">
        <f>+[10]Result!$G$25-[9]Result!$G$25</f>
        <v>18465.646365283057</v>
      </c>
      <c r="J599" s="14">
        <f>+[11]Result!$G$25-[10]Result!$G$25</f>
        <v>14461.631358023966</v>
      </c>
      <c r="K599" s="36">
        <f>+[12]Result!$G$25-[11]Result!$G$25</f>
        <v>-43863.055467912229</v>
      </c>
      <c r="L599" s="14">
        <f>+[13]Result!$G$25-[12]Result!$G$25</f>
        <v>-2037.5597385170404</v>
      </c>
      <c r="M599" s="14">
        <f>+[14]Result!$G$25-[13]Result!$G$25</f>
        <v>37982.494665272301</v>
      </c>
      <c r="N599" s="39"/>
    </row>
    <row r="600" spans="2:26" hidden="1" outlineLevel="2" x14ac:dyDescent="0.25">
      <c r="B600" s="17" t="s">
        <v>27</v>
      </c>
      <c r="C600" s="14">
        <f>+[1]Result!$G$26-[15]Result!$G$26</f>
        <v>19813.181952387793</v>
      </c>
      <c r="D600" s="14">
        <f>+[5]Result!$G$26-[1]Result!$G$26</f>
        <v>-19122.557817905908</v>
      </c>
      <c r="E600" s="36">
        <f>+[6]Result!$G$26-[5]Result!$G$26</f>
        <v>142137.56733676663</v>
      </c>
      <c r="F600" s="14">
        <f>+[7]Result!$G$26-[6]Result!$G$26</f>
        <v>-36658.101113998564</v>
      </c>
      <c r="G600" s="14">
        <f>+[8]Result!$G$26-[7]Result!$G$26</f>
        <v>29263.976382294786</v>
      </c>
      <c r="H600" s="36">
        <f>+[9]Result!$G$26-[8]Result!$G$26</f>
        <v>45083.539492422715</v>
      </c>
      <c r="I600" s="14">
        <f>+[10]Result!$G$26-[9]Result!$G$26</f>
        <v>15671.49114618462</v>
      </c>
      <c r="J600" s="14">
        <f>+[11]Result!$G$26-[10]Result!$G$26</f>
        <v>13148.406127648777</v>
      </c>
      <c r="K600" s="36">
        <f>+[12]Result!$G$26-[11]Result!$G$26</f>
        <v>-43667.60846276104</v>
      </c>
      <c r="L600" s="14">
        <f>+[13]Result!$G$26-[12]Result!$G$26</f>
        <v>-1378.2427765736356</v>
      </c>
      <c r="M600" s="14">
        <f>+[14]Result!$G$26-[13]Result!$G$26</f>
        <v>32998.070323976222</v>
      </c>
      <c r="N600" s="39"/>
    </row>
    <row r="601" spans="2:26" hidden="1" outlineLevel="2" x14ac:dyDescent="0.25">
      <c r="B601" s="17" t="s">
        <v>28</v>
      </c>
      <c r="C601" s="14">
        <f>+[1]Result!$G$27-[15]Result!$G$27</f>
        <v>17509.741933346842</v>
      </c>
      <c r="D601" s="14">
        <f>+[5]Result!$G$27-[1]Result!$G$27</f>
        <v>-18413.388677706826</v>
      </c>
      <c r="E601" s="36">
        <f>+[6]Result!$G$27-[5]Result!$G$27</f>
        <v>115451.79158054467</v>
      </c>
      <c r="F601" s="14">
        <f>+[7]Result!$G$27-[6]Result!$G$27</f>
        <v>-29566.437419375638</v>
      </c>
      <c r="G601" s="14">
        <f>+[8]Result!$G$27-[7]Result!$G$27</f>
        <v>25464.648615603102</v>
      </c>
      <c r="H601" s="36">
        <f>+[9]Result!$G$27-[8]Result!$G$27</f>
        <v>37450.854367810651</v>
      </c>
      <c r="I601" s="14">
        <f>+[10]Result!$G$27-[9]Result!$G$27</f>
        <v>13224.703567886725</v>
      </c>
      <c r="J601" s="14">
        <f>+[11]Result!$G$27-[10]Result!$G$27</f>
        <v>11700.027518903138</v>
      </c>
      <c r="K601" s="36">
        <f>+[12]Result!$G$27-[11]Result!$G$27</f>
        <v>-46210.207008452271</v>
      </c>
      <c r="L601" s="14">
        <f>+[13]Result!$G$27-[12]Result!$G$27</f>
        <v>-942.11969456251245</v>
      </c>
      <c r="M601" s="14">
        <f>+[14]Result!$G$27-[13]Result!$G$27</f>
        <v>28590.978660612251</v>
      </c>
      <c r="N601" s="39"/>
    </row>
    <row r="602" spans="2:26" hidden="1" outlineLevel="2" x14ac:dyDescent="0.25">
      <c r="B602" s="17" t="s">
        <v>29</v>
      </c>
      <c r="C602" s="14">
        <f>+[1]Result!$G$28-[15]Result!$G$28</f>
        <v>15298.428044239641</v>
      </c>
      <c r="D602" s="14">
        <f>+[5]Result!$G$28-[1]Result!$G$28</f>
        <v>-17019.86514554231</v>
      </c>
      <c r="E602" s="36">
        <f>+[6]Result!$G$28-[5]Result!$G$28</f>
        <v>89241.589045279427</v>
      </c>
      <c r="F602" s="14">
        <f>+[7]Result!$G$28-[6]Result!$G$28</f>
        <v>-24131.030077273143</v>
      </c>
      <c r="G602" s="14">
        <f>+[8]Result!$G$28-[7]Result!$G$28</f>
        <v>22086.517436582129</v>
      </c>
      <c r="H602" s="36">
        <f>+[9]Result!$G$28-[8]Result!$G$28</f>
        <v>21585.833134699729</v>
      </c>
      <c r="I602" s="14">
        <f>+[10]Result!$G$28-[9]Result!$G$28</f>
        <v>11267.883047373383</v>
      </c>
      <c r="J602" s="14">
        <f>+[11]Result!$G$28-[10]Result!$G$28</f>
        <v>10639.842747843941</v>
      </c>
      <c r="K602" s="36">
        <f>+[12]Result!$G$28-[11]Result!$G$28</f>
        <v>-46194.944914011634</v>
      </c>
      <c r="L602" s="14">
        <f>+[13]Result!$G$28-[12]Result!$G$28</f>
        <v>-608.29732406302355</v>
      </c>
      <c r="M602" s="14">
        <f>+[14]Result!$G$28-[13]Result!$G$28</f>
        <v>25141.061449599103</v>
      </c>
      <c r="N602" s="39"/>
    </row>
    <row r="603" spans="2:26" hidden="1" outlineLevel="2" x14ac:dyDescent="0.25">
      <c r="B603" s="17" t="s">
        <v>30</v>
      </c>
      <c r="C603" s="14">
        <f>+[1]Result!$G$29-[15]Result!$G$29</f>
        <v>13678.834134184173</v>
      </c>
      <c r="D603" s="14">
        <f>+[5]Result!$G$29-[1]Result!$G$29</f>
        <v>-15888.000621478888</v>
      </c>
      <c r="E603" s="36">
        <f>+[6]Result!$G$29-[5]Result!$G$29</f>
        <v>74971.193129719468</v>
      </c>
      <c r="F603" s="14">
        <f>+[7]Result!$G$29-[6]Result!$G$29</f>
        <v>-20244.337721423712</v>
      </c>
      <c r="G603" s="14">
        <f>+[8]Result!$G$29-[7]Result!$G$29</f>
        <v>19506.058454903774</v>
      </c>
      <c r="H603" s="36">
        <f>+[9]Result!$G$29-[8]Result!$G$29</f>
        <v>21257.533477587276</v>
      </c>
      <c r="I603" s="14">
        <f>+[10]Result!$G$29-[9]Result!$G$29</f>
        <v>9669.9400782736484</v>
      </c>
      <c r="J603" s="14">
        <f>+[11]Result!$G$29-[10]Result!$G$29</f>
        <v>9554.6646708456101</v>
      </c>
      <c r="K603" s="36">
        <f>+[12]Result!$G$29-[11]Result!$G$29</f>
        <v>-32581.125799525995</v>
      </c>
      <c r="L603" s="14">
        <f>+[13]Result!$G$29-[12]Result!$G$29</f>
        <v>-330.74861742544454</v>
      </c>
      <c r="M603" s="14">
        <f>+[14]Result!$G$29-[13]Result!$G$29</f>
        <v>21591.684746730374</v>
      </c>
      <c r="N603" s="39"/>
    </row>
    <row r="604" spans="2:26" hidden="1" outlineLevel="2" x14ac:dyDescent="0.25">
      <c r="B604" s="17" t="s">
        <v>31</v>
      </c>
      <c r="C604" s="14">
        <f>+[1]Result!$G$30-[15]Result!$G$30</f>
        <v>10939.202659750881</v>
      </c>
      <c r="D604" s="14">
        <f>+[5]Result!$G$30-[1]Result!$G$30</f>
        <v>-13133.595938017592</v>
      </c>
      <c r="E604" s="36">
        <f>+[6]Result!$G$30-[5]Result!$G$30</f>
        <v>59088.666506446432</v>
      </c>
      <c r="F604" s="14">
        <f>+[7]Result!$G$30-[6]Result!$G$30</f>
        <v>-15341.147090585087</v>
      </c>
      <c r="G604" s="14">
        <f>+[8]Result!$G$30-[7]Result!$G$30</f>
        <v>15448.703967643436</v>
      </c>
      <c r="H604" s="36">
        <f>+[9]Result!$G$30-[8]Result!$G$30</f>
        <v>19816.031537774135</v>
      </c>
      <c r="I604" s="14">
        <f>+[10]Result!$G$30-[9]Result!$G$30</f>
        <v>7490.299504651106</v>
      </c>
      <c r="J604" s="14">
        <f>+[11]Result!$G$30-[10]Result!$G$30</f>
        <v>7596.0771503827418</v>
      </c>
      <c r="K604" s="36">
        <f>+[12]Result!$G$30-[11]Result!$G$30</f>
        <v>-30592.863902223879</v>
      </c>
      <c r="L604" s="14">
        <f>+[13]Result!$G$30-[12]Result!$G$30</f>
        <v>-158.85837246157462</v>
      </c>
      <c r="M604" s="14">
        <f>+[14]Result!$G$30-[13]Result!$G$30</f>
        <v>17111.684902537323</v>
      </c>
      <c r="N604" s="39"/>
    </row>
    <row r="605" spans="2:26" hidden="1" outlineLevel="2" x14ac:dyDescent="0.25">
      <c r="B605" s="17" t="s">
        <v>32</v>
      </c>
      <c r="C605" s="14">
        <f>+[1]Result!$G$31-[15]Result!$G$31</f>
        <v>8442.7477391871507</v>
      </c>
      <c r="D605" s="14">
        <f>+[5]Result!$G$31-[1]Result!$G$31</f>
        <v>-10325.907833746518</v>
      </c>
      <c r="E605" s="36">
        <f>+[6]Result!$G$31-[5]Result!$G$31</f>
        <v>42167.032583752181</v>
      </c>
      <c r="F605" s="14">
        <f>+[7]Result!$G$31-[6]Result!$G$31</f>
        <v>-11366.336106212577</v>
      </c>
      <c r="G605" s="14">
        <f>+[8]Result!$G$31-[7]Result!$G$31</f>
        <v>11907.451222595526</v>
      </c>
      <c r="H605" s="36">
        <f>+[9]Result!$G$31-[8]Result!$G$31</f>
        <v>15098.257070460706</v>
      </c>
      <c r="I605" s="14">
        <f>+[10]Result!$G$31-[9]Result!$G$31</f>
        <v>5648.218221036368</v>
      </c>
      <c r="J605" s="14">
        <f>+[11]Result!$G$31-[10]Result!$G$31</f>
        <v>5884.406932981452</v>
      </c>
      <c r="K605" s="36">
        <f>+[12]Result!$G$31-[11]Result!$G$31</f>
        <v>-28909.909363721206</v>
      </c>
      <c r="L605" s="14">
        <f>+[13]Result!$G$31-[12]Result!$G$31</f>
        <v>-125.2631567704957</v>
      </c>
      <c r="M605" s="14">
        <f>+[14]Result!$G$31-[13]Result!$G$31</f>
        <v>13332.111046380713</v>
      </c>
      <c r="N605" s="39"/>
    </row>
    <row r="606" spans="2:26" hidden="1" outlineLevel="2" x14ac:dyDescent="0.25">
      <c r="B606" s="17" t="s">
        <v>33</v>
      </c>
      <c r="C606" s="14">
        <f>+[1]Result!$G$32-[15]Result!$G$32</f>
        <v>6153.1531044053845</v>
      </c>
      <c r="D606" s="14">
        <f>+[5]Result!$G$32-[1]Result!$G$32</f>
        <v>-7672.2487210526306</v>
      </c>
      <c r="E606" s="36">
        <f>+[6]Result!$G$32-[5]Result!$G$32</f>
        <v>28371.145588053478</v>
      </c>
      <c r="F606" s="14">
        <f>+[7]Result!$G$32-[6]Result!$G$32</f>
        <v>-8014.8247943554888</v>
      </c>
      <c r="G606" s="14">
        <f>+[8]Result!$G$32-[7]Result!$G$32</f>
        <v>8690.3930404208659</v>
      </c>
      <c r="H606" s="36">
        <f>+[9]Result!$G$32-[8]Result!$G$32</f>
        <v>10291.421761781414</v>
      </c>
      <c r="I606" s="14">
        <f>+[10]Result!$G$32-[9]Result!$G$32</f>
        <v>4056.8673962694593</v>
      </c>
      <c r="J606" s="14">
        <f>+[11]Result!$G$32-[10]Result!$G$32</f>
        <v>4317.1696106314776</v>
      </c>
      <c r="K606" s="36">
        <f>+[12]Result!$G$32-[11]Result!$G$32</f>
        <v>-31332.798674395977</v>
      </c>
      <c r="L606" s="14">
        <f>+[13]Result!$G$32-[12]Result!$G$32</f>
        <v>-64.667359298240626</v>
      </c>
      <c r="M606" s="14">
        <f>+[14]Result!$G$32-[13]Result!$G$32</f>
        <v>10133.666379167233</v>
      </c>
      <c r="N606" s="39"/>
    </row>
    <row r="607" spans="2:26" hidden="1" outlineLevel="2" x14ac:dyDescent="0.25">
      <c r="B607" s="17" t="s">
        <v>34</v>
      </c>
      <c r="C607" s="14">
        <f>+[1]Result!$G$33-[15]Result!$G$33</f>
        <v>4481.8555198922695</v>
      </c>
      <c r="D607" s="14">
        <f>+[5]Result!$G$33-[1]Result!$G$33</f>
        <v>-5677.70039983475</v>
      </c>
      <c r="E607" s="36">
        <f>+[6]Result!$G$33-[5]Result!$G$33</f>
        <v>5910.8199075777957</v>
      </c>
      <c r="F607" s="14">
        <f>+[7]Result!$G$33-[6]Result!$G$33</f>
        <v>-6143.4539465701382</v>
      </c>
      <c r="G607" s="14">
        <f>+[8]Result!$G$33-[7]Result!$G$33</f>
        <v>6831.9057780636067</v>
      </c>
      <c r="H607" s="36">
        <f>+[9]Result!$G$33-[8]Result!$G$33</f>
        <v>-8922.7475381763652</v>
      </c>
      <c r="I607" s="14">
        <f>+[10]Result!$G$33-[9]Result!$G$33</f>
        <v>3490.7653572832351</v>
      </c>
      <c r="J607" s="14">
        <f>+[11]Result!$G$33-[10]Result!$G$33</f>
        <v>3794.2699406739557</v>
      </c>
      <c r="K607" s="36">
        <f>+[12]Result!$G$33-[11]Result!$G$33</f>
        <v>-30436.898973101575</v>
      </c>
      <c r="L607" s="14">
        <f>+[13]Result!$G$33-[12]Result!$G$33</f>
        <v>0</v>
      </c>
      <c r="M607" s="14">
        <f>+[14]Result!$G$33-[13]Result!$G$33</f>
        <v>8922.3870147484413</v>
      </c>
      <c r="N607" s="39"/>
    </row>
    <row r="608" spans="2:26" hidden="1" outlineLevel="2" x14ac:dyDescent="0.25">
      <c r="B608" s="17" t="s">
        <v>35</v>
      </c>
      <c r="C608" s="14">
        <f>+[1]Result!$G$34-[15]Result!$G$34</f>
        <v>4600.3733874994505</v>
      </c>
      <c r="D608" s="14">
        <f>+[5]Result!$G$34-[1]Result!$G$34</f>
        <v>-5902.4533629220387</v>
      </c>
      <c r="E608" s="36">
        <f>+[6]Result!$G$34-[5]Result!$G$34</f>
        <v>6874.9015830629505</v>
      </c>
      <c r="F608" s="14">
        <f>+[7]Result!$G$34-[6]Result!$G$34</f>
        <v>-6098.3961659543565</v>
      </c>
      <c r="G608" s="14">
        <f>+[8]Result!$G$34-[7]Result!$G$34</f>
        <v>6941.4044305864954</v>
      </c>
      <c r="H608" s="36">
        <f>+[9]Result!$G$34-[8]Result!$G$34</f>
        <v>-7623.2672603974061</v>
      </c>
      <c r="I608" s="14">
        <f>+[10]Result!$G$34-[9]Result!$G$34</f>
        <v>3520.9219488851086</v>
      </c>
      <c r="J608" s="14">
        <f>+[11]Result!$G$34-[10]Result!$G$34</f>
        <v>3885.4114670078561</v>
      </c>
      <c r="K608" s="36">
        <f>+[12]Result!$G$34-[11]Result!$G$34</f>
        <v>-2546.9921070687415</v>
      </c>
      <c r="L608" s="14">
        <f>+[13]Result!$G$34-[12]Result!$G$34</f>
        <v>0</v>
      </c>
      <c r="M608" s="14">
        <f>+[14]Result!$G$34-[13]Result!$G$34</f>
        <v>7848.3794119576924</v>
      </c>
      <c r="N608" s="39"/>
    </row>
    <row r="609" spans="2:26" hidden="1" outlineLevel="1" collapsed="1" x14ac:dyDescent="0.25">
      <c r="B609" s="16" t="s">
        <v>36</v>
      </c>
      <c r="C609" s="14">
        <f>+'[1]Stat by Mat'!$J$7-'[15]Stat by Mat'!$J$7</f>
        <v>8187.9446357415291</v>
      </c>
      <c r="D609" s="14">
        <f>+'[5]Stat by Mat'!$J$7-'[1]Stat by Mat'!$J$7</f>
        <v>-10763.798646773852</v>
      </c>
      <c r="E609" s="36">
        <f>+'[6]Stat by Mat'!$J$7-'[5]Stat by Mat'!$J$7</f>
        <v>17167.505855987372</v>
      </c>
      <c r="F609" s="14">
        <f>+'[7]Stat by Mat'!$J$7-'[6]Stat by Mat'!$J$7</f>
        <v>-10113.065387343289</v>
      </c>
      <c r="G609" s="14">
        <f>+'[8]Stat by Mat'!$J$7-'[7]Stat by Mat'!$J$7</f>
        <v>12093.305360253376</v>
      </c>
      <c r="H609" s="36">
        <f>+'[9]Stat by Mat'!$J$7-'[8]Stat by Mat'!$J$7</f>
        <v>-3728.7141551335808</v>
      </c>
      <c r="I609" s="14">
        <f>+'[10]Stat by Mat'!$J$7-'[9]Stat by Mat'!$J$7</f>
        <v>5828.4892279682681</v>
      </c>
      <c r="J609" s="14">
        <f>+'[11]Stat by Mat'!$J$7-'[10]Stat by Mat'!$J$7</f>
        <v>6699.473801735614</v>
      </c>
      <c r="K609" s="36">
        <f>+'[12]Stat by Mat'!$J$7-'[11]Stat by Mat'!$J$7</f>
        <v>-13014.092695842555</v>
      </c>
      <c r="L609" s="14">
        <f>+'[13]Stat by Mat'!$J$7-'[12]Stat by Mat'!$J$7</f>
        <v>95.420891077665146</v>
      </c>
      <c r="M609" s="14">
        <f>+'[14]Stat by Mat'!$J$7-'[13]Stat by Mat'!$J$7</f>
        <v>13712.691693942819</v>
      </c>
      <c r="N609" s="39"/>
      <c r="O609" s="14">
        <f>+C609-SUM(C610:C629)</f>
        <v>-2.2737367544323206E-11</v>
      </c>
      <c r="P609" s="14">
        <f t="shared" ref="P609:R609" si="198">+D609-SUM(D610:D629)</f>
        <v>-16.665852381765944</v>
      </c>
      <c r="Q609" s="14">
        <f t="shared" si="198"/>
        <v>20.358916576566116</v>
      </c>
      <c r="R609" s="14">
        <f t="shared" si="198"/>
        <v>-8.9594121638692741</v>
      </c>
      <c r="S609" s="14">
        <f t="shared" ref="S609" si="199">+G609-SUM(G610:G629)</f>
        <v>-6.4293877310628886</v>
      </c>
      <c r="T609" s="14">
        <f t="shared" ref="T609:Z609" si="200">+H609-SUM(H610:H629)</f>
        <v>4.646604255656257</v>
      </c>
      <c r="U609" s="14">
        <f t="shared" si="200"/>
        <v>5.4881079828837755</v>
      </c>
      <c r="V609" s="14">
        <f t="shared" si="200"/>
        <v>6.7189465325191122</v>
      </c>
      <c r="W609" s="14">
        <f t="shared" si="200"/>
        <v>10.439770042374221</v>
      </c>
      <c r="X609" s="14">
        <f t="shared" si="200"/>
        <v>0.21419324314413757</v>
      </c>
      <c r="Y609" s="14">
        <f t="shared" si="200"/>
        <v>12.421409370075708</v>
      </c>
      <c r="Z609" s="14">
        <f t="shared" si="200"/>
        <v>0</v>
      </c>
    </row>
    <row r="610" spans="2:26" hidden="1" outlineLevel="2" x14ac:dyDescent="0.25">
      <c r="B610" s="17" t="s">
        <v>37</v>
      </c>
      <c r="C610" s="14">
        <f>+[1]Result!$G$35-[15]Result!$G$35</f>
        <v>2558.8920062645193</v>
      </c>
      <c r="D610" s="14">
        <f>+[5]Result!$G$35-[1]Result!$G$35</f>
        <v>-3311.0864429931244</v>
      </c>
      <c r="E610" s="36">
        <f>+[6]Result!$G$35-[5]Result!$G$35</f>
        <v>4646.5332809430256</v>
      </c>
      <c r="F610" s="14">
        <f>+[7]Result!$G$35-[6]Result!$G$35</f>
        <v>-3290.3547316775803</v>
      </c>
      <c r="G610" s="14">
        <f>+[8]Result!$G$35-[7]Result!$G$35</f>
        <v>3820.6743349772732</v>
      </c>
      <c r="H610" s="36">
        <f>+[9]Result!$G$35-[8]Result!$G$35</f>
        <v>-2043.7072018281906</v>
      </c>
      <c r="I610" s="14">
        <f>+[10]Result!$G$35-[9]Result!$G$35</f>
        <v>1876.0084671099903</v>
      </c>
      <c r="J610" s="14">
        <f>+[11]Result!$G$35-[10]Result!$G$35</f>
        <v>2105.1542847772944</v>
      </c>
      <c r="K610" s="36">
        <f>+[12]Result!$G$35-[11]Result!$G$35</f>
        <v>-2088.3665038838808</v>
      </c>
      <c r="L610" s="14">
        <f>+[13]Result!$G$35-[12]Result!$G$35</f>
        <v>14.219256036914885</v>
      </c>
      <c r="M610" s="14">
        <f>+[14]Result!$G$35-[13]Result!$G$35</f>
        <v>4255.6675087827607</v>
      </c>
      <c r="N610" s="39"/>
    </row>
    <row r="611" spans="2:26" hidden="1" outlineLevel="2" x14ac:dyDescent="0.25">
      <c r="B611" s="17" t="s">
        <v>38</v>
      </c>
      <c r="C611" s="14">
        <f>+[1]Result!$G$36-[15]Result!$G$36</f>
        <v>1521.2012022973868</v>
      </c>
      <c r="D611" s="14">
        <f>+[5]Result!$G$36-[1]Result!$G$36</f>
        <v>-1985.484095169566</v>
      </c>
      <c r="E611" s="36">
        <f>+[6]Result!$G$36-[5]Result!$G$36</f>
        <v>3560.1669967818452</v>
      </c>
      <c r="F611" s="14">
        <f>+[7]Result!$G$36-[6]Result!$G$36</f>
        <v>-1892.8671622704205</v>
      </c>
      <c r="G611" s="14">
        <f>+[8]Result!$G$36-[7]Result!$G$36</f>
        <v>2234.7109772590047</v>
      </c>
      <c r="H611" s="36">
        <f>+[9]Result!$G$36-[8]Result!$G$36</f>
        <v>-244.30202108904632</v>
      </c>
      <c r="I611" s="14">
        <f>+[10]Result!$G$36-[9]Result!$G$36</f>
        <v>1074.6073502047147</v>
      </c>
      <c r="J611" s="14">
        <f>+[11]Result!$G$36-[10]Result!$G$36</f>
        <v>1217.4791738954882</v>
      </c>
      <c r="K611" s="36">
        <f>+[12]Result!$G$36-[11]Result!$G$36</f>
        <v>-2698.0475945329963</v>
      </c>
      <c r="L611" s="14">
        <f>+[13]Result!$G$36-[12]Result!$G$36</f>
        <v>17.193002745225385</v>
      </c>
      <c r="M611" s="14">
        <f>+[14]Result!$G$36-[13]Result!$G$36</f>
        <v>2510.9842274584007</v>
      </c>
      <c r="N611" s="39"/>
    </row>
    <row r="612" spans="2:26" hidden="1" outlineLevel="2" x14ac:dyDescent="0.25">
      <c r="B612" s="17" t="s">
        <v>39</v>
      </c>
      <c r="C612" s="14">
        <f>+[1]Result!$G$37-[15]Result!$G$37</f>
        <v>1048.2972359673295</v>
      </c>
      <c r="D612" s="14">
        <f>+[5]Result!$G$37-[1]Result!$G$37</f>
        <v>-1382.4977954662536</v>
      </c>
      <c r="E612" s="36">
        <f>+[6]Result!$G$37-[5]Result!$G$37</f>
        <v>2262.6499628140518</v>
      </c>
      <c r="F612" s="14">
        <f>+[7]Result!$G$37-[6]Result!$G$37</f>
        <v>-1286.6720319748929</v>
      </c>
      <c r="G612" s="14">
        <f>+[8]Result!$G$37-[7]Result!$G$37</f>
        <v>1547.2652479881581</v>
      </c>
      <c r="H612" s="36">
        <f>+[9]Result!$G$37-[8]Result!$G$37</f>
        <v>-148.41045606382977</v>
      </c>
      <c r="I612" s="14">
        <f>+[10]Result!$G$37-[9]Result!$G$37</f>
        <v>737.44656798411597</v>
      </c>
      <c r="J612" s="14">
        <f>+[11]Result!$G$37-[10]Result!$G$37</f>
        <v>850.70728390149452</v>
      </c>
      <c r="K612" s="36">
        <f>+[12]Result!$G$37-[11]Result!$G$37</f>
        <v>-3159.1217153443795</v>
      </c>
      <c r="L612" s="14">
        <f>+[13]Result!$G$37-[12]Result!$G$37</f>
        <v>12.585020996586536</v>
      </c>
      <c r="M612" s="14">
        <f>+[14]Result!$G$37-[13]Result!$G$37</f>
        <v>1806.6700952049796</v>
      </c>
      <c r="N612" s="39"/>
    </row>
    <row r="613" spans="2:26" hidden="1" outlineLevel="2" x14ac:dyDescent="0.25">
      <c r="B613" s="17" t="s">
        <v>40</v>
      </c>
      <c r="C613" s="14">
        <f>+[1]Result!$G$38-[15]Result!$G$38</f>
        <v>847.2223495947328</v>
      </c>
      <c r="D613" s="14">
        <f>+[5]Result!$G$38-[1]Result!$G$38</f>
        <v>-1124.0387103180765</v>
      </c>
      <c r="E613" s="36">
        <f>+[6]Result!$G$38-[5]Result!$G$38</f>
        <v>1599.3148940280116</v>
      </c>
      <c r="F613" s="14">
        <f>+[7]Result!$G$38-[6]Result!$G$38</f>
        <v>-1042.4468697488592</v>
      </c>
      <c r="G613" s="14">
        <f>+[8]Result!$G$38-[7]Result!$G$38</f>
        <v>1264.8939614628507</v>
      </c>
      <c r="H613" s="36">
        <f>+[9]Result!$G$38-[8]Result!$G$38</f>
        <v>-235.97101652484344</v>
      </c>
      <c r="I613" s="14">
        <f>+[10]Result!$G$38-[9]Result!$G$38</f>
        <v>597.20318877638056</v>
      </c>
      <c r="J613" s="14">
        <f>+[11]Result!$G$38-[10]Result!$G$38</f>
        <v>702.21493663705041</v>
      </c>
      <c r="K613" s="36">
        <f>+[12]Result!$G$38-[11]Result!$G$38</f>
        <v>-1530.5927020157214</v>
      </c>
      <c r="L613" s="14">
        <f>+[13]Result!$G$38-[12]Result!$G$38</f>
        <v>10.198429978339846</v>
      </c>
      <c r="M613" s="14">
        <f>+[14]Result!$G$38-[13]Result!$G$38</f>
        <v>1438.7724304829244</v>
      </c>
      <c r="N613" s="39"/>
    </row>
    <row r="614" spans="2:26" hidden="1" outlineLevel="2" x14ac:dyDescent="0.25">
      <c r="B614" s="17" t="s">
        <v>41</v>
      </c>
      <c r="C614" s="14">
        <f>+[1]Result!$G$39-[15]Result!$G$39</f>
        <v>675.81483502708579</v>
      </c>
      <c r="D614" s="14">
        <f>+[5]Result!$G$39-[1]Result!$G$39</f>
        <v>-900.85699222541734</v>
      </c>
      <c r="E614" s="36">
        <f>+[6]Result!$G$39-[5]Result!$G$39</f>
        <v>1904.5588581981574</v>
      </c>
      <c r="F614" s="14">
        <f>+[7]Result!$G$39-[6]Result!$G$39</f>
        <v>-801.21899041837241</v>
      </c>
      <c r="G614" s="14">
        <f>+[8]Result!$G$39-[7]Result!$G$39</f>
        <v>977.39960680306467</v>
      </c>
      <c r="H614" s="36">
        <f>+[9]Result!$G$39-[8]Result!$G$39</f>
        <v>111.95393970697114</v>
      </c>
      <c r="I614" s="14">
        <f>+[10]Result!$G$39-[9]Result!$G$39</f>
        <v>459.30965341061165</v>
      </c>
      <c r="J614" s="14">
        <f>+[11]Result!$G$39-[10]Result!$G$39</f>
        <v>537.6973507980656</v>
      </c>
      <c r="K614" s="36">
        <f>+[12]Result!$G$39-[11]Result!$G$39</f>
        <v>-679.09997171335635</v>
      </c>
      <c r="L614" s="14">
        <f>+[13]Result!$G$39-[12]Result!$G$39</f>
        <v>7.8150195783346135</v>
      </c>
      <c r="M614" s="14">
        <f>+[14]Result!$G$39-[13]Result!$G$39</f>
        <v>1079.4438449759546</v>
      </c>
      <c r="N614" s="39"/>
    </row>
    <row r="615" spans="2:26" hidden="1" outlineLevel="2" x14ac:dyDescent="0.25">
      <c r="B615" s="17" t="s">
        <v>42</v>
      </c>
      <c r="C615" s="14">
        <f>+[1]Result!$G$40-[15]Result!$G$40</f>
        <v>454.83138233925638</v>
      </c>
      <c r="D615" s="14">
        <f>+[5]Result!$G$40-[1]Result!$G$40</f>
        <v>-609.23048030490099</v>
      </c>
      <c r="E615" s="36">
        <f>+[6]Result!$G$40-[5]Result!$G$40</f>
        <v>1143.5731061534298</v>
      </c>
      <c r="F615" s="14">
        <f>+[7]Result!$G$40-[6]Result!$G$40</f>
        <v>-534.25687723151168</v>
      </c>
      <c r="G615" s="14">
        <f>+[8]Result!$G$40-[7]Result!$G$40</f>
        <v>658.83385304715375</v>
      </c>
      <c r="H615" s="36">
        <f>+[9]Result!$G$40-[8]Result!$G$40</f>
        <v>-126.66470797157126</v>
      </c>
      <c r="I615" s="14">
        <f>+[10]Result!$G$40-[9]Result!$G$40</f>
        <v>316.01946412546204</v>
      </c>
      <c r="J615" s="14">
        <f>+[11]Result!$G$40-[10]Result!$G$40</f>
        <v>368.2393219325586</v>
      </c>
      <c r="K615" s="36">
        <f>+[12]Result!$G$40-[11]Result!$G$40</f>
        <v>-939.18879976790049</v>
      </c>
      <c r="L615" s="14">
        <f>+[13]Result!$G$40-[12]Result!$G$40</f>
        <v>8.4285225642342994</v>
      </c>
      <c r="M615" s="14">
        <f>+[14]Result!$G$40-[13]Result!$G$40</f>
        <v>761.16417292227561</v>
      </c>
      <c r="N615" s="39"/>
    </row>
    <row r="616" spans="2:26" hidden="1" outlineLevel="2" x14ac:dyDescent="0.25">
      <c r="B616" s="17" t="s">
        <v>43</v>
      </c>
      <c r="C616" s="14">
        <f>+[1]Result!$G$41-[15]Result!$G$41</f>
        <v>324.15624835727976</v>
      </c>
      <c r="D616" s="14">
        <f>+[5]Result!$G$41-[1]Result!$G$41</f>
        <v>-434.22912619275121</v>
      </c>
      <c r="E616" s="36">
        <f>+[6]Result!$G$41-[5]Result!$G$41</f>
        <v>621.9093247847195</v>
      </c>
      <c r="F616" s="14">
        <f>+[7]Result!$G$41-[6]Result!$G$41</f>
        <v>-382.08603542860692</v>
      </c>
      <c r="G616" s="14">
        <f>+[8]Result!$G$41-[7]Result!$G$41</f>
        <v>476.14782594142525</v>
      </c>
      <c r="H616" s="36">
        <f>+[9]Result!$G$41-[8]Result!$G$41</f>
        <v>-211.54250595023586</v>
      </c>
      <c r="I616" s="14">
        <f>+[10]Result!$G$41-[9]Result!$G$41</f>
        <v>229.62529380202795</v>
      </c>
      <c r="J616" s="14">
        <f>+[11]Result!$G$41-[10]Result!$G$41</f>
        <v>270.66665943034241</v>
      </c>
      <c r="K616" s="36">
        <f>+[12]Result!$G$41-[11]Result!$G$41</f>
        <v>-1065.7480425271151</v>
      </c>
      <c r="L616" s="14">
        <f>+[13]Result!$G$41-[12]Result!$G$41</f>
        <v>6.5174220913613681</v>
      </c>
      <c r="M616" s="14">
        <f>+[14]Result!$G$41-[13]Result!$G$41</f>
        <v>575.18667197805553</v>
      </c>
      <c r="N616" s="39"/>
    </row>
    <row r="617" spans="2:26" hidden="1" outlineLevel="2" x14ac:dyDescent="0.25">
      <c r="B617" s="17" t="s">
        <v>44</v>
      </c>
      <c r="C617" s="14">
        <f>+[1]Result!$G$42-[15]Result!$G$42</f>
        <v>245.10978912224891</v>
      </c>
      <c r="D617" s="14">
        <f>+[5]Result!$G$42-[1]Result!$G$42</f>
        <v>-328.33574675975797</v>
      </c>
      <c r="E617" s="36">
        <f>+[6]Result!$G$42-[5]Result!$G$42</f>
        <v>230.73280353550763</v>
      </c>
      <c r="F617" s="14">
        <f>+[7]Result!$G$42-[6]Result!$G$42</f>
        <v>-294.39543914473688</v>
      </c>
      <c r="G617" s="14">
        <f>+[8]Result!$G$42-[7]Result!$G$42</f>
        <v>368.90121194931817</v>
      </c>
      <c r="H617" s="36">
        <f>+[9]Result!$G$42-[8]Result!$G$42</f>
        <v>-309.76396093985386</v>
      </c>
      <c r="I617" s="14">
        <f>+[10]Result!$G$42-[9]Result!$G$42</f>
        <v>179.84494850468582</v>
      </c>
      <c r="J617" s="14">
        <f>+[11]Result!$G$42-[10]Result!$G$42</f>
        <v>214.58190533728157</v>
      </c>
      <c r="K617" s="36">
        <f>+[12]Result!$G$42-[11]Result!$G$42</f>
        <v>-1110.8814822989025</v>
      </c>
      <c r="L617" s="14">
        <f>+[13]Result!$G$42-[12]Result!$G$42</f>
        <v>5.3674059701133956</v>
      </c>
      <c r="M617" s="14">
        <f>+[14]Result!$G$42-[13]Result!$G$42</f>
        <v>467.17036208297031</v>
      </c>
      <c r="N617" s="39"/>
    </row>
    <row r="618" spans="2:26" hidden="1" outlineLevel="2" x14ac:dyDescent="0.25">
      <c r="B618" s="17" t="s">
        <v>45</v>
      </c>
      <c r="C618" s="14">
        <f>+[1]Result!$G$43-[15]Result!$G$43</f>
        <v>216.37893586733026</v>
      </c>
      <c r="D618" s="14">
        <f>+[5]Result!$G$43-[1]Result!$G$43</f>
        <v>-289.87112703068578</v>
      </c>
      <c r="E618" s="36">
        <f>+[6]Result!$G$43-[5]Result!$G$43</f>
        <v>152.50607778915219</v>
      </c>
      <c r="F618" s="14">
        <f>+[7]Result!$G$43-[6]Result!$G$43</f>
        <v>-260.94534414414375</v>
      </c>
      <c r="G618" s="14">
        <f>+[8]Result!$G$43-[7]Result!$G$43</f>
        <v>328.49263483149753</v>
      </c>
      <c r="H618" s="36">
        <f>+[9]Result!$G$43-[8]Result!$G$43</f>
        <v>-138.23164727059429</v>
      </c>
      <c r="I618" s="14">
        <f>+[10]Result!$G$43-[9]Result!$G$43</f>
        <v>157.37859091380051</v>
      </c>
      <c r="J618" s="14">
        <f>+[11]Result!$G$43-[10]Result!$G$43</f>
        <v>188.37159257334861</v>
      </c>
      <c r="K618" s="36">
        <f>+[12]Result!$G$43-[11]Result!$G$43</f>
        <v>-306.12098712389707</v>
      </c>
      <c r="L618" s="14">
        <f>+[13]Result!$G$43-[12]Result!$G$43</f>
        <v>5.9058233661598933</v>
      </c>
      <c r="M618" s="14">
        <f>+[14]Result!$G$43-[13]Result!$G$43</f>
        <v>375.85793762723824</v>
      </c>
      <c r="N618" s="39"/>
    </row>
    <row r="619" spans="2:26" hidden="1" outlineLevel="2" x14ac:dyDescent="0.25">
      <c r="B619" s="17" t="s">
        <v>46</v>
      </c>
      <c r="C619" s="14">
        <f>+[1]Result!$G$44-[15]Result!$G$44</f>
        <v>171.08577652531494</v>
      </c>
      <c r="D619" s="14">
        <f>+[5]Result!$G$44-[1]Result!$G$44</f>
        <v>-229.18664234071821</v>
      </c>
      <c r="E619" s="36">
        <f>+[6]Result!$G$44-[5]Result!$G$44</f>
        <v>676.13461211377307</v>
      </c>
      <c r="F619" s="14">
        <f>+[7]Result!$G$44-[6]Result!$G$44</f>
        <v>-187.51264695557438</v>
      </c>
      <c r="G619" s="14">
        <f>+[8]Result!$G$44-[7]Result!$G$44</f>
        <v>237.18633776079514</v>
      </c>
      <c r="H619" s="36">
        <f>+[9]Result!$G$44-[8]Result!$G$44</f>
        <v>-212.03826621197095</v>
      </c>
      <c r="I619" s="14">
        <f>+[10]Result!$G$44-[9]Result!$G$44</f>
        <v>114.70409447998009</v>
      </c>
      <c r="J619" s="14">
        <f>+[11]Result!$G$44-[10]Result!$G$44</f>
        <v>139.0742679743089</v>
      </c>
      <c r="K619" s="36">
        <f>+[12]Result!$G$44-[11]Result!$G$44</f>
        <v>333.70185962582764</v>
      </c>
      <c r="L619" s="14">
        <f>+[13]Result!$G$44-[12]Result!$G$44</f>
        <v>4.0041684582392918</v>
      </c>
      <c r="M619" s="14">
        <f>+[14]Result!$G$44-[13]Result!$G$44</f>
        <v>249.90777033316408</v>
      </c>
      <c r="N619" s="39"/>
    </row>
    <row r="620" spans="2:26" hidden="1" outlineLevel="2" x14ac:dyDescent="0.25">
      <c r="B620" s="17" t="s">
        <v>47</v>
      </c>
      <c r="C620" s="14">
        <f>+[1]Result!$G$45-[15]Result!$G$45</f>
        <v>67.332394274671515</v>
      </c>
      <c r="D620" s="14">
        <f>+[5]Result!$G$45-[1]Result!$G$45</f>
        <v>-90.853042111574723</v>
      </c>
      <c r="E620" s="36">
        <f>+[6]Result!$G$45-[5]Result!$G$45</f>
        <v>222.81349334965125</v>
      </c>
      <c r="F620" s="14">
        <f>+[7]Result!$G$45-[6]Result!$G$45</f>
        <v>-75.134195872070904</v>
      </c>
      <c r="G620" s="14">
        <f>+[8]Result!$G$45-[7]Result!$G$45</f>
        <v>95.639501508226658</v>
      </c>
      <c r="H620" s="36">
        <f>+[9]Result!$G$45-[8]Result!$G$45</f>
        <v>-96.744561177589731</v>
      </c>
      <c r="I620" s="14">
        <f>+[10]Result!$G$45-[9]Result!$G$45</f>
        <v>46.200609945315136</v>
      </c>
      <c r="J620" s="14">
        <f>+[11]Result!$G$45-[10]Result!$G$45</f>
        <v>56.349211282194119</v>
      </c>
      <c r="K620" s="36">
        <f>+[12]Result!$G$45-[11]Result!$G$45</f>
        <v>141.23830355177915</v>
      </c>
      <c r="L620" s="14">
        <f>+[13]Result!$G$45-[12]Result!$G$45</f>
        <v>1.6560016859198186</v>
      </c>
      <c r="M620" s="14">
        <f>+[14]Result!$G$45-[13]Result!$G$45</f>
        <v>101.71686130114608</v>
      </c>
      <c r="N620" s="39"/>
    </row>
    <row r="621" spans="2:26" hidden="1" outlineLevel="2" x14ac:dyDescent="0.25">
      <c r="B621" s="17" t="s">
        <v>48</v>
      </c>
      <c r="C621" s="14">
        <f>+[1]Result!$G$46-[15]Result!$G$46</f>
        <v>27.247760382596425</v>
      </c>
      <c r="D621" s="14">
        <f>+[5]Result!$G$46-[1]Result!$G$46</f>
        <v>-36.976357824396018</v>
      </c>
      <c r="E621" s="36">
        <f>+[6]Result!$G$46-[5]Result!$G$46</f>
        <v>76.574259728199422</v>
      </c>
      <c r="F621" s="14">
        <f>+[7]Result!$G$46-[6]Result!$G$46</f>
        <v>-30.763131683874349</v>
      </c>
      <c r="G621" s="14">
        <f>+[8]Result!$G$46-[7]Result!$G$46</f>
        <v>39.182908658085466</v>
      </c>
      <c r="H621" s="36">
        <f>+[9]Result!$G$46-[8]Result!$G$46</f>
        <v>-40.307303033908511</v>
      </c>
      <c r="I621" s="14">
        <f>+[10]Result!$G$46-[9]Result!$G$46</f>
        <v>19.017585520216699</v>
      </c>
      <c r="J621" s="14">
        <f>+[11]Result!$G$46-[10]Result!$G$46</f>
        <v>23.09788978910592</v>
      </c>
      <c r="K621" s="36">
        <f>+[12]Result!$G$46-[11]Result!$G$46</f>
        <v>45.997667641088356</v>
      </c>
      <c r="L621" s="14">
        <f>+[13]Result!$G$46-[12]Result!$G$46</f>
        <v>0.70487453529403865</v>
      </c>
      <c r="M621" s="14">
        <f>+[14]Result!$G$46-[13]Result!$G$46</f>
        <v>42.433979069479847</v>
      </c>
      <c r="N621" s="39"/>
    </row>
    <row r="622" spans="2:26" hidden="1" outlineLevel="2" x14ac:dyDescent="0.25">
      <c r="B622" s="17" t="s">
        <v>49</v>
      </c>
      <c r="C622" s="14">
        <f>+[1]Result!$G$47-[15]Result!$G$47</f>
        <v>13.644984949170009</v>
      </c>
      <c r="D622" s="14">
        <f>+[5]Result!$G$47-[1]Result!$G$47</f>
        <v>-18.487520003645329</v>
      </c>
      <c r="E622" s="36">
        <f>+[6]Result!$G$47-[5]Result!$G$47</f>
        <v>29.406683966727144</v>
      </c>
      <c r="F622" s="14">
        <f>+[7]Result!$G$47-[6]Result!$G$47</f>
        <v>-15.63001610503369</v>
      </c>
      <c r="G622" s="14">
        <f>+[8]Result!$G$47-[7]Result!$G$47</f>
        <v>19.890858279430631</v>
      </c>
      <c r="H622" s="36">
        <f>+[9]Result!$G$47-[8]Result!$G$47</f>
        <v>-15.597033166551</v>
      </c>
      <c r="I622" s="14">
        <f>+[10]Result!$G$47-[9]Result!$G$47</f>
        <v>9.5518640682350906</v>
      </c>
      <c r="J622" s="14">
        <f>+[11]Result!$G$47-[10]Result!$G$47</f>
        <v>11.646587756067561</v>
      </c>
      <c r="K622" s="36">
        <f>+[12]Result!$G$47-[11]Result!$G$47</f>
        <v>17.986564521307514</v>
      </c>
      <c r="L622" s="14">
        <f>+[13]Result!$G$47-[12]Result!$G$47</f>
        <v>0.36536534664992359</v>
      </c>
      <c r="M622" s="14">
        <f>+[14]Result!$G$47-[13]Result!$G$47</f>
        <v>21.547611419179759</v>
      </c>
      <c r="N622" s="39"/>
    </row>
    <row r="623" spans="2:26" hidden="1" outlineLevel="2" x14ac:dyDescent="0.25">
      <c r="B623" s="17" t="s">
        <v>50</v>
      </c>
      <c r="C623" s="14">
        <f>+[1]Result!G48-[15]Result!G48</f>
        <v>7.9890441812918311</v>
      </c>
      <c r="D623" s="14">
        <f>+[5]Result!H48-[1]Result!H48</f>
        <v>5.8395310066472348</v>
      </c>
      <c r="E623" s="36">
        <f>+[6]Result!I48-[5]Result!I48</f>
        <v>0</v>
      </c>
      <c r="F623" s="14">
        <f>+[7]Result!J48-[6]Result!J48</f>
        <v>0</v>
      </c>
      <c r="G623" s="14">
        <f>+[8]Result!K48-[7]Result!K48</f>
        <v>17.910971635975898</v>
      </c>
      <c r="H623" s="36">
        <f>+[9]Result!L48-[8]Result!L48</f>
        <v>-11.179879177767077</v>
      </c>
      <c r="I623" s="14">
        <f>+[10]Result!M48-[9]Result!M48</f>
        <v>0</v>
      </c>
      <c r="J623" s="14">
        <f>+[11]Result!N48-[10]Result!N48</f>
        <v>0</v>
      </c>
      <c r="K623" s="36">
        <f>+[12]Result!O48-[11]Result!O48</f>
        <v>0</v>
      </c>
      <c r="L623" s="14">
        <f>+[13]Result!P48-[12]Result!P48</f>
        <v>0</v>
      </c>
      <c r="M623" s="14">
        <f>+[14]Result!Q48-[13]Result!Q48</f>
        <v>0</v>
      </c>
      <c r="N623" s="39"/>
    </row>
    <row r="624" spans="2:26" hidden="1" outlineLevel="2" x14ac:dyDescent="0.25">
      <c r="B624" s="17" t="s">
        <v>51</v>
      </c>
      <c r="C624" s="14">
        <f>+[1]Result!$G$49-[15]Result!$G$49</f>
        <v>4.3759923750108385</v>
      </c>
      <c r="D624" s="14">
        <f>+[5]Result!$G$49-[1]Result!$G$49</f>
        <v>-5.9320975401701048</v>
      </c>
      <c r="E624" s="36">
        <f>+[6]Result!$G$49-[5]Result!$G$49</f>
        <v>9.4122825205081142</v>
      </c>
      <c r="F624" s="14">
        <f>+[7]Result!$G$49-[6]Result!$G$49</f>
        <v>-4.9465454943757265</v>
      </c>
      <c r="G624" s="14">
        <f>+[8]Result!$G$49-[7]Result!$G$49</f>
        <v>6.3445186905748869</v>
      </c>
      <c r="H624" s="36">
        <f>+[9]Result!$G$49-[8]Result!$G$49</f>
        <v>-4.728161308427957</v>
      </c>
      <c r="I624" s="14">
        <f>+[10]Result!$G$49-[9]Result!$G$49</f>
        <v>3.0683057760748511</v>
      </c>
      <c r="J624" s="14">
        <f>+[11]Result!$G$49-[10]Result!$G$49</f>
        <v>3.7409220662314908</v>
      </c>
      <c r="K624" s="36">
        <f>+[12]Result!$G$49-[11]Result!$G$49</f>
        <v>5.4448696397993217</v>
      </c>
      <c r="L624" s="14">
        <f>+[13]Result!$G$49-[12]Result!$G$49</f>
        <v>0.12266190538656474</v>
      </c>
      <c r="M624" s="14">
        <f>+[14]Result!$G$49-[13]Result!$G$49</f>
        <v>6.9639970666042359</v>
      </c>
      <c r="N624" s="39"/>
    </row>
    <row r="625" spans="2:26" hidden="1" outlineLevel="2" x14ac:dyDescent="0.25">
      <c r="B625" s="17" t="s">
        <v>52</v>
      </c>
      <c r="C625" s="14">
        <f>+[1]Result!$G$50-[15]Result!$G$50</f>
        <v>2.3717467660847404</v>
      </c>
      <c r="D625" s="14">
        <f>+[5]Result!$G$50-[1]Result!$G$50</f>
        <v>-3.2092730503471643</v>
      </c>
      <c r="E625" s="36">
        <f>+[6]Result!$G$50-[5]Result!$G$50</f>
        <v>5.3371419286300323</v>
      </c>
      <c r="F625" s="14">
        <f>+[7]Result!$G$50-[6]Result!$G$50</f>
        <v>-2.6601897007509194</v>
      </c>
      <c r="G625" s="14">
        <f>+[8]Result!$G$50-[7]Result!$G$50</f>
        <v>3.4093770921043074</v>
      </c>
      <c r="H625" s="36">
        <f>+[9]Result!$G$50-[8]Result!$G$50</f>
        <v>-2.6350893897823369</v>
      </c>
      <c r="I625" s="14">
        <f>+[10]Result!$G$50-[9]Result!$G$50</f>
        <v>1.6318546472933804</v>
      </c>
      <c r="J625" s="14">
        <f>+[11]Result!$G$50-[10]Result!$G$50</f>
        <v>2.0200022453738171</v>
      </c>
      <c r="K625" s="36">
        <f>+[12]Result!$G$50-[11]Result!$G$50</f>
        <v>3.7201827118076096</v>
      </c>
      <c r="L625" s="14">
        <f>+[13]Result!$G$50-[12]Result!$G$50</f>
        <v>6.6709110702376506E-2</v>
      </c>
      <c r="M625" s="14">
        <f>+[14]Result!$G$50-[13]Result!$G$50</f>
        <v>3.7058937413045356</v>
      </c>
      <c r="N625" s="39"/>
    </row>
    <row r="626" spans="2:26" hidden="1" outlineLevel="2" x14ac:dyDescent="0.25">
      <c r="B626" s="17" t="s">
        <v>53</v>
      </c>
      <c r="C626" s="14">
        <f>+[1]Result!$G$51-[15]Result!$G$51</f>
        <v>1.2098275793812832</v>
      </c>
      <c r="D626" s="14">
        <f>+[5]Result!$G$51-[1]Result!$G$51</f>
        <v>-1.6374859310824377</v>
      </c>
      <c r="E626" s="36">
        <f>+[6]Result!$G$51-[5]Result!$G$51</f>
        <v>2.6302465566590811</v>
      </c>
      <c r="F626" s="14">
        <f>+[7]Result!$G$51-[6]Result!$G$51</f>
        <v>-1.3642183067522708</v>
      </c>
      <c r="G626" s="14">
        <f>+[8]Result!$G$51-[7]Result!$G$51</f>
        <v>1.7564654648932461</v>
      </c>
      <c r="H626" s="36">
        <f>+[9]Result!$G$51-[8]Result!$G$51</f>
        <v>-1.8243680100165136</v>
      </c>
      <c r="I626" s="14">
        <f>+[10]Result!$G$51-[9]Result!$G$51</f>
        <v>0.84439912854796262</v>
      </c>
      <c r="J626" s="14">
        <f>+[11]Result!$G$51-[10]Result!$G$51</f>
        <v>1.0506344590868224</v>
      </c>
      <c r="K626" s="36">
        <f>+[12]Result!$G$51-[11]Result!$G$51</f>
        <v>2.5303131212237417</v>
      </c>
      <c r="L626" s="14">
        <f>+[13]Result!$G$51-[12]Result!$G$51</f>
        <v>3.4768308510415125E-2</v>
      </c>
      <c r="M626" s="14">
        <f>+[14]Result!$G$51-[13]Result!$G$51</f>
        <v>1.8974190086734666</v>
      </c>
      <c r="N626" s="39"/>
    </row>
    <row r="627" spans="2:26" hidden="1" outlineLevel="2" x14ac:dyDescent="0.25">
      <c r="B627" s="17" t="s">
        <v>54</v>
      </c>
      <c r="C627" s="14">
        <f>+[1]Result!$G$52-[15]Result!$G$52</f>
        <v>0.53684373204268354</v>
      </c>
      <c r="D627" s="14">
        <f>+[5]Result!$G$52-[1]Result!$G$52</f>
        <v>-0.72675017334671566</v>
      </c>
      <c r="E627" s="36">
        <f>+[6]Result!$G$52-[5]Result!$G$52</f>
        <v>1.763684512222504</v>
      </c>
      <c r="F627" s="14">
        <f>+[7]Result!$G$52-[6]Result!$G$52</f>
        <v>-0.59234565702223207</v>
      </c>
      <c r="G627" s="14">
        <f>+[8]Result!$G$52-[7]Result!$G$52</f>
        <v>0.76098939027805912</v>
      </c>
      <c r="H627" s="36">
        <f>+[9]Result!$G$52-[8]Result!$G$52</f>
        <v>-1.3716059789891339</v>
      </c>
      <c r="I627" s="14">
        <f>+[10]Result!$G$52-[9]Result!$G$52</f>
        <v>0.37911192482013689</v>
      </c>
      <c r="J627" s="14">
        <f>+[11]Result!$G$52-[10]Result!$G$52</f>
        <v>0.46424541274230435</v>
      </c>
      <c r="K627" s="36">
        <f>+[12]Result!$G$52-[11]Result!$G$52</f>
        <v>1.3016428386125867</v>
      </c>
      <c r="L627" s="14">
        <f>+[13]Result!$G$52-[12]Result!$G$52</f>
        <v>1.5627052425852384E-2</v>
      </c>
      <c r="M627" s="14">
        <f>+[14]Result!$G$52-[13]Result!$G$52</f>
        <v>0.83385472099089242</v>
      </c>
      <c r="N627" s="39"/>
    </row>
    <row r="628" spans="2:26" hidden="1" outlineLevel="2" x14ac:dyDescent="0.25">
      <c r="B628" s="17" t="s">
        <v>55</v>
      </c>
      <c r="C628" s="14">
        <f>+[1]Result!$G$53-[15]Result!$G$53</f>
        <v>0.19586838049111854</v>
      </c>
      <c r="D628" s="14">
        <f>+[5]Result!$G$53-[1]Result!$G$53</f>
        <v>-0.26466304086052617</v>
      </c>
      <c r="E628" s="36">
        <f>+[6]Result!$G$53-[5]Result!$G$53</f>
        <v>0.81167657674672888</v>
      </c>
      <c r="F628" s="14">
        <f>+[7]Result!$G$53-[6]Result!$G$53</f>
        <v>-0.20950498392224137</v>
      </c>
      <c r="G628" s="14">
        <f>+[8]Result!$G$53-[7]Result!$G$53</f>
        <v>0.2689449706405771</v>
      </c>
      <c r="H628" s="36">
        <f>+[9]Result!$G$53-[8]Result!$G$53</f>
        <v>-0.16978341445868406</v>
      </c>
      <c r="I628" s="14">
        <f>+[10]Result!$G$53-[9]Result!$G$53</f>
        <v>0.12766273542281947</v>
      </c>
      <c r="J628" s="14">
        <f>+[11]Result!$G$53-[10]Result!$G$53</f>
        <v>0.15850730585566897</v>
      </c>
      <c r="K628" s="36">
        <f>+[12]Result!$G$53-[11]Result!$G$53</f>
        <v>0.55966195809796471</v>
      </c>
      <c r="L628" s="14">
        <f>+[13]Result!$G$53-[12]Result!$G$53</f>
        <v>5.2725280961842813E-3</v>
      </c>
      <c r="M628" s="14">
        <f>+[14]Result!$G$53-[13]Result!$G$53</f>
        <v>0.27615988762484811</v>
      </c>
      <c r="N628" s="39"/>
    </row>
    <row r="629" spans="2:26" hidden="1" outlineLevel="2" x14ac:dyDescent="0.25">
      <c r="B629" s="17" t="s">
        <v>56</v>
      </c>
      <c r="C629" s="14">
        <f>+[1]Result!$G$54-[15]Result!$G$54</f>
        <v>5.0411758325992873E-2</v>
      </c>
      <c r="D629" s="14">
        <f>+[5]Result!$G$54-[1]Result!$G$54</f>
        <v>-6.7976922061031564E-2</v>
      </c>
      <c r="E629" s="36">
        <f>+[6]Result!$G$54-[5]Result!$G$54</f>
        <v>0.31755312978660122</v>
      </c>
      <c r="F629" s="14">
        <f>+[7]Result!$G$54-[6]Result!$G$54</f>
        <v>-4.9698380916372464E-2</v>
      </c>
      <c r="G629" s="14">
        <f>+[8]Result!$G$54-[7]Result!$G$54</f>
        <v>6.4220273686079077E-2</v>
      </c>
      <c r="H629" s="36">
        <f>+[9]Result!$G$54-[8]Result!$G$54</f>
        <v>-0.12513058858075099</v>
      </c>
      <c r="I629" s="14">
        <f>+[10]Result!$G$54-[9]Result!$G$54</f>
        <v>3.2106927689601328E-2</v>
      </c>
      <c r="J629" s="14">
        <f>+[11]Result!$G$54-[10]Result!$G$54</f>
        <v>4.007762920363378E-2</v>
      </c>
      <c r="K629" s="36">
        <f>+[12]Result!$G$54-[11]Result!$G$54</f>
        <v>0.15426771367647052</v>
      </c>
      <c r="L629" s="14">
        <f>+[13]Result!$G$54-[12]Result!$G$54</f>
        <v>1.3455760263298977E-3</v>
      </c>
      <c r="M629" s="14">
        <f>+[14]Result!$G$54-[13]Result!$G$54</f>
        <v>6.94865090173582E-2</v>
      </c>
      <c r="N629" s="39"/>
    </row>
    <row r="630" spans="2:26" collapsed="1" x14ac:dyDescent="0.25">
      <c r="B630" s="13" t="s">
        <v>93</v>
      </c>
      <c r="C630" s="14">
        <f>+SUM([1]Result!$H$5:$H$54)-SUM([15]Result!$H$5:$H$54)</f>
        <v>457355.33762097359</v>
      </c>
      <c r="D630" s="14">
        <f>+SUM([5]Result!$H$5:$H$54)-SUM([1]Result!$H$5:$H$54)</f>
        <v>-1049180.4711360373</v>
      </c>
      <c r="E630" s="36">
        <f>+SUM([6]Result!$H$5:$H$54)-SUM([5]Result!$H$5:$H$54)</f>
        <v>1102991.7531247549</v>
      </c>
      <c r="F630" s="14">
        <f>+SUM([7]Result!$H$5:$H$54)-SUM([6]Result!$H$5:$H$54)</f>
        <v>-2587862.968867328</v>
      </c>
      <c r="G630" s="14">
        <f>+SUM([8]Result!$H$5:$H$54)-SUM([7]Result!$H$5:$H$54)</f>
        <v>395155.39924487844</v>
      </c>
      <c r="H630" s="36">
        <f>+SUM([9]Result!$H$5:$H$54)-SUM([8]Result!$H$5:$H$54)</f>
        <v>439888.40806181356</v>
      </c>
      <c r="I630" s="14">
        <f>+SUM([10]Result!$H$5:$H$54)-SUM([9]Result!$H$5:$H$54)</f>
        <v>801513.54013542458</v>
      </c>
      <c r="J630" s="14">
        <f>+SUM([11]Result!$H$5:$H$54)-SUM([10]Result!$H$5:$H$54)</f>
        <v>-384137.54657228291</v>
      </c>
      <c r="K630" s="36">
        <f>+SUM([12]Result!$H$5:$H$54)-SUM([11]Result!$H$5:$H$54)</f>
        <v>1383917.2786753625</v>
      </c>
      <c r="L630" s="14">
        <f>+SUM([13]Result!$H$5:$H$54)-SUM([12]Result!$H$5:$H$54)</f>
        <v>-297624.98977939039</v>
      </c>
      <c r="M630" s="14">
        <f>+SUM([14]Result!$H$5:$H$54)-SUM([13]Result!$H$5:$H$54)</f>
        <v>439263.1850355491</v>
      </c>
      <c r="N630" s="39"/>
      <c r="O630" s="14">
        <f>+C630-(C631+C637+C643+C654+C665)</f>
        <v>-7.6834112405776978E-9</v>
      </c>
      <c r="P630" s="14">
        <f t="shared" ref="P630:R630" si="201">+D630-(D631+D637+D643+D654+D665)</f>
        <v>1.8393620848655701E-8</v>
      </c>
      <c r="Q630" s="14">
        <f t="shared" si="201"/>
        <v>-6.5192580223083496E-9</v>
      </c>
      <c r="R630" s="14">
        <f t="shared" si="201"/>
        <v>4.1909515857696533E-9</v>
      </c>
      <c r="S630" s="14">
        <f t="shared" ref="S630" si="202">+G630-(G631+G637+G643+G654+G665)</f>
        <v>-1.9150320440530777E-8</v>
      </c>
      <c r="T630" s="14">
        <f t="shared" ref="T630:Z630" si="203">+H630-(H631+H637+H643+H654+H665)</f>
        <v>8.5565261542797089E-9</v>
      </c>
      <c r="U630" s="14">
        <f t="shared" si="203"/>
        <v>1.1874362826347351E-8</v>
      </c>
      <c r="V630" s="14">
        <f t="shared" si="203"/>
        <v>-9.2550180852413177E-9</v>
      </c>
      <c r="W630" s="14">
        <f t="shared" si="203"/>
        <v>5.3551048040390015E-9</v>
      </c>
      <c r="X630" s="14">
        <f t="shared" si="203"/>
        <v>0</v>
      </c>
      <c r="Y630" s="14">
        <f t="shared" si="203"/>
        <v>-4.2491592466831207E-9</v>
      </c>
      <c r="Z630" s="14">
        <f t="shared" si="203"/>
        <v>0</v>
      </c>
    </row>
    <row r="631" spans="2:26" hidden="1" outlineLevel="1" x14ac:dyDescent="0.25">
      <c r="B631" s="16" t="s">
        <v>2</v>
      </c>
      <c r="C631" s="14">
        <f>+'[1]Stat by Mat 2'!$D$3-'[15]Stat by Mat 2'!$D$3</f>
        <v>439077.81703592837</v>
      </c>
      <c r="D631" s="14">
        <f>+'[5]Stat by Mat 2'!$D$3-'[1]Stat by Mat 2'!$D$3</f>
        <v>-924521.03035765886</v>
      </c>
      <c r="E631" s="36">
        <f>+'[6]Stat by Mat 2'!$D$3-'[5]Stat by Mat 2'!$D$3</f>
        <v>1495860.0472704992</v>
      </c>
      <c r="F631" s="14">
        <f>+'[7]Stat by Mat 2'!$D$3-'[6]Stat by Mat 2'!$D$3</f>
        <v>-2115493.504677549</v>
      </c>
      <c r="G631" s="14">
        <f>+'[8]Stat by Mat 2'!$D$3-'[7]Stat by Mat 2'!$D$3</f>
        <v>344021.39293596894</v>
      </c>
      <c r="H631" s="36">
        <f>+'[9]Stat by Mat 2'!$D$3-'[8]Stat by Mat 2'!$D$3</f>
        <v>292759.075071536</v>
      </c>
      <c r="I631" s="14">
        <f>+'[10]Stat by Mat 2'!$D$3-'[9]Stat by Mat 2'!$D$3</f>
        <v>643321.82562487572</v>
      </c>
      <c r="J631" s="14">
        <f>+'[11]Stat by Mat 2'!$D$3-'[10]Stat by Mat 2'!$D$3</f>
        <v>-258152.15861017257</v>
      </c>
      <c r="K631" s="36">
        <f>+'[12]Stat by Mat 2'!$D$3-'[11]Stat by Mat 2'!$D$3</f>
        <v>1100255.1451787204</v>
      </c>
      <c r="L631" s="14">
        <f>+'[13]Stat by Mat 2'!$D$3-'[12]Stat by Mat 2'!$D$3</f>
        <v>-190048.78637879342</v>
      </c>
      <c r="M631" s="14">
        <f>+'[14]Stat by Mat 2'!$D$3-'[13]Stat by Mat 2'!$D$3</f>
        <v>297402.96019168943</v>
      </c>
      <c r="N631" s="39"/>
      <c r="O631" s="14">
        <f>+C631-SUM(C632:C636)</f>
        <v>0</v>
      </c>
      <c r="P631" s="14">
        <f t="shared" ref="P631:R631" si="204">+D631-SUM(D632:D636)</f>
        <v>0</v>
      </c>
      <c r="Q631" s="14">
        <f t="shared" si="204"/>
        <v>0</v>
      </c>
      <c r="R631" s="14">
        <f t="shared" si="204"/>
        <v>0</v>
      </c>
      <c r="S631" s="14">
        <f t="shared" ref="S631" si="205">+G631-SUM(G632:G636)</f>
        <v>0</v>
      </c>
      <c r="T631" s="14">
        <f t="shared" ref="T631:Z631" si="206">+H631-SUM(H632:H636)</f>
        <v>0</v>
      </c>
      <c r="U631" s="14">
        <f t="shared" si="206"/>
        <v>0</v>
      </c>
      <c r="V631" s="14">
        <f t="shared" si="206"/>
        <v>0</v>
      </c>
      <c r="W631" s="14">
        <f t="shared" si="206"/>
        <v>0</v>
      </c>
      <c r="X631" s="14">
        <f t="shared" si="206"/>
        <v>0</v>
      </c>
      <c r="Y631" s="14">
        <f t="shared" si="206"/>
        <v>0</v>
      </c>
      <c r="Z631" s="14">
        <f t="shared" si="206"/>
        <v>0</v>
      </c>
    </row>
    <row r="632" spans="2:26" hidden="1" outlineLevel="2" x14ac:dyDescent="0.25">
      <c r="B632" s="17" t="s">
        <v>3</v>
      </c>
      <c r="C632" s="14">
        <f>+[1]Result!$H$5-[15]Result!$H$5</f>
        <v>72783.865974128246</v>
      </c>
      <c r="D632" s="14">
        <f>+[5]Result!$H$5-[1]Result!$H$5</f>
        <v>-197017.64678299427</v>
      </c>
      <c r="E632" s="36">
        <f>+[6]Result!$H$5-[5]Result!$H$5</f>
        <v>14571.36968421936</v>
      </c>
      <c r="F632" s="14">
        <f>+[7]Result!$H$5-[6]Result!$H$5</f>
        <v>-369949.14496272802</v>
      </c>
      <c r="G632" s="14">
        <f>+[8]Result!$H$5-[7]Result!$H$5</f>
        <v>22410.715356111526</v>
      </c>
      <c r="H632" s="36">
        <f>+[9]Result!$H$5-[8]Result!$H$5</f>
        <v>-204218.4286737442</v>
      </c>
      <c r="I632" s="14">
        <f>+[10]Result!$H$5-[9]Result!$H$5</f>
        <v>80987.828732848167</v>
      </c>
      <c r="J632" s="14">
        <f>+[11]Result!$H$5-[10]Result!$H$5</f>
        <v>-10083.677844762802</v>
      </c>
      <c r="K632" s="36">
        <f>+[12]Result!$H$5-[11]Result!$H$5</f>
        <v>-61635.591302394867</v>
      </c>
      <c r="L632" s="14">
        <f>+[13]Result!$H$5-[12]Result!$H$5</f>
        <v>6389.5192428231239</v>
      </c>
      <c r="M632" s="14">
        <f>+[14]Result!$H$5-[13]Result!$H$5</f>
        <v>12680.497629821301</v>
      </c>
      <c r="N632" s="39"/>
    </row>
    <row r="633" spans="2:26" hidden="1" outlineLevel="2" x14ac:dyDescent="0.25">
      <c r="B633" s="17" t="s">
        <v>4</v>
      </c>
      <c r="C633" s="14">
        <f>+[1]Result!$H$6-[15]Result!$H$6</f>
        <v>130599.22984546423</v>
      </c>
      <c r="D633" s="14">
        <f>+[5]Result!$H$6-[1]Result!$H$6</f>
        <v>-272554.27219516039</v>
      </c>
      <c r="E633" s="36">
        <f>+[6]Result!$H$6-[5]Result!$H$6</f>
        <v>908557.41651776433</v>
      </c>
      <c r="F633" s="14">
        <f>+[7]Result!$H$6-[6]Result!$H$6</f>
        <v>-714427.02677318454</v>
      </c>
      <c r="G633" s="14">
        <f>+[8]Result!$H$6-[7]Result!$H$6</f>
        <v>100138.82387140393</v>
      </c>
      <c r="H633" s="36">
        <f>+[9]Result!$H$6-[8]Result!$H$6</f>
        <v>235010.16476038098</v>
      </c>
      <c r="I633" s="14">
        <f>+[10]Result!$H$6-[9]Result!$H$6</f>
        <v>216006.73222276568</v>
      </c>
      <c r="J633" s="14">
        <f>+[11]Result!$H$6-[10]Result!$H$6</f>
        <v>-71262.045681148767</v>
      </c>
      <c r="K633" s="36">
        <f>+[12]Result!$H$6-[11]Result!$H$6</f>
        <v>404186.31464254856</v>
      </c>
      <c r="L633" s="14">
        <f>+[13]Result!$H$6-[12]Result!$H$6</f>
        <v>-46838.046752631664</v>
      </c>
      <c r="M633" s="14">
        <f>+[14]Result!$H$6-[13]Result!$H$6</f>
        <v>80536.441009938717</v>
      </c>
      <c r="N633" s="39"/>
    </row>
    <row r="634" spans="2:26" hidden="1" outlineLevel="2" x14ac:dyDescent="0.25">
      <c r="B634" s="17" t="s">
        <v>5</v>
      </c>
      <c r="C634" s="14">
        <f>+[1]Result!$H$7-[15]Result!$H$7</f>
        <v>112729.17145778239</v>
      </c>
      <c r="D634" s="14">
        <f>+[5]Result!$H$7-[1]Result!$H$7</f>
        <v>-207310.55393429101</v>
      </c>
      <c r="E634" s="36">
        <f>+[6]Result!$H$7-[5]Result!$H$7</f>
        <v>180714.53786072135</v>
      </c>
      <c r="F634" s="14">
        <f>+[7]Result!$H$7-[6]Result!$H$7</f>
        <v>-463875.90589369833</v>
      </c>
      <c r="G634" s="14">
        <f>+[8]Result!$H$7-[7]Result!$H$7</f>
        <v>91086.028613939881</v>
      </c>
      <c r="H634" s="36">
        <f>+[9]Result!$H$7-[8]Result!$H$7</f>
        <v>92097.259380012751</v>
      </c>
      <c r="I634" s="14">
        <f>+[10]Result!$H$7-[9]Result!$H$7</f>
        <v>156118.00692303479</v>
      </c>
      <c r="J634" s="14">
        <f>+[11]Result!$H$7-[10]Result!$H$7</f>
        <v>-75697.229513049126</v>
      </c>
      <c r="K634" s="36">
        <f>+[12]Result!$H$7-[11]Result!$H$7</f>
        <v>429354.40292088687</v>
      </c>
      <c r="L634" s="14">
        <f>+[13]Result!$H$7-[12]Result!$H$7</f>
        <v>-59559.610115543008</v>
      </c>
      <c r="M634" s="14">
        <f>+[14]Result!$H$7-[13]Result!$H$7</f>
        <v>77631.000115767121</v>
      </c>
      <c r="N634" s="39"/>
    </row>
    <row r="635" spans="2:26" hidden="1" outlineLevel="2" x14ac:dyDescent="0.25">
      <c r="B635" s="17" t="s">
        <v>6</v>
      </c>
      <c r="C635" s="14">
        <f>+[1]Result!$H$8-[15]Result!$H$8</f>
        <v>71866.706095121801</v>
      </c>
      <c r="D635" s="14">
        <f>+[5]Result!$H$8-[1]Result!$H$8</f>
        <v>-139430.59747455269</v>
      </c>
      <c r="E635" s="36">
        <f>+[6]Result!$H$8-[5]Result!$H$8</f>
        <v>222736.39098206908</v>
      </c>
      <c r="F635" s="14">
        <f>+[7]Result!$H$8-[6]Result!$H$8</f>
        <v>-316974.6543091163</v>
      </c>
      <c r="G635" s="14">
        <f>+[8]Result!$H$8-[7]Result!$H$8</f>
        <v>70767.20651268214</v>
      </c>
      <c r="H635" s="36">
        <f>+[9]Result!$H$8-[8]Result!$H$8</f>
        <v>89329.337548866868</v>
      </c>
      <c r="I635" s="14">
        <f>+[10]Result!$H$8-[9]Result!$H$8</f>
        <v>107957.94913676381</v>
      </c>
      <c r="J635" s="14">
        <f>+[11]Result!$H$8-[10]Result!$H$8</f>
        <v>-58427.99380685389</v>
      </c>
      <c r="K635" s="36">
        <f>+[12]Result!$H$8-[11]Result!$H$8</f>
        <v>210600.32122979313</v>
      </c>
      <c r="L635" s="14">
        <f>+[13]Result!$H$8-[12]Result!$H$8</f>
        <v>-48278.013031542301</v>
      </c>
      <c r="M635" s="14">
        <f>+[14]Result!$H$8-[13]Result!$H$8</f>
        <v>64605.326373815536</v>
      </c>
      <c r="N635" s="39"/>
    </row>
    <row r="636" spans="2:26" hidden="1" outlineLevel="2" x14ac:dyDescent="0.25">
      <c r="B636" s="17" t="s">
        <v>7</v>
      </c>
      <c r="C636" s="14">
        <f>+[1]Result!$H$9-[15]Result!$H$9</f>
        <v>51098.843663431704</v>
      </c>
      <c r="D636" s="14">
        <f>+[5]Result!$H$9-[1]Result!$H$9</f>
        <v>-108207.95997066051</v>
      </c>
      <c r="E636" s="36">
        <f>+[6]Result!$H$9-[5]Result!$H$9</f>
        <v>169280.33222572505</v>
      </c>
      <c r="F636" s="14">
        <f>+[7]Result!$H$9-[6]Result!$H$9</f>
        <v>-250266.7727388218</v>
      </c>
      <c r="G636" s="14">
        <f>+[8]Result!$H$9-[7]Result!$H$9</f>
        <v>59618.618581831455</v>
      </c>
      <c r="H636" s="36">
        <f>+[9]Result!$H$9-[8]Result!$H$9</f>
        <v>80540.742056019604</v>
      </c>
      <c r="I636" s="14">
        <f>+[10]Result!$H$9-[9]Result!$H$9</f>
        <v>82251.308609463274</v>
      </c>
      <c r="J636" s="14">
        <f>+[11]Result!$H$9-[10]Result!$H$9</f>
        <v>-42681.211764357984</v>
      </c>
      <c r="K636" s="36">
        <f>+[12]Result!$H$9-[11]Result!$H$9</f>
        <v>117749.69768788666</v>
      </c>
      <c r="L636" s="14">
        <f>+[13]Result!$H$9-[12]Result!$H$9</f>
        <v>-41762.635721899569</v>
      </c>
      <c r="M636" s="14">
        <f>+[14]Result!$H$9-[13]Result!$H$9</f>
        <v>61949.695062346756</v>
      </c>
      <c r="N636" s="39"/>
    </row>
    <row r="637" spans="2:26" hidden="1" outlineLevel="1" collapsed="1" x14ac:dyDescent="0.25">
      <c r="B637" s="16" t="s">
        <v>8</v>
      </c>
      <c r="C637" s="14">
        <f>+'[1]Stat by Mat 2'!$D$4-'[15]Stat by Mat 2'!$D$4</f>
        <v>107008.72794611193</v>
      </c>
      <c r="D637" s="14">
        <f>+'[5]Stat by Mat 2'!$D$4-'[1]Stat by Mat 2'!$D$4</f>
        <v>-228058.93477089889</v>
      </c>
      <c r="E637" s="36">
        <f>+'[6]Stat by Mat 2'!$D$4-'[5]Stat by Mat 2'!$D$4</f>
        <v>490047.16502253339</v>
      </c>
      <c r="F637" s="14">
        <f>+'[7]Stat by Mat 2'!$D$4-'[6]Stat by Mat 2'!$D$4</f>
        <v>-643904.63264886662</v>
      </c>
      <c r="G637" s="14">
        <f>+'[8]Stat by Mat 2'!$D$4-'[7]Stat by Mat 2'!$D$4</f>
        <v>174531.63803959824</v>
      </c>
      <c r="H637" s="36">
        <f>+'[9]Stat by Mat 2'!$D$4-'[8]Stat by Mat 2'!$D$4</f>
        <v>270873.68265348673</v>
      </c>
      <c r="I637" s="14">
        <f>+'[10]Stat by Mat 2'!$D$4-'[9]Stat by Mat 2'!$D$4</f>
        <v>206234.68318736367</v>
      </c>
      <c r="J637" s="14">
        <f>+'[11]Stat by Mat 2'!$D$4-'[10]Stat by Mat 2'!$D$4</f>
        <v>-80457.944166947156</v>
      </c>
      <c r="K637" s="36">
        <f>+'[12]Stat by Mat 2'!$D$4-'[11]Stat by Mat 2'!$D$4</f>
        <v>137788.94954064675</v>
      </c>
      <c r="L637" s="14">
        <f>+'[13]Stat by Mat 2'!$D$4-'[12]Stat by Mat 2'!$D$4</f>
        <v>-110391.19640587643</v>
      </c>
      <c r="M637" s="14">
        <f>+'[14]Stat by Mat 2'!$D$4-'[13]Stat by Mat 2'!$D$4</f>
        <v>232643.32023427077</v>
      </c>
      <c r="N637" s="39"/>
      <c r="O637" s="14">
        <f>+C637-SUM(C638:C642)</f>
        <v>0</v>
      </c>
      <c r="P637" s="14">
        <f t="shared" ref="P637:R637" si="207">+D637-SUM(D638:D642)</f>
        <v>0</v>
      </c>
      <c r="Q637" s="14">
        <f t="shared" si="207"/>
        <v>0</v>
      </c>
      <c r="R637" s="14">
        <f t="shared" si="207"/>
        <v>0</v>
      </c>
      <c r="S637" s="14">
        <f t="shared" ref="S637" si="208">+G637-SUM(G638:G642)</f>
        <v>0</v>
      </c>
      <c r="T637" s="14">
        <f t="shared" ref="T637:Z637" si="209">+H637-SUM(H638:H642)</f>
        <v>0</v>
      </c>
      <c r="U637" s="14">
        <f t="shared" si="209"/>
        <v>0</v>
      </c>
      <c r="V637" s="14">
        <f t="shared" si="209"/>
        <v>0</v>
      </c>
      <c r="W637" s="14">
        <f t="shared" si="209"/>
        <v>0</v>
      </c>
      <c r="X637" s="14">
        <f t="shared" si="209"/>
        <v>0</v>
      </c>
      <c r="Y637" s="14">
        <f t="shared" si="209"/>
        <v>0</v>
      </c>
      <c r="Z637" s="14">
        <f t="shared" si="209"/>
        <v>0</v>
      </c>
    </row>
    <row r="638" spans="2:26" hidden="1" outlineLevel="2" x14ac:dyDescent="0.25">
      <c r="B638" s="17" t="s">
        <v>9</v>
      </c>
      <c r="C638" s="14">
        <f>+[1]Result!$H$10-[15]Result!$H$10</f>
        <v>42924.586036413908</v>
      </c>
      <c r="D638" s="14">
        <f>+[5]Result!$H$10-[1]Result!$H$10</f>
        <v>-92864.654407065362</v>
      </c>
      <c r="E638" s="36">
        <f>+[6]Result!$H$10-[5]Result!$H$10</f>
        <v>159740.07520301268</v>
      </c>
      <c r="F638" s="14">
        <f>+[7]Result!$H$10-[6]Result!$H$10</f>
        <v>-206556.09183724597</v>
      </c>
      <c r="G638" s="14">
        <f>+[8]Result!$H$10-[7]Result!$H$10</f>
        <v>51849.987138163298</v>
      </c>
      <c r="H638" s="36">
        <f>+[9]Result!$H$10-[8]Result!$H$10</f>
        <v>63596.158826071769</v>
      </c>
      <c r="I638" s="14">
        <f>+[10]Result!$H$10-[9]Result!$H$10</f>
        <v>65580.053374387324</v>
      </c>
      <c r="J638" s="14">
        <f>+[11]Result!$H$10-[10]Result!$H$10</f>
        <v>-31654.418488562107</v>
      </c>
      <c r="K638" s="36">
        <f>+[12]Result!$H$10-[11]Result!$H$10</f>
        <v>64895.309233434498</v>
      </c>
      <c r="L638" s="14">
        <f>+[13]Result!$H$10-[12]Result!$H$10</f>
        <v>-35372.911888927221</v>
      </c>
      <c r="M638" s="14">
        <f>+[14]Result!$H$10-[13]Result!$H$10</f>
        <v>60205.554308496416</v>
      </c>
      <c r="N638" s="39"/>
    </row>
    <row r="639" spans="2:26" hidden="1" outlineLevel="2" x14ac:dyDescent="0.25">
      <c r="B639" s="17" t="s">
        <v>10</v>
      </c>
      <c r="C639" s="14">
        <f>+[1]Result!$H$11-[15]Result!$H$11</f>
        <v>32296.388223975897</v>
      </c>
      <c r="D639" s="14">
        <f>+[5]Result!$H$11-[1]Result!$H$11</f>
        <v>-71373.490227654576</v>
      </c>
      <c r="E639" s="36">
        <f>+[6]Result!$H$11-[5]Result!$H$11</f>
        <v>146277.17378966138</v>
      </c>
      <c r="F639" s="14">
        <f>+[7]Result!$H$11-[6]Result!$H$11</f>
        <v>-160665.0726153627</v>
      </c>
      <c r="G639" s="14">
        <f>+[8]Result!$H$11-[7]Result!$H$11</f>
        <v>42712.387984182686</v>
      </c>
      <c r="H639" s="36">
        <f>+[9]Result!$H$11-[8]Result!$H$11</f>
        <v>63143.778540924191</v>
      </c>
      <c r="I639" s="14">
        <f>+[10]Result!$H$11-[9]Result!$H$11</f>
        <v>49878.741241913289</v>
      </c>
      <c r="J639" s="14">
        <f>+[11]Result!$H$11-[10]Result!$H$11</f>
        <v>-21902.960712723434</v>
      </c>
      <c r="K639" s="36">
        <f>+[12]Result!$H$11-[11]Result!$H$11</f>
        <v>41736.457839947194</v>
      </c>
      <c r="L639" s="14">
        <f>+[13]Result!$H$11-[12]Result!$H$11</f>
        <v>-27153.082539148629</v>
      </c>
      <c r="M639" s="14">
        <f>+[14]Result!$H$11-[13]Result!$H$11</f>
        <v>54334.946645576507</v>
      </c>
      <c r="N639" s="39"/>
    </row>
    <row r="640" spans="2:26" hidden="1" outlineLevel="2" x14ac:dyDescent="0.25">
      <c r="B640" s="17" t="s">
        <v>11</v>
      </c>
      <c r="C640" s="14">
        <f>+[1]Result!$H$12-[15]Result!$H$12</f>
        <v>23364.316588938236</v>
      </c>
      <c r="D640" s="14">
        <f>+[5]Result!$H$12-[1]Result!$H$12</f>
        <v>-52436.057021297514</v>
      </c>
      <c r="E640" s="36">
        <f>+[6]Result!$H$12-[5]Result!$H$12</f>
        <v>126299.34931460954</v>
      </c>
      <c r="F640" s="14">
        <f>+[7]Result!$H$12-[6]Result!$H$12</f>
        <v>-122919.35810243525</v>
      </c>
      <c r="G640" s="14">
        <f>+[8]Result!$H$12-[7]Result!$H$12</f>
        <v>34984.489877603948</v>
      </c>
      <c r="H640" s="36">
        <f>+[9]Result!$H$12-[8]Result!$H$12</f>
        <v>58930.549380362034</v>
      </c>
      <c r="I640" s="14">
        <f>+[10]Result!$H$12-[9]Result!$H$12</f>
        <v>38443.514886051416</v>
      </c>
      <c r="J640" s="14">
        <f>+[11]Result!$H$12-[10]Result!$H$12</f>
        <v>-14442.591536935419</v>
      </c>
      <c r="K640" s="36">
        <f>+[12]Result!$H$12-[11]Result!$H$12</f>
        <v>25402.444109082222</v>
      </c>
      <c r="L640" s="14">
        <f>+[13]Result!$H$12-[12]Result!$H$12</f>
        <v>-20165.368899270892</v>
      </c>
      <c r="M640" s="14">
        <f>+[14]Result!$H$12-[13]Result!$H$12</f>
        <v>46720.194349873811</v>
      </c>
      <c r="N640" s="39"/>
    </row>
    <row r="641" spans="2:26" hidden="1" outlineLevel="2" x14ac:dyDescent="0.25">
      <c r="B641" s="17" t="s">
        <v>12</v>
      </c>
      <c r="C641" s="14">
        <f>+[1]Result!$H$13-[15]Result!$H$13</f>
        <v>10931.660069521517</v>
      </c>
      <c r="D641" s="14">
        <f>+[5]Result!$H$13-[1]Result!$H$13</f>
        <v>-19104.458698958158</v>
      </c>
      <c r="E641" s="36">
        <f>+[6]Result!$H$13-[5]Result!$H$13</f>
        <v>41516.266650596634</v>
      </c>
      <c r="F641" s="14">
        <f>+[7]Result!$H$13-[6]Result!$H$13</f>
        <v>-89058.452754616737</v>
      </c>
      <c r="G641" s="14">
        <f>+[8]Result!$H$13-[7]Result!$H$13</f>
        <v>27407.287187665701</v>
      </c>
      <c r="H641" s="36">
        <f>+[9]Result!$H$13-[8]Result!$H$13</f>
        <v>38208.314172502607</v>
      </c>
      <c r="I641" s="14">
        <f>+[10]Result!$H$13-[9]Result!$H$13</f>
        <v>27644.135157072917</v>
      </c>
      <c r="J641" s="14">
        <f>+[11]Result!$H$13-[10]Result!$H$13</f>
        <v>-8152.4474278818816</v>
      </c>
      <c r="K641" s="36">
        <f>+[12]Result!$H$13-[11]Result!$H$13</f>
        <v>9182.3744467534125</v>
      </c>
      <c r="L641" s="14">
        <f>+[13]Result!$H$13-[12]Result!$H$13</f>
        <v>-15006.343368653208</v>
      </c>
      <c r="M641" s="14">
        <f>+[14]Result!$H$13-[13]Result!$H$13</f>
        <v>37049.089671934023</v>
      </c>
      <c r="N641" s="39"/>
    </row>
    <row r="642" spans="2:26" hidden="1" outlineLevel="2" x14ac:dyDescent="0.25">
      <c r="B642" s="17" t="s">
        <v>13</v>
      </c>
      <c r="C642" s="14">
        <f>+[1]Result!$H$14-[15]Result!$H$14</f>
        <v>-2508.2229727376252</v>
      </c>
      <c r="D642" s="14">
        <f>+[5]Result!$H$14-[1]Result!$H$14</f>
        <v>7719.7255840767175</v>
      </c>
      <c r="E642" s="36">
        <f>+[6]Result!$H$14-[5]Result!$H$14</f>
        <v>16214.300064653158</v>
      </c>
      <c r="F642" s="14">
        <f>+[7]Result!$H$14-[6]Result!$H$14</f>
        <v>-64705.657339205965</v>
      </c>
      <c r="G642" s="14">
        <f>+[8]Result!$H$14-[7]Result!$H$14</f>
        <v>17577.485851982608</v>
      </c>
      <c r="H642" s="36">
        <f>+[9]Result!$H$14-[8]Result!$H$14</f>
        <v>46994.881733626127</v>
      </c>
      <c r="I642" s="14">
        <f>+[10]Result!$H$14-[9]Result!$H$14</f>
        <v>24688.238527938724</v>
      </c>
      <c r="J642" s="14">
        <f>+[11]Result!$H$14-[10]Result!$H$14</f>
        <v>-4305.5260008443147</v>
      </c>
      <c r="K642" s="36">
        <f>+[12]Result!$H$14-[11]Result!$H$14</f>
        <v>-3427.6360885705799</v>
      </c>
      <c r="L642" s="14">
        <f>+[13]Result!$H$14-[12]Result!$H$14</f>
        <v>-12693.489709876478</v>
      </c>
      <c r="M642" s="14">
        <f>+[14]Result!$H$14-[13]Result!$H$14</f>
        <v>34333.535258390009</v>
      </c>
      <c r="N642" s="39"/>
    </row>
    <row r="643" spans="2:26" hidden="1" outlineLevel="1" collapsed="1" x14ac:dyDescent="0.25">
      <c r="B643" s="16" t="s">
        <v>14</v>
      </c>
      <c r="C643" s="14">
        <f>+'[1]Stat by Mat 2'!$D$5-'[15]Stat by Mat 2'!$D$5</f>
        <v>-52360.100423552096</v>
      </c>
      <c r="D643" s="14">
        <f>+'[5]Stat by Mat 2'!$D$5-'[1]Stat by Mat 2'!$D$5</f>
        <v>63031.675078107044</v>
      </c>
      <c r="E643" s="36">
        <f>+'[6]Stat by Mat 2'!$D$5-'[5]Stat by Mat 2'!$D$5</f>
        <v>-687370.86035572458</v>
      </c>
      <c r="F643" s="14">
        <f>+'[7]Stat by Mat 2'!$D$5-'[6]Stat by Mat 2'!$D$5</f>
        <v>113817.56399997231</v>
      </c>
      <c r="G643" s="14">
        <f>+'[8]Stat by Mat 2'!$D$5-'[7]Stat by Mat 2'!$D$5</f>
        <v>-70376.915487609804</v>
      </c>
      <c r="H643" s="36">
        <f>+'[9]Stat by Mat 2'!$D$5-'[8]Stat by Mat 2'!$D$5</f>
        <v>-73130.115160597488</v>
      </c>
      <c r="I643" s="14">
        <f>+'[10]Stat by Mat 2'!$D$5-'[9]Stat by Mat 2'!$D$5</f>
        <v>-21039.353110258467</v>
      </c>
      <c r="J643" s="14">
        <f>+'[11]Stat by Mat 2'!$D$5-'[10]Stat by Mat 2'!$D$5</f>
        <v>-19908.277347358875</v>
      </c>
      <c r="K643" s="36">
        <f>+'[12]Stat by Mat 2'!$D$5-'[11]Stat by Mat 2'!$D$5</f>
        <v>52100.701376876794</v>
      </c>
      <c r="L643" s="14">
        <f>+'[13]Stat by Mat 2'!$D$5-'[12]Stat by Mat 2'!$D$5</f>
        <v>1451.4617384085432</v>
      </c>
      <c r="M643" s="14">
        <f>+'[14]Stat by Mat 2'!$D$5-'[13]Stat by Mat 2'!$D$5</f>
        <v>-30744.869318988174</v>
      </c>
      <c r="N643" s="39"/>
      <c r="O643" s="14">
        <f>+C643-SUM(C644:C653)</f>
        <v>-6.9849193096160889E-10</v>
      </c>
      <c r="P643" s="14">
        <f t="shared" ref="P643:R643" si="210">+D643-SUM(D644:D653)</f>
        <v>-4.6566128730773926E-10</v>
      </c>
      <c r="Q643" s="14">
        <f t="shared" si="210"/>
        <v>0</v>
      </c>
      <c r="R643" s="14">
        <f t="shared" si="210"/>
        <v>2.3283064365386963E-10</v>
      </c>
      <c r="S643" s="14">
        <f t="shared" ref="S643" si="211">+G643-SUM(G644:G653)</f>
        <v>4.6566128730773926E-10</v>
      </c>
      <c r="T643" s="14">
        <f t="shared" ref="T643:Z643" si="212">+H643-SUM(H644:H653)</f>
        <v>0</v>
      </c>
      <c r="U643" s="14">
        <f t="shared" si="212"/>
        <v>-6.9849193096160889E-10</v>
      </c>
      <c r="V643" s="14">
        <f t="shared" si="212"/>
        <v>0</v>
      </c>
      <c r="W643" s="14">
        <f t="shared" si="212"/>
        <v>2.3283064365386963E-10</v>
      </c>
      <c r="X643" s="14">
        <f t="shared" si="212"/>
        <v>9.3132257461547852E-10</v>
      </c>
      <c r="Y643" s="14">
        <f t="shared" si="212"/>
        <v>-9.3132257461547852E-10</v>
      </c>
      <c r="Z643" s="14">
        <f t="shared" si="212"/>
        <v>0</v>
      </c>
    </row>
    <row r="644" spans="2:26" hidden="1" outlineLevel="2" x14ac:dyDescent="0.25">
      <c r="B644" s="17" t="s">
        <v>15</v>
      </c>
      <c r="C644" s="14">
        <f>+[1]Result!$H$15-[15]Result!$H$15</f>
        <v>-6027.8690710682422</v>
      </c>
      <c r="D644" s="14">
        <f>+[5]Result!$H$15-[1]Result!$H$15</f>
        <v>10360.462789168581</v>
      </c>
      <c r="E644" s="36">
        <f>+[6]Result!$H$15-[5]Result!$H$15</f>
        <v>-51765.491549727507</v>
      </c>
      <c r="F644" s="14">
        <f>+[7]Result!$H$15-[6]Result!$H$15</f>
        <v>-18512.945519572124</v>
      </c>
      <c r="G644" s="14">
        <f>+[8]Result!$H$15-[7]Result!$H$15</f>
        <v>147.33558849152178</v>
      </c>
      <c r="H644" s="36">
        <f>+[9]Result!$H$15-[8]Result!$H$15</f>
        <v>19828.382333703339</v>
      </c>
      <c r="I644" s="14">
        <f>+[10]Result!$H$15-[9]Result!$H$15</f>
        <v>18845.208901278675</v>
      </c>
      <c r="J644" s="14">
        <f>+[11]Result!$H$15-[10]Result!$H$15</f>
        <v>-518.81922639161348</v>
      </c>
      <c r="K644" s="36">
        <f>+[12]Result!$H$15-[11]Result!$H$15</f>
        <v>859.15972314961255</v>
      </c>
      <c r="L644" s="14">
        <f>+[13]Result!$H$15-[12]Result!$H$15</f>
        <v>-9141.386771553196</v>
      </c>
      <c r="M644" s="14">
        <f>+[14]Result!$H$15-[13]Result!$H$15</f>
        <v>27309.512457123958</v>
      </c>
      <c r="N644" s="39"/>
    </row>
    <row r="645" spans="2:26" hidden="1" outlineLevel="2" x14ac:dyDescent="0.25">
      <c r="B645" s="17" t="s">
        <v>16</v>
      </c>
      <c r="C645" s="14">
        <f>+[1]Result!$H$16-[15]Result!$H$16</f>
        <v>-4322.6152192698792</v>
      </c>
      <c r="D645" s="14">
        <f>+[5]Result!$H$16-[1]Result!$H$16</f>
        <v>7711.009440283291</v>
      </c>
      <c r="E645" s="36">
        <f>+[6]Result!$H$16-[5]Result!$H$16</f>
        <v>-97526.508330527693</v>
      </c>
      <c r="F645" s="14">
        <f>+[7]Result!$H$16-[6]Result!$H$16</f>
        <v>11745.070818910375</v>
      </c>
      <c r="G645" s="14">
        <f>+[8]Result!$H$16-[7]Result!$H$16</f>
        <v>-6937.2076083132997</v>
      </c>
      <c r="H645" s="36">
        <f>+[9]Result!$H$16-[8]Result!$H$16</f>
        <v>-6038.8557292474434</v>
      </c>
      <c r="I645" s="14">
        <f>+[10]Result!$H$16-[9]Result!$H$16</f>
        <v>3219.174487140961</v>
      </c>
      <c r="J645" s="14">
        <f>+[11]Result!$H$16-[10]Result!$H$16</f>
        <v>655.80744407419115</v>
      </c>
      <c r="K645" s="36">
        <f>+[12]Result!$H$16-[11]Result!$H$16</f>
        <v>4856.2614899976179</v>
      </c>
      <c r="L645" s="14">
        <f>+[13]Result!$H$16-[12]Result!$H$16</f>
        <v>-1714.5838023144752</v>
      </c>
      <c r="M645" s="14">
        <f>+[14]Result!$H$16-[13]Result!$H$16</f>
        <v>15235.463158978149</v>
      </c>
      <c r="N645" s="39"/>
    </row>
    <row r="646" spans="2:26" hidden="1" outlineLevel="2" x14ac:dyDescent="0.25">
      <c r="B646" s="17" t="s">
        <v>17</v>
      </c>
      <c r="C646" s="14">
        <f>+[1]Result!$H$17-[15]Result!$H$17</f>
        <v>-4034.0987594816834</v>
      </c>
      <c r="D646" s="14">
        <f>+[5]Result!$H$17-[1]Result!$H$17</f>
        <v>7167.1796369301155</v>
      </c>
      <c r="E646" s="36">
        <f>+[6]Result!$H$17-[5]Result!$H$17</f>
        <v>-95644.172198032029</v>
      </c>
      <c r="F646" s="14">
        <f>+[7]Result!$H$17-[6]Result!$H$17</f>
        <v>17422.412533510476</v>
      </c>
      <c r="G646" s="14">
        <f>+[8]Result!$H$17-[7]Result!$H$17</f>
        <v>-7218.1812826776877</v>
      </c>
      <c r="H646" s="36">
        <f>+[9]Result!$H$17-[8]Result!$H$17</f>
        <v>-9899.958802556619</v>
      </c>
      <c r="I646" s="14">
        <f>+[10]Result!$H$17-[9]Result!$H$17</f>
        <v>-5155.7329469034448</v>
      </c>
      <c r="J646" s="14">
        <f>+[11]Result!$H$17-[10]Result!$H$17</f>
        <v>-726.81999830529094</v>
      </c>
      <c r="K646" s="36">
        <f>+[12]Result!$H$17-[11]Result!$H$17</f>
        <v>3150.9568925295025</v>
      </c>
      <c r="L646" s="14">
        <f>+[13]Result!$H$17-[12]Result!$H$17</f>
        <v>2461.9620508188382</v>
      </c>
      <c r="M646" s="14">
        <f>+[14]Result!$H$17-[13]Result!$H$17</f>
        <v>-384.64776645135134</v>
      </c>
      <c r="N646" s="39"/>
    </row>
    <row r="647" spans="2:26" hidden="1" outlineLevel="2" x14ac:dyDescent="0.25">
      <c r="B647" s="17" t="s">
        <v>18</v>
      </c>
      <c r="C647" s="14">
        <f>+[1]Result!$H$18-[15]Result!$H$18</f>
        <v>-4516.3843048764393</v>
      </c>
      <c r="D647" s="14">
        <f>+[5]Result!$H$18-[1]Result!$H$18</f>
        <v>7166.3286932464689</v>
      </c>
      <c r="E647" s="36">
        <f>+[6]Result!$H$18-[5]Result!$H$18</f>
        <v>-86221.796765685081</v>
      </c>
      <c r="F647" s="14">
        <f>+[7]Result!$H$18-[6]Result!$H$18</f>
        <v>16783.746447981335</v>
      </c>
      <c r="G647" s="14">
        <f>+[8]Result!$H$18-[7]Result!$H$18</f>
        <v>-7649.9015566459857</v>
      </c>
      <c r="H647" s="36">
        <f>+[9]Result!$H$18-[8]Result!$H$18</f>
        <v>-6887.6308300956152</v>
      </c>
      <c r="I647" s="14">
        <f>+[10]Result!$H$18-[9]Result!$H$18</f>
        <v>-5191.8795771598816</v>
      </c>
      <c r="J647" s="14">
        <f>+[11]Result!$H$18-[10]Result!$H$18</f>
        <v>-1987.3748648939654</v>
      </c>
      <c r="K647" s="36">
        <f>+[12]Result!$H$18-[11]Result!$H$18</f>
        <v>4520.2740645618178</v>
      </c>
      <c r="L647" s="14">
        <f>+[13]Result!$H$18-[12]Result!$H$18</f>
        <v>2259.0156176290475</v>
      </c>
      <c r="M647" s="14">
        <f>+[14]Result!$H$18-[13]Result!$H$18</f>
        <v>-10350.686980930157</v>
      </c>
      <c r="N647" s="39"/>
    </row>
    <row r="648" spans="2:26" hidden="1" outlineLevel="2" x14ac:dyDescent="0.25">
      <c r="B648" s="17" t="s">
        <v>19</v>
      </c>
      <c r="C648" s="14">
        <f>+[1]Result!$H$19-[15]Result!$H$19</f>
        <v>-5746.7504520947114</v>
      </c>
      <c r="D648" s="14">
        <f>+[5]Result!$H$19-[1]Result!$H$19</f>
        <v>7779.7617204743437</v>
      </c>
      <c r="E648" s="36">
        <f>+[6]Result!$H$19-[5]Result!$H$19</f>
        <v>-80059.365395358764</v>
      </c>
      <c r="F648" s="14">
        <f>+[7]Result!$H$19-[6]Result!$H$19</f>
        <v>16472.375067973044</v>
      </c>
      <c r="G648" s="14">
        <f>+[8]Result!$H$19-[7]Result!$H$19</f>
        <v>-8239.5231489166617</v>
      </c>
      <c r="H648" s="36">
        <f>+[9]Result!$H$19-[8]Result!$H$19</f>
        <v>-11145.861585592851</v>
      </c>
      <c r="I648" s="14">
        <f>+[10]Result!$H$19-[9]Result!$H$19</f>
        <v>-5763.9593715039082</v>
      </c>
      <c r="J648" s="14">
        <f>+[11]Result!$H$19-[10]Result!$H$19</f>
        <v>-2370.449298330117</v>
      </c>
      <c r="K648" s="36">
        <f>+[12]Result!$H$19-[11]Result!$H$19</f>
        <v>693.92374888714403</v>
      </c>
      <c r="L648" s="14">
        <f>+[13]Result!$H$19-[12]Result!$H$19</f>
        <v>2051.4623381048441</v>
      </c>
      <c r="M648" s="14">
        <f>+[14]Result!$H$19-[13]Result!$H$19</f>
        <v>-10979.365469226614</v>
      </c>
      <c r="N648" s="39"/>
    </row>
    <row r="649" spans="2:26" hidden="1" outlineLevel="2" x14ac:dyDescent="0.25">
      <c r="B649" s="17" t="s">
        <v>20</v>
      </c>
      <c r="C649" s="14">
        <f>+[1]Result!$H$20-[15]Result!$H$20</f>
        <v>-6239.1136268707924</v>
      </c>
      <c r="D649" s="14">
        <f>+[5]Result!$H$20-[1]Result!$H$20</f>
        <v>7024.8521330286749</v>
      </c>
      <c r="E649" s="36">
        <f>+[6]Result!$H$20-[5]Result!$H$20</f>
        <v>-72124.947720879689</v>
      </c>
      <c r="F649" s="14">
        <f>+[7]Result!$H$20-[6]Result!$H$20</f>
        <v>15514.121316418052</v>
      </c>
      <c r="G649" s="14">
        <f>+[8]Result!$H$20-[7]Result!$H$20</f>
        <v>-8251.0596134960651</v>
      </c>
      <c r="H649" s="36">
        <f>+[9]Result!$H$20-[8]Result!$H$20</f>
        <v>-13147.252046932932</v>
      </c>
      <c r="I649" s="14">
        <f>+[10]Result!$H$20-[9]Result!$H$20</f>
        <v>-5904.5245073591359</v>
      </c>
      <c r="J649" s="14">
        <f>+[11]Result!$H$20-[10]Result!$H$20</f>
        <v>-2548.16679735668</v>
      </c>
      <c r="K649" s="36">
        <f>+[12]Result!$H$20-[11]Result!$H$20</f>
        <v>3123.8549195765518</v>
      </c>
      <c r="L649" s="14">
        <f>+[13]Result!$H$20-[12]Result!$H$20</f>
        <v>1671.7209289083257</v>
      </c>
      <c r="M649" s="14">
        <f>+[14]Result!$H$20-[13]Result!$H$20</f>
        <v>-10982.661058491096</v>
      </c>
      <c r="N649" s="39"/>
    </row>
    <row r="650" spans="2:26" hidden="1" outlineLevel="2" x14ac:dyDescent="0.25">
      <c r="B650" s="17" t="s">
        <v>21</v>
      </c>
      <c r="C650" s="14">
        <f>+[1]Result!$H$21-[15]Result!$H$21</f>
        <v>-6015.7223909776658</v>
      </c>
      <c r="D650" s="14">
        <f>+[5]Result!$H$21-[1]Result!$H$21</f>
        <v>5374.5846254946664</v>
      </c>
      <c r="E650" s="36">
        <f>+[6]Result!$H$21-[5]Result!$H$21</f>
        <v>-64276.431185004767</v>
      </c>
      <c r="F650" s="14">
        <f>+[7]Result!$H$21-[6]Result!$H$21</f>
        <v>14950.439633254427</v>
      </c>
      <c r="G650" s="14">
        <f>+[8]Result!$H$21-[7]Result!$H$21</f>
        <v>-8245.6916964245029</v>
      </c>
      <c r="H650" s="36">
        <f>+[9]Result!$H$21-[8]Result!$H$21</f>
        <v>-12788.054532918613</v>
      </c>
      <c r="I650" s="14">
        <f>+[10]Result!$H$21-[9]Result!$H$21</f>
        <v>-5784.9179008998908</v>
      </c>
      <c r="J650" s="14">
        <f>+[11]Result!$H$21-[10]Result!$H$21</f>
        <v>-2816.7764932876453</v>
      </c>
      <c r="K650" s="36">
        <f>+[12]Result!$H$21-[11]Result!$H$21</f>
        <v>4956.9550713030621</v>
      </c>
      <c r="L650" s="14">
        <f>+[13]Result!$H$21-[12]Result!$H$21</f>
        <v>1328.7811221634038</v>
      </c>
      <c r="M650" s="14">
        <f>+[14]Result!$H$21-[13]Result!$H$21</f>
        <v>-10776.972693412565</v>
      </c>
      <c r="N650" s="39"/>
    </row>
    <row r="651" spans="2:26" hidden="1" outlineLevel="2" x14ac:dyDescent="0.25">
      <c r="B651" s="17" t="s">
        <v>22</v>
      </c>
      <c r="C651" s="14">
        <f>+[1]Result!$H$22-[15]Result!$H$22</f>
        <v>-5435.520104510244</v>
      </c>
      <c r="D651" s="14">
        <f>+[5]Result!$H$22-[1]Result!$H$22</f>
        <v>3808.2033660444431</v>
      </c>
      <c r="E651" s="36">
        <f>+[6]Result!$H$22-[5]Result!$H$22</f>
        <v>-54349.702854468022</v>
      </c>
      <c r="F651" s="14">
        <f>+[7]Result!$H$22-[6]Result!$H$22</f>
        <v>14160.811689415947</v>
      </c>
      <c r="G651" s="14">
        <f>+[8]Result!$H$22-[7]Result!$H$22</f>
        <v>-8064.5731950218324</v>
      </c>
      <c r="H651" s="36">
        <f>+[9]Result!$H$22-[8]Result!$H$22</f>
        <v>-12155.994594521588</v>
      </c>
      <c r="I651" s="14">
        <f>+[10]Result!$H$22-[9]Result!$H$22</f>
        <v>-5454.8711224512663</v>
      </c>
      <c r="J651" s="14">
        <f>+[11]Result!$H$22-[10]Result!$H$22</f>
        <v>-3027.3341997792013</v>
      </c>
      <c r="K651" s="36">
        <f>+[12]Result!$H$22-[11]Result!$H$22</f>
        <v>8707.6578947929665</v>
      </c>
      <c r="L651" s="14">
        <f>+[13]Result!$H$22-[12]Result!$H$22</f>
        <v>1046.313882621238</v>
      </c>
      <c r="M651" s="14">
        <f>+[14]Result!$H$22-[13]Result!$H$22</f>
        <v>-10358.286803777097</v>
      </c>
      <c r="N651" s="39"/>
    </row>
    <row r="652" spans="2:26" hidden="1" outlineLevel="2" x14ac:dyDescent="0.25">
      <c r="B652" s="17" t="s">
        <v>23</v>
      </c>
      <c r="C652" s="14">
        <f>+[1]Result!$H$23-[15]Result!$H$23</f>
        <v>-4972.4279000544921</v>
      </c>
      <c r="D652" s="14">
        <f>+[5]Result!$H$23-[1]Result!$H$23</f>
        <v>3076.9922965355217</v>
      </c>
      <c r="E652" s="36">
        <f>+[6]Result!$H$23-[5]Result!$H$23</f>
        <v>-43815.161890283693</v>
      </c>
      <c r="F652" s="14">
        <f>+[7]Result!$H$23-[6]Result!$H$23</f>
        <v>13140.957233336521</v>
      </c>
      <c r="G652" s="14">
        <f>+[8]Result!$H$23-[7]Result!$H$23</f>
        <v>-7907.5424991310574</v>
      </c>
      <c r="H652" s="36">
        <f>+[9]Result!$H$23-[8]Result!$H$23</f>
        <v>-9636.430076978635</v>
      </c>
      <c r="I652" s="14">
        <f>+[10]Result!$H$23-[9]Result!$H$23</f>
        <v>-5082.3561178785749</v>
      </c>
      <c r="J652" s="14">
        <f>+[11]Result!$H$23-[10]Result!$H$23</f>
        <v>-3193.2549904007465</v>
      </c>
      <c r="K652" s="36">
        <f>+[12]Result!$H$23-[11]Result!$H$23</f>
        <v>11924.436021865811</v>
      </c>
      <c r="L652" s="14">
        <f>+[13]Result!$H$23-[12]Result!$H$23</f>
        <v>837.56854043086059</v>
      </c>
      <c r="M652" s="14">
        <f>+[14]Result!$H$23-[13]Result!$H$23</f>
        <v>-9955.9114215997979</v>
      </c>
      <c r="N652" s="39"/>
    </row>
    <row r="653" spans="2:26" hidden="1" outlineLevel="2" x14ac:dyDescent="0.25">
      <c r="B653" s="17" t="s">
        <v>24</v>
      </c>
      <c r="C653" s="14">
        <f>+[1]Result!$H$24-[15]Result!$H$24</f>
        <v>-5049.5985943472479</v>
      </c>
      <c r="D653" s="14">
        <f>+[5]Result!$H$24-[1]Result!$H$24</f>
        <v>3562.3003769014031</v>
      </c>
      <c r="E653" s="36">
        <f>+[6]Result!$H$24-[5]Result!$H$24</f>
        <v>-41587.282465757569</v>
      </c>
      <c r="F653" s="14">
        <f>+[7]Result!$H$24-[6]Result!$H$24</f>
        <v>12140.57477874402</v>
      </c>
      <c r="G653" s="14">
        <f>+[8]Result!$H$24-[7]Result!$H$24</f>
        <v>-8010.5704754746985</v>
      </c>
      <c r="H653" s="36">
        <f>+[9]Result!$H$24-[8]Result!$H$24</f>
        <v>-11258.459295456531</v>
      </c>
      <c r="I653" s="14">
        <f>+[10]Result!$H$24-[9]Result!$H$24</f>
        <v>-4765.4949545213021</v>
      </c>
      <c r="J653" s="14">
        <f>+[11]Result!$H$24-[10]Result!$H$24</f>
        <v>-3375.0889226878062</v>
      </c>
      <c r="K653" s="36">
        <f>+[12]Result!$H$24-[11]Result!$H$24</f>
        <v>9307.2215502124745</v>
      </c>
      <c r="L653" s="14">
        <f>+[13]Result!$H$24-[12]Result!$H$24</f>
        <v>650.60783159872517</v>
      </c>
      <c r="M653" s="14">
        <f>+[14]Result!$H$24-[13]Result!$H$24</f>
        <v>-9501.3127412006725</v>
      </c>
      <c r="N653" s="39"/>
    </row>
    <row r="654" spans="2:26" hidden="1" outlineLevel="1" collapsed="1" x14ac:dyDescent="0.25">
      <c r="B654" s="16" t="s">
        <v>25</v>
      </c>
      <c r="C654" s="14">
        <f>+'[1]Stat by Mat 2'!$D$6-'[15]Stat by Mat 2'!$D$6</f>
        <v>-33179.028003290761</v>
      </c>
      <c r="D654" s="14">
        <f>+'[5]Stat by Mat 2'!$D$6-'[1]Stat by Mat 2'!$D$6</f>
        <v>36165.888976127608</v>
      </c>
      <c r="E654" s="36">
        <f>+'[6]Stat by Mat 2'!$D$6-'[5]Stat by Mat 2'!$D$6</f>
        <v>-188690.83178881719</v>
      </c>
      <c r="F654" s="14">
        <f>+'[7]Stat by Mat 2'!$D$6-'[6]Stat by Mat 2'!$D$6</f>
        <v>53794.447964022169</v>
      </c>
      <c r="G654" s="14">
        <f>+'[8]Stat by Mat 2'!$D$6-'[7]Stat by Mat 2'!$D$6</f>
        <v>-48318.26187680522</v>
      </c>
      <c r="H654" s="36">
        <f>+'[9]Stat by Mat 2'!$D$6-'[8]Stat by Mat 2'!$D$6</f>
        <v>-51834.827322057914</v>
      </c>
      <c r="I654" s="14">
        <f>+'[10]Stat by Mat 2'!$D$6-'[9]Stat by Mat 2'!$D$6</f>
        <v>-24744.855788540794</v>
      </c>
      <c r="J654" s="14">
        <f>+'[11]Stat by Mat 2'!$D$6-'[10]Stat by Mat 2'!$D$6</f>
        <v>-23019.33362754737</v>
      </c>
      <c r="K654" s="36">
        <f>+'[12]Stat by Mat 2'!$D$6-'[11]Stat by Mat 2'!$D$6</f>
        <v>88855.987679726444</v>
      </c>
      <c r="L654" s="14">
        <f>+'[13]Stat by Mat 2'!$D$6-'[12]Stat by Mat 2'!$D$6</f>
        <v>1402.2014583437704</v>
      </c>
      <c r="M654" s="14">
        <f>+'[14]Stat by Mat 2'!$D$6-'[13]Stat by Mat 2'!$D$6</f>
        <v>-54725.156916175736</v>
      </c>
      <c r="N654" s="39"/>
      <c r="O654" s="14">
        <f>+C654-SUM(C655:C664)</f>
        <v>5.8207660913467407E-11</v>
      </c>
      <c r="P654" s="14">
        <f t="shared" ref="P654:R654" si="213">+D654-SUM(D655:D664)</f>
        <v>0</v>
      </c>
      <c r="Q654" s="14">
        <f t="shared" si="213"/>
        <v>-2.6193447411060333E-10</v>
      </c>
      <c r="R654" s="14">
        <f t="shared" si="213"/>
        <v>5.5297277867794037E-10</v>
      </c>
      <c r="S654" s="14">
        <f t="shared" ref="S654" si="214">+G654-SUM(G655:G664)</f>
        <v>-2.3283064365386963E-10</v>
      </c>
      <c r="T654" s="14">
        <f t="shared" ref="T654:Z654" si="215">+H654-SUM(H655:H664)</f>
        <v>-5.8207660913467407E-11</v>
      </c>
      <c r="U654" s="14">
        <f t="shared" si="215"/>
        <v>-2.3283064365386963E-10</v>
      </c>
      <c r="V654" s="14">
        <f t="shared" si="215"/>
        <v>3.7834979593753815E-10</v>
      </c>
      <c r="W654" s="14">
        <f t="shared" si="215"/>
        <v>0</v>
      </c>
      <c r="X654" s="14">
        <f t="shared" si="215"/>
        <v>-8.7311491370201111E-11</v>
      </c>
      <c r="Y654" s="14">
        <f t="shared" si="215"/>
        <v>2.9103830456733704E-10</v>
      </c>
      <c r="Z654" s="14">
        <f t="shared" si="215"/>
        <v>0</v>
      </c>
    </row>
    <row r="655" spans="2:26" hidden="1" outlineLevel="2" x14ac:dyDescent="0.25">
      <c r="B655" s="17" t="s">
        <v>26</v>
      </c>
      <c r="C655" s="14">
        <f>+[1]Result!$H$25-[15]Result!$H$25</f>
        <v>-5020.341970594367</v>
      </c>
      <c r="D655" s="14">
        <f>+[5]Result!$H$25-[1]Result!$H$25</f>
        <v>4287.0589458711911</v>
      </c>
      <c r="E655" s="36">
        <f>+[6]Result!$H$25-[5]Result!$H$25</f>
        <v>-37919.059003365459</v>
      </c>
      <c r="F655" s="14">
        <f>+[7]Result!$H$25-[6]Result!$H$25</f>
        <v>10476.776226063026</v>
      </c>
      <c r="G655" s="14">
        <f>+[8]Result!$H$25-[7]Result!$H$25</f>
        <v>-7652.4125563970301</v>
      </c>
      <c r="H655" s="36">
        <f>+[9]Result!$H$25-[8]Result!$H$25</f>
        <v>-11339.310915857553</v>
      </c>
      <c r="I655" s="14">
        <f>+[10]Result!$H$25-[9]Result!$H$25</f>
        <v>-4272.3513697541784</v>
      </c>
      <c r="J655" s="14">
        <f>+[11]Result!$H$25-[10]Result!$H$25</f>
        <v>-3346.8820048063062</v>
      </c>
      <c r="K655" s="36">
        <f>+[12]Result!$H$25-[11]Result!$H$25</f>
        <v>9688.9844459674787</v>
      </c>
      <c r="L655" s="14">
        <f>+[13]Result!$H$25-[12]Result!$H$25</f>
        <v>469.83411673502997</v>
      </c>
      <c r="M655" s="14">
        <f>+[14]Result!$H$25-[13]Result!$H$25</f>
        <v>-8776.3540298154112</v>
      </c>
      <c r="N655" s="39"/>
    </row>
    <row r="656" spans="2:26" hidden="1" outlineLevel="2" x14ac:dyDescent="0.25">
      <c r="B656" s="17" t="s">
        <v>27</v>
      </c>
      <c r="C656" s="14">
        <f>+[1]Result!$H$26-[15]Result!$H$26</f>
        <v>-4851.4999027240556</v>
      </c>
      <c r="D656" s="14">
        <f>+[5]Result!$H$26-[1]Result!$H$26</f>
        <v>4688.040887830779</v>
      </c>
      <c r="E656" s="36">
        <f>+[6]Result!$H$26-[5]Result!$H$26</f>
        <v>-34001.593467528583</v>
      </c>
      <c r="F656" s="14">
        <f>+[7]Result!$H$26-[6]Result!$H$26</f>
        <v>8939.1739419619553</v>
      </c>
      <c r="G656" s="14">
        <f>+[8]Result!$H$26-[7]Result!$H$26</f>
        <v>-7145.1892196863191</v>
      </c>
      <c r="H656" s="36">
        <f>+[9]Result!$H$26-[8]Result!$H$26</f>
        <v>-10806.217372484505</v>
      </c>
      <c r="I656" s="14">
        <f>+[10]Result!$H$26-[9]Result!$H$26</f>
        <v>-3813.8287320194067</v>
      </c>
      <c r="J656" s="14">
        <f>+[11]Result!$H$26-[10]Result!$H$26</f>
        <v>-3199.3570430040127</v>
      </c>
      <c r="K656" s="36">
        <f>+[12]Result!$H$26-[11]Result!$H$26</f>
        <v>10154.020658079186</v>
      </c>
      <c r="L656" s="14">
        <f>+[13]Result!$H$26-[12]Result!$H$26</f>
        <v>333.98789251665585</v>
      </c>
      <c r="M656" s="14">
        <f>+[14]Result!$H$26-[13]Result!$H$26</f>
        <v>-8017.0066033867188</v>
      </c>
      <c r="N656" s="39"/>
    </row>
    <row r="657" spans="2:26" hidden="1" outlineLevel="2" x14ac:dyDescent="0.25">
      <c r="B657" s="17" t="s">
        <v>28</v>
      </c>
      <c r="C657" s="14">
        <f>+[1]Result!$H$27-[15]Result!$H$27</f>
        <v>-4498.1183507511159</v>
      </c>
      <c r="D657" s="14">
        <f>+[5]Result!$H$27-[1]Result!$H$27</f>
        <v>4734.6225788622396</v>
      </c>
      <c r="E657" s="36">
        <f>+[6]Result!$H$27-[5]Result!$H$27</f>
        <v>-29042.474318262539</v>
      </c>
      <c r="F657" s="14">
        <f>+[7]Result!$H$27-[6]Result!$H$27</f>
        <v>7568.7172239018837</v>
      </c>
      <c r="G657" s="14">
        <f>+[8]Result!$H$27-[7]Result!$H$27</f>
        <v>-6524.5585487438366</v>
      </c>
      <c r="H657" s="36">
        <f>+[9]Result!$H$27-[8]Result!$H$27</f>
        <v>-9449.5193352539791</v>
      </c>
      <c r="I657" s="14">
        <f>+[10]Result!$H$27-[9]Result!$H$27</f>
        <v>-3377.4894754767884</v>
      </c>
      <c r="J657" s="14">
        <f>+[11]Result!$H$27-[10]Result!$H$27</f>
        <v>-2987.487573725637</v>
      </c>
      <c r="K657" s="36">
        <f>+[12]Result!$H$27-[11]Result!$H$27</f>
        <v>11284.997866678634</v>
      </c>
      <c r="L657" s="14">
        <f>+[13]Result!$H$27-[12]Result!$H$27</f>
        <v>239.9476235283073</v>
      </c>
      <c r="M657" s="14">
        <f>+[14]Result!$H$27-[13]Result!$H$27</f>
        <v>-7291.0433972293977</v>
      </c>
      <c r="N657" s="39"/>
    </row>
    <row r="658" spans="2:26" hidden="1" outlineLevel="2" x14ac:dyDescent="0.25">
      <c r="B658" s="17" t="s">
        <v>29</v>
      </c>
      <c r="C658" s="14">
        <f>+[1]Result!$H$28-[15]Result!$H$28</f>
        <v>-4117.895253288094</v>
      </c>
      <c r="D658" s="14">
        <f>+[5]Result!$H$28-[1]Result!$H$28</f>
        <v>4583.5174187944504</v>
      </c>
      <c r="E658" s="36">
        <f>+[6]Result!$H$28-[5]Result!$H$28</f>
        <v>-23597.242443632917</v>
      </c>
      <c r="F658" s="14">
        <f>+[7]Result!$H$28-[6]Result!$H$28</f>
        <v>6473.315168458852</v>
      </c>
      <c r="G658" s="14">
        <f>+[8]Result!$H$28-[7]Result!$H$28</f>
        <v>-5929.1274590797257</v>
      </c>
      <c r="H658" s="36">
        <f>+[9]Result!$H$28-[8]Result!$H$28</f>
        <v>-5813.9185403754236</v>
      </c>
      <c r="I658" s="14">
        <f>+[10]Result!$H$28-[9]Result!$H$28</f>
        <v>-3014.5439850643743</v>
      </c>
      <c r="J658" s="14">
        <f>+[11]Result!$H$28-[10]Result!$H$28</f>
        <v>-2846.7182624097914</v>
      </c>
      <c r="K658" s="36">
        <f>+[12]Result!$H$28-[11]Result!$H$28</f>
        <v>11833.377179112402</v>
      </c>
      <c r="L658" s="14">
        <f>+[13]Result!$H$28-[12]Result!$H$28</f>
        <v>161.7333623819286</v>
      </c>
      <c r="M658" s="14">
        <f>+[14]Result!$H$28-[13]Result!$H$28</f>
        <v>-6715.5478971042903</v>
      </c>
      <c r="N658" s="39"/>
    </row>
    <row r="659" spans="2:26" hidden="1" outlineLevel="2" x14ac:dyDescent="0.25">
      <c r="B659" s="17" t="s">
        <v>30</v>
      </c>
      <c r="C659" s="14">
        <f>+[1]Result!$H$29-[15]Result!$H$29</f>
        <v>-3849.98589306348</v>
      </c>
      <c r="D659" s="14">
        <f>+[5]Result!$H$29-[1]Result!$H$29</f>
        <v>4474.5017491905019</v>
      </c>
      <c r="E659" s="36">
        <f>+[6]Result!$H$29-[5]Result!$H$29</f>
        <v>-20765.079629422515</v>
      </c>
      <c r="F659" s="14">
        <f>+[7]Result!$H$29-[6]Result!$H$29</f>
        <v>5680.8986886736238</v>
      </c>
      <c r="G659" s="14">
        <f>+[8]Result!$H$29-[7]Result!$H$29</f>
        <v>-5476.6829231157899</v>
      </c>
      <c r="H659" s="36">
        <f>+[9]Result!$H$29-[8]Result!$H$29</f>
        <v>-5959.787510996568</v>
      </c>
      <c r="I659" s="14">
        <f>+[10]Result!$H$29-[9]Result!$H$29</f>
        <v>-2706.7176460317569</v>
      </c>
      <c r="J659" s="14">
        <f>+[11]Result!$H$29-[10]Result!$H$29</f>
        <v>-2672.6129896920174</v>
      </c>
      <c r="K659" s="36">
        <f>+[12]Result!$H$29-[11]Result!$H$29</f>
        <v>8752.2217073149513</v>
      </c>
      <c r="L659" s="14">
        <f>+[13]Result!$H$29-[12]Result!$H$29</f>
        <v>92.099744812236167</v>
      </c>
      <c r="M659" s="14">
        <f>+[14]Result!$H$29-[13]Result!$H$29</f>
        <v>-6033.2407398658106</v>
      </c>
      <c r="N659" s="39"/>
    </row>
    <row r="660" spans="2:26" hidden="1" outlineLevel="2" x14ac:dyDescent="0.25">
      <c r="B660" s="17" t="s">
        <v>31</v>
      </c>
      <c r="C660" s="14">
        <f>+[1]Result!$H$30-[15]Result!$H$30</f>
        <v>-3215.2612209463841</v>
      </c>
      <c r="D660" s="14">
        <f>+[5]Result!$H$30-[1]Result!$H$30</f>
        <v>3861.3959394503618</v>
      </c>
      <c r="E660" s="36">
        <f>+[6]Result!$H$30-[5]Result!$H$30</f>
        <v>-17093.001089238795</v>
      </c>
      <c r="F660" s="14">
        <f>+[7]Result!$H$30-[6]Result!$H$30</f>
        <v>4496.3711249114713</v>
      </c>
      <c r="G660" s="14">
        <f>+[8]Result!$H$30-[7]Result!$H$30</f>
        <v>-4529.9006291421829</v>
      </c>
      <c r="H660" s="36">
        <f>+[9]Result!$H$30-[8]Result!$H$30</f>
        <v>-5765.2016618847847</v>
      </c>
      <c r="I660" s="14">
        <f>+[10]Result!$H$30-[9]Result!$H$30</f>
        <v>-2189.2945646856679</v>
      </c>
      <c r="J660" s="14">
        <f>+[11]Result!$H$30-[10]Result!$H$30</f>
        <v>-2219.315948056581</v>
      </c>
      <c r="K660" s="36">
        <f>+[12]Result!$H$30-[11]Result!$H$30</f>
        <v>8587.7099096148741</v>
      </c>
      <c r="L660" s="14">
        <f>+[13]Result!$H$30-[12]Result!$H$30</f>
        <v>46.071966652467381</v>
      </c>
      <c r="M660" s="14">
        <f>+[14]Result!$H$30-[13]Result!$H$30</f>
        <v>-4993.1416809012298</v>
      </c>
      <c r="N660" s="39"/>
    </row>
    <row r="661" spans="2:26" hidden="1" outlineLevel="2" x14ac:dyDescent="0.25">
      <c r="B661" s="17" t="s">
        <v>32</v>
      </c>
      <c r="C661" s="14">
        <f>+[1]Result!$H$31-[15]Result!$H$31</f>
        <v>-2587.7073419959052</v>
      </c>
      <c r="D661" s="14">
        <f>+[5]Result!$H$31-[1]Result!$H$31</f>
        <v>3165.8516525353771</v>
      </c>
      <c r="E661" s="36">
        <f>+[6]Result!$H$31-[5]Result!$H$31</f>
        <v>-12746.576635611418</v>
      </c>
      <c r="F661" s="14">
        <f>+[7]Result!$H$31-[6]Result!$H$31</f>
        <v>3474.4972586923977</v>
      </c>
      <c r="G661" s="14">
        <f>+[8]Result!$H$31-[7]Result!$H$31</f>
        <v>-3641.1678522225702</v>
      </c>
      <c r="H661" s="36">
        <f>+[9]Result!$H$31-[8]Result!$H$31</f>
        <v>-4583.9601492442889</v>
      </c>
      <c r="I661" s="14">
        <f>+[10]Result!$H$31-[9]Result!$H$31</f>
        <v>-1721.6584121392225</v>
      </c>
      <c r="J661" s="14">
        <f>+[11]Result!$H$31-[10]Result!$H$31</f>
        <v>-1792.45238502149</v>
      </c>
      <c r="K661" s="36">
        <f>+[12]Result!$H$31-[11]Result!$H$31</f>
        <v>8466.6131812831154</v>
      </c>
      <c r="L661" s="14">
        <f>+[13]Result!$H$31-[12]Result!$H$31</f>
        <v>38.420333217596635</v>
      </c>
      <c r="M661" s="14">
        <f>+[14]Result!$H$31-[13]Result!$H$31</f>
        <v>-4057.0933474569465</v>
      </c>
      <c r="N661" s="39"/>
    </row>
    <row r="662" spans="2:26" hidden="1" outlineLevel="2" x14ac:dyDescent="0.25">
      <c r="B662" s="17" t="s">
        <v>33</v>
      </c>
      <c r="C662" s="14">
        <f>+[1]Result!$H$32-[15]Result!$H$32</f>
        <v>-1963.848006928456</v>
      </c>
      <c r="D662" s="14">
        <f>+[5]Result!$H$32-[1]Result!$H$32</f>
        <v>2449.4849771251029</v>
      </c>
      <c r="E662" s="36">
        <f>+[6]Result!$H$32-[5]Result!$H$32</f>
        <v>-8951.8216671106347</v>
      </c>
      <c r="F662" s="14">
        <f>+[7]Result!$H$32-[6]Result!$H$32</f>
        <v>2551.6571965580224</v>
      </c>
      <c r="G662" s="14">
        <f>+[8]Result!$H$32-[7]Result!$H$32</f>
        <v>-2767.4523682431027</v>
      </c>
      <c r="H662" s="36">
        <f>+[9]Result!$H$32-[8]Result!$H$32</f>
        <v>-3263.4509802824177</v>
      </c>
      <c r="I662" s="14">
        <f>+[10]Result!$H$32-[9]Result!$H$32</f>
        <v>-1287.907507129421</v>
      </c>
      <c r="J662" s="14">
        <f>+[11]Result!$H$32-[10]Result!$H$32</f>
        <v>-1369.8235434324597</v>
      </c>
      <c r="K662" s="36">
        <f>+[12]Result!$H$32-[11]Result!$H$32</f>
        <v>9559.8799678605574</v>
      </c>
      <c r="L662" s="14">
        <f>+[13]Result!$H$32-[12]Result!$H$32</f>
        <v>20.106418499635765</v>
      </c>
      <c r="M662" s="14">
        <f>+[14]Result!$H$32-[13]Result!$H$32</f>
        <v>-3211.5815511427354</v>
      </c>
      <c r="N662" s="39"/>
    </row>
    <row r="663" spans="2:26" hidden="1" outlineLevel="2" x14ac:dyDescent="0.25">
      <c r="B663" s="17" t="s">
        <v>34</v>
      </c>
      <c r="C663" s="14">
        <f>+[1]Result!$H$33-[15]Result!$H$33</f>
        <v>-1487.8525897704531</v>
      </c>
      <c r="D663" s="14">
        <f>+[5]Result!$H$33-[1]Result!$H$33</f>
        <v>1885.299269721756</v>
      </c>
      <c r="E663" s="36">
        <f>+[6]Result!$H$33-[5]Result!$H$33</f>
        <v>-2087.1229434985435</v>
      </c>
      <c r="F663" s="14">
        <f>+[7]Result!$H$33-[6]Result!$H$33</f>
        <v>2034.6719166535477</v>
      </c>
      <c r="G663" s="14">
        <f>+[8]Result!$H$33-[7]Result!$H$33</f>
        <v>-2262.9145768723974</v>
      </c>
      <c r="H663" s="36">
        <f>+[9]Result!$H$33-[8]Result!$H$33</f>
        <v>2732.6414141531568</v>
      </c>
      <c r="I663" s="14">
        <f>+[10]Result!$H$33-[9]Result!$H$33</f>
        <v>-1152.9374929618207</v>
      </c>
      <c r="J663" s="14">
        <f>+[11]Result!$H$33-[10]Result!$H$33</f>
        <v>-1252.3447847765347</v>
      </c>
      <c r="K663" s="36">
        <f>+[12]Result!$H$33-[11]Result!$H$33</f>
        <v>9669.9054862376652</v>
      </c>
      <c r="L663" s="14">
        <f>+[13]Result!$H$33-[12]Result!$H$33</f>
        <v>0</v>
      </c>
      <c r="M663" s="14">
        <f>+[14]Result!$H$33-[13]Result!$H$33</f>
        <v>-2941.6694293457258</v>
      </c>
      <c r="N663" s="39"/>
    </row>
    <row r="664" spans="2:26" hidden="1" outlineLevel="2" x14ac:dyDescent="0.25">
      <c r="B664" s="17" t="s">
        <v>35</v>
      </c>
      <c r="C664" s="14">
        <f>+[1]Result!$H$34-[15]Result!$H$34</f>
        <v>-1586.5174732285086</v>
      </c>
      <c r="D664" s="14">
        <f>+[5]Result!$H$34-[1]Result!$H$34</f>
        <v>2036.1155567458773</v>
      </c>
      <c r="E664" s="36">
        <f>+[6]Result!$H$34-[5]Result!$H$34</f>
        <v>-2486.8605911455234</v>
      </c>
      <c r="F664" s="14">
        <f>+[7]Result!$H$34-[6]Result!$H$34</f>
        <v>2098.3692181468359</v>
      </c>
      <c r="G664" s="14">
        <f>+[8]Result!$H$34-[7]Result!$H$34</f>
        <v>-2388.8557433020324</v>
      </c>
      <c r="H664" s="36">
        <f>+[9]Result!$H$34-[8]Result!$H$34</f>
        <v>2413.8977301685081</v>
      </c>
      <c r="I664" s="14">
        <f>+[10]Result!$H$34-[9]Result!$H$34</f>
        <v>-1208.126603277924</v>
      </c>
      <c r="J664" s="14">
        <f>+[11]Result!$H$34-[10]Result!$H$34</f>
        <v>-1332.3390926229185</v>
      </c>
      <c r="K664" s="36">
        <f>+[12]Result!$H$34-[11]Result!$H$34</f>
        <v>858.27727757766843</v>
      </c>
      <c r="L664" s="14">
        <f>+[13]Result!$H$34-[12]Result!$H$34</f>
        <v>0</v>
      </c>
      <c r="M664" s="14">
        <f>+[14]Result!$H$34-[13]Result!$H$34</f>
        <v>-2688.478239927761</v>
      </c>
      <c r="N664" s="39"/>
    </row>
    <row r="665" spans="2:26" hidden="1" outlineLevel="1" collapsed="1" x14ac:dyDescent="0.25">
      <c r="B665" s="16" t="s">
        <v>36</v>
      </c>
      <c r="C665" s="14">
        <f>+'[1]Stat by Mat 2'!$D$7-'[15]Stat by Mat 2'!$D$7</f>
        <v>-3192.0789342161588</v>
      </c>
      <c r="D665" s="14">
        <f>+'[5]Stat by Mat 2'!$D$7-'[1]Stat by Mat 2'!$D$7</f>
        <v>4201.9299382674944</v>
      </c>
      <c r="E665" s="36">
        <f>+'[6]Stat by Mat 2'!$D$7-'[5]Stat by Mat 2'!$D$7</f>
        <v>-6853.7670237294951</v>
      </c>
      <c r="F665" s="14">
        <f>+'[7]Stat by Mat 2'!$D$7-'[6]Stat by Mat 2'!$D$7</f>
        <v>3923.1564950889588</v>
      </c>
      <c r="G665" s="14">
        <f>+'[8]Stat by Mat 2'!$D$7-'[7]Stat by Mat 2'!$D$7</f>
        <v>-4702.4543662545475</v>
      </c>
      <c r="H665" s="36">
        <f>+'[9]Stat by Mat 2'!$D$7-'[8]Stat by Mat 2'!$D$7</f>
        <v>1220.5928194376756</v>
      </c>
      <c r="I665" s="14">
        <f>+'[10]Stat by Mat 2'!$D$7-'[9]Stat by Mat 2'!$D$7</f>
        <v>-2258.7597780274809</v>
      </c>
      <c r="J665" s="14">
        <f>+'[11]Stat by Mat 2'!$D$7-'[10]Stat by Mat 2'!$D$7</f>
        <v>-2599.8328202476841</v>
      </c>
      <c r="K665" s="36">
        <f>+'[12]Stat by Mat 2'!$D$7-'[11]Stat by Mat 2'!$D$7</f>
        <v>4916.4948993867874</v>
      </c>
      <c r="L665" s="14">
        <f>+'[13]Stat by Mat 2'!$D$7-'[12]Stat by Mat 2'!$D$7</f>
        <v>-38.670191473225714</v>
      </c>
      <c r="M665" s="14">
        <f>+'[14]Stat by Mat 2'!$D$7-'[13]Stat by Mat 2'!$D$7</f>
        <v>-5313.0691552429344</v>
      </c>
      <c r="N665" s="39"/>
      <c r="O665" s="14">
        <f>+C665-SUM(C666:C685)</f>
        <v>-1.4097167877480388E-11</v>
      </c>
      <c r="P665" s="14">
        <f t="shared" ref="P665:R665" si="216">+D665-SUM(D666:D685)</f>
        <v>1.6370904631912708E-11</v>
      </c>
      <c r="Q665" s="14">
        <f t="shared" si="216"/>
        <v>-9.0949470177292824E-12</v>
      </c>
      <c r="R665" s="14">
        <f t="shared" si="216"/>
        <v>-7.73070496506989E-12</v>
      </c>
      <c r="S665" s="14">
        <f t="shared" ref="S665" si="217">+G665-SUM(G666:G685)</f>
        <v>8.1854523159563541E-12</v>
      </c>
      <c r="T665" s="14">
        <f t="shared" ref="T665:Z665" si="218">+H665-SUM(H666:H685)</f>
        <v>-2.9558577807620168E-12</v>
      </c>
      <c r="U665" s="14">
        <f t="shared" si="218"/>
        <v>7.73070496506989E-12</v>
      </c>
      <c r="V665" s="14">
        <f t="shared" si="218"/>
        <v>-1.5916157281026244E-11</v>
      </c>
      <c r="W665" s="14">
        <f t="shared" si="218"/>
        <v>1.3642420526593924E-11</v>
      </c>
      <c r="X665" s="14">
        <f t="shared" si="218"/>
        <v>2.7995383788947947E-12</v>
      </c>
      <c r="Y665" s="14">
        <f t="shared" si="218"/>
        <v>0</v>
      </c>
      <c r="Z665" s="14">
        <f t="shared" si="218"/>
        <v>0</v>
      </c>
    </row>
    <row r="666" spans="2:26" hidden="1" outlineLevel="2" x14ac:dyDescent="0.25">
      <c r="B666" s="17" t="s">
        <v>37</v>
      </c>
      <c r="C666" s="14">
        <f>+[1]Result!$H$35-[15]Result!$H$35</f>
        <v>-915.97012096155959</v>
      </c>
      <c r="D666" s="14">
        <f>+[5]Result!$H$35-[1]Result!$H$35</f>
        <v>1185.4207539378694</v>
      </c>
      <c r="E666" s="36">
        <f>+[6]Result!$H$35-[5]Result!$H$35</f>
        <v>-1715.469620831107</v>
      </c>
      <c r="F666" s="14">
        <f>+[7]Result!$H$35-[6]Result!$H$35</f>
        <v>1175.3557528162346</v>
      </c>
      <c r="G666" s="14">
        <f>+[8]Result!$H$35-[7]Result!$H$35</f>
        <v>-1364.7919959990395</v>
      </c>
      <c r="H666" s="36">
        <f>+[9]Result!$H$35-[8]Result!$H$35</f>
        <v>643.23211578524206</v>
      </c>
      <c r="I666" s="14">
        <f>+[10]Result!$H$35-[9]Result!$H$35</f>
        <v>-668.12563730186957</v>
      </c>
      <c r="J666" s="14">
        <f>+[11]Result!$H$35-[10]Result!$H$35</f>
        <v>-749.26590913358086</v>
      </c>
      <c r="K666" s="36">
        <f>+[12]Result!$H$35-[11]Result!$H$35</f>
        <v>725.75390565404086</v>
      </c>
      <c r="L666" s="14">
        <f>+[13]Result!$H$35-[12]Result!$H$35</f>
        <v>-5.1542847183300182</v>
      </c>
      <c r="M666" s="14">
        <f>+[14]Result!$H$35-[13]Result!$H$35</f>
        <v>-1513.1132978158857</v>
      </c>
      <c r="N666" s="39"/>
    </row>
    <row r="667" spans="2:26" hidden="1" outlineLevel="2" x14ac:dyDescent="0.25">
      <c r="B667" s="17" t="s">
        <v>38</v>
      </c>
      <c r="C667" s="14">
        <f>+[1]Result!$H$36-[15]Result!$H$36</f>
        <v>-564.50519368261303</v>
      </c>
      <c r="D667" s="14">
        <f>+[5]Result!$H$36-[1]Result!$H$36</f>
        <v>737.00134812251781</v>
      </c>
      <c r="E667" s="36">
        <f>+[6]Result!$H$36-[5]Result!$H$36</f>
        <v>-1340.6319760921615</v>
      </c>
      <c r="F667" s="14">
        <f>+[7]Result!$H$36-[6]Result!$H$36</f>
        <v>700.96371712808468</v>
      </c>
      <c r="G667" s="14">
        <f>+[8]Result!$H$36-[7]Result!$H$36</f>
        <v>-827.62752831709804</v>
      </c>
      <c r="H667" s="36">
        <f>+[9]Result!$H$36-[8]Result!$H$36</f>
        <v>52.644456194881059</v>
      </c>
      <c r="I667" s="14">
        <f>+[10]Result!$H$36-[9]Result!$H$36</f>
        <v>-396.88965145298425</v>
      </c>
      <c r="J667" s="14">
        <f>+[11]Result!$H$36-[10]Result!$H$36</f>
        <v>-449.3176202537361</v>
      </c>
      <c r="K667" s="36">
        <f>+[12]Result!$H$36-[11]Result!$H$36</f>
        <v>965.62751363110146</v>
      </c>
      <c r="L667" s="14">
        <f>+[13]Result!$H$36-[12]Result!$H$36</f>
        <v>-6.3451537992878002</v>
      </c>
      <c r="M667" s="14">
        <f>+[14]Result!$H$36-[13]Result!$H$36</f>
        <v>-925.74319775406184</v>
      </c>
      <c r="N667" s="39"/>
    </row>
    <row r="668" spans="2:26" hidden="1" outlineLevel="2" x14ac:dyDescent="0.25">
      <c r="B668" s="17" t="s">
        <v>39</v>
      </c>
      <c r="C668" s="14">
        <f>+[1]Result!$H$37-[15]Result!$H$37</f>
        <v>-402.95388173354149</v>
      </c>
      <c r="D668" s="14">
        <f>+[5]Result!$H$37-[1]Result!$H$37</f>
        <v>531.52347072288831</v>
      </c>
      <c r="E668" s="36">
        <f>+[6]Result!$H$37-[5]Result!$H$37</f>
        <v>-885.83691693562287</v>
      </c>
      <c r="F668" s="14">
        <f>+[7]Result!$H$37-[6]Result!$H$37</f>
        <v>493.61467356421781</v>
      </c>
      <c r="G668" s="14">
        <f>+[8]Result!$H$37-[7]Result!$H$37</f>
        <v>-593.59012531315238</v>
      </c>
      <c r="H668" s="36">
        <f>+[9]Result!$H$37-[8]Result!$H$37</f>
        <v>30.58462898270227</v>
      </c>
      <c r="I668" s="14">
        <f>+[10]Result!$H$37-[9]Result!$H$37</f>
        <v>-282.06865388990991</v>
      </c>
      <c r="J668" s="14">
        <f>+[11]Result!$H$37-[10]Result!$H$37</f>
        <v>-325.24280571412237</v>
      </c>
      <c r="K668" s="36">
        <f>+[12]Result!$H$37-[11]Result!$H$37</f>
        <v>1169.3910178190854</v>
      </c>
      <c r="L668" s="14">
        <f>+[13]Result!$H$37-[12]Result!$H$37</f>
        <v>-4.8114577436936088</v>
      </c>
      <c r="M668" s="14">
        <f>+[14]Result!$H$37-[13]Result!$H$37</f>
        <v>-690.06203058070969</v>
      </c>
      <c r="N668" s="39"/>
    </row>
    <row r="669" spans="2:26" hidden="1" outlineLevel="2" x14ac:dyDescent="0.25">
      <c r="B669" s="17" t="s">
        <v>40</v>
      </c>
      <c r="C669" s="14">
        <f>+[1]Result!$H$38-[15]Result!$H$38</f>
        <v>-337.03396929879091</v>
      </c>
      <c r="D669" s="14">
        <f>+[5]Result!$H$38-[1]Result!$H$38</f>
        <v>447.24480527721607</v>
      </c>
      <c r="E669" s="36">
        <f>+[6]Result!$H$38-[5]Result!$H$38</f>
        <v>-652.60616882385148</v>
      </c>
      <c r="F669" s="14">
        <f>+[7]Result!$H$38-[6]Result!$H$38</f>
        <v>413.97433373215972</v>
      </c>
      <c r="G669" s="14">
        <f>+[8]Result!$H$38-[7]Result!$H$38</f>
        <v>-502.26450603695775</v>
      </c>
      <c r="H669" s="36">
        <f>+[9]Result!$H$38-[8]Result!$H$38</f>
        <v>70.267726601636241</v>
      </c>
      <c r="I669" s="14">
        <f>+[10]Result!$H$38-[9]Result!$H$38</f>
        <v>-236.49009084249701</v>
      </c>
      <c r="J669" s="14">
        <f>+[11]Result!$H$38-[10]Result!$H$38</f>
        <v>-277.87341514556465</v>
      </c>
      <c r="K669" s="36">
        <f>+[12]Result!$H$38-[11]Result!$H$38</f>
        <v>588.25092518800011</v>
      </c>
      <c r="L669" s="14">
        <f>+[13]Result!$H$38-[12]Result!$H$38</f>
        <v>-4.0355790885623719</v>
      </c>
      <c r="M669" s="14">
        <f>+[14]Result!$H$38-[13]Result!$H$38</f>
        <v>-568.76293452468235</v>
      </c>
      <c r="N669" s="39"/>
    </row>
    <row r="670" spans="2:26" hidden="1" outlineLevel="2" x14ac:dyDescent="0.25">
      <c r="B670" s="17" t="s">
        <v>41</v>
      </c>
      <c r="C670" s="14">
        <f>+[1]Result!$H$39-[15]Result!$H$39</f>
        <v>-278.03204071817891</v>
      </c>
      <c r="D670" s="14">
        <f>+[5]Result!$H$39-[1]Result!$H$39</f>
        <v>370.68079316481453</v>
      </c>
      <c r="E670" s="36">
        <f>+[6]Result!$H$39-[5]Result!$H$39</f>
        <v>-787.27971648394305</v>
      </c>
      <c r="F670" s="14">
        <f>+[7]Result!$H$39-[6]Result!$H$39</f>
        <v>328.97421759776262</v>
      </c>
      <c r="G670" s="14">
        <f>+[8]Result!$H$39-[7]Result!$H$39</f>
        <v>-401.28720737118783</v>
      </c>
      <c r="H670" s="36">
        <f>+[9]Result!$H$39-[8]Result!$H$39</f>
        <v>-60.100658050931088</v>
      </c>
      <c r="I670" s="14">
        <f>+[10]Result!$H$39-[9]Result!$H$39</f>
        <v>-188.09582713157943</v>
      </c>
      <c r="J670" s="14">
        <f>+[11]Result!$H$39-[10]Result!$H$39</f>
        <v>-220.01448209329465</v>
      </c>
      <c r="K670" s="36">
        <f>+[12]Result!$H$39-[11]Result!$H$39</f>
        <v>271.14818782591465</v>
      </c>
      <c r="L670" s="14">
        <f>+[13]Result!$H$39-[12]Result!$H$39</f>
        <v>-3.1980908296645794</v>
      </c>
      <c r="M670" s="14">
        <f>+[14]Result!$H$39-[13]Result!$H$39</f>
        <v>-441.29962582500957</v>
      </c>
      <c r="N670" s="39"/>
    </row>
    <row r="671" spans="2:26" hidden="1" outlineLevel="2" x14ac:dyDescent="0.25">
      <c r="B671" s="17" t="s">
        <v>42</v>
      </c>
      <c r="C671" s="14">
        <f>+[1]Result!$H$40-[15]Result!$H$40</f>
        <v>-193.32080423799198</v>
      </c>
      <c r="D671" s="14">
        <f>+[5]Result!$H$40-[1]Result!$H$40</f>
        <v>258.99927513782313</v>
      </c>
      <c r="E671" s="36">
        <f>+[6]Result!$H$40-[5]Result!$H$40</f>
        <v>-490.53646268892589</v>
      </c>
      <c r="F671" s="14">
        <f>+[7]Result!$H$40-[6]Result!$H$40</f>
        <v>226.68423154913944</v>
      </c>
      <c r="G671" s="14">
        <f>+[8]Result!$H$40-[7]Result!$H$40</f>
        <v>-279.53881503124103</v>
      </c>
      <c r="H671" s="36">
        <f>+[9]Result!$H$40-[8]Result!$H$40</f>
        <v>41.145109250925088</v>
      </c>
      <c r="I671" s="14">
        <f>+[10]Result!$H$40-[9]Result!$H$40</f>
        <v>-133.73109802836734</v>
      </c>
      <c r="J671" s="14">
        <f>+[11]Result!$H$40-[10]Result!$H$40</f>
        <v>-155.71985994602983</v>
      </c>
      <c r="K671" s="36">
        <f>+[12]Result!$H$40-[11]Result!$H$40</f>
        <v>385.97665251070066</v>
      </c>
      <c r="L671" s="14">
        <f>+[13]Result!$H$40-[12]Result!$H$40</f>
        <v>-3.583502099794714</v>
      </c>
      <c r="M671" s="14">
        <f>+[14]Result!$H$40-[13]Result!$H$40</f>
        <v>-321.56200796201665</v>
      </c>
      <c r="N671" s="39"/>
    </row>
    <row r="672" spans="2:26" hidden="1" outlineLevel="2" x14ac:dyDescent="0.25">
      <c r="B672" s="17" t="s">
        <v>43</v>
      </c>
      <c r="C672" s="14">
        <f>+[1]Result!$H$41-[15]Result!$H$41</f>
        <v>-142.26987574846316</v>
      </c>
      <c r="D672" s="14">
        <f>+[5]Result!$H$41-[1]Result!$H$41</f>
        <v>190.59859125825642</v>
      </c>
      <c r="E672" s="36">
        <f>+[6]Result!$H$41-[5]Result!$H$41</f>
        <v>-278.88746168031867</v>
      </c>
      <c r="F672" s="14">
        <f>+[7]Result!$H$41-[6]Result!$H$41</f>
        <v>167.39180851855599</v>
      </c>
      <c r="G672" s="14">
        <f>+[8]Result!$H$41-[7]Result!$H$41</f>
        <v>-208.5835811885263</v>
      </c>
      <c r="H672" s="36">
        <f>+[9]Result!$H$41-[8]Result!$H$41</f>
        <v>81.673952742594338</v>
      </c>
      <c r="I672" s="14">
        <f>+[10]Result!$H$41-[9]Result!$H$41</f>
        <v>-100.32236729875694</v>
      </c>
      <c r="J672" s="14">
        <f>+[11]Result!$H$41-[10]Result!$H$41</f>
        <v>-118.18864669195136</v>
      </c>
      <c r="K672" s="36">
        <f>+[12]Result!$H$41-[11]Result!$H$41</f>
        <v>451.82310019517172</v>
      </c>
      <c r="L672" s="14">
        <f>+[13]Result!$H$41-[12]Result!$H$41</f>
        <v>-2.8308410196186742</v>
      </c>
      <c r="M672" s="14">
        <f>+[14]Result!$H$41-[13]Result!$H$41</f>
        <v>-250.93011043412116</v>
      </c>
      <c r="N672" s="39"/>
    </row>
    <row r="673" spans="2:26" hidden="1" outlineLevel="2" x14ac:dyDescent="0.25">
      <c r="B673" s="17" t="s">
        <v>44</v>
      </c>
      <c r="C673" s="14">
        <f>+[1]Result!$H$42-[15]Result!$H$42</f>
        <v>-110.9829419382404</v>
      </c>
      <c r="D673" s="14">
        <f>+[5]Result!$H$42-[1]Result!$H$42</f>
        <v>148.69637570426312</v>
      </c>
      <c r="E673" s="36">
        <f>+[6]Result!$H$42-[5]Result!$H$42</f>
        <v>-112.54797421841795</v>
      </c>
      <c r="F673" s="14">
        <f>+[7]Result!$H$42-[6]Result!$H$42</f>
        <v>133.08840338309528</v>
      </c>
      <c r="G673" s="14">
        <f>+[8]Result!$H$42-[7]Result!$H$42</f>
        <v>-166.75433650403829</v>
      </c>
      <c r="H673" s="36">
        <f>+[9]Result!$H$42-[8]Result!$H$42</f>
        <v>129.2163507268815</v>
      </c>
      <c r="I673" s="14">
        <f>+[10]Result!$H$42-[9]Result!$H$42</f>
        <v>-81.087547214126971</v>
      </c>
      <c r="J673" s="14">
        <f>+[11]Result!$H$42-[10]Result!$H$42</f>
        <v>-96.684211373780272</v>
      </c>
      <c r="K673" s="36">
        <f>+[12]Result!$H$42-[11]Result!$H$42</f>
        <v>485.96123894619632</v>
      </c>
      <c r="L673" s="14">
        <f>+[13]Result!$H$42-[12]Result!$H$42</f>
        <v>-2.4308995318515372</v>
      </c>
      <c r="M673" s="14">
        <f>+[14]Result!$H$42-[13]Result!$H$42</f>
        <v>-210.29029346997049</v>
      </c>
      <c r="N673" s="39"/>
    </row>
    <row r="674" spans="2:26" hidden="1" outlineLevel="2" x14ac:dyDescent="0.25">
      <c r="B674" s="17" t="s">
        <v>45</v>
      </c>
      <c r="C674" s="14">
        <f>+[1]Result!$H$43-[15]Result!$H$43</f>
        <v>-101.02979553875321</v>
      </c>
      <c r="D674" s="14">
        <f>+[5]Result!$H$43-[1]Result!$H$43</f>
        <v>135.35667317022398</v>
      </c>
      <c r="E674" s="36">
        <f>+[6]Result!$H$43-[5]Result!$H$43</f>
        <v>-79.122191136681067</v>
      </c>
      <c r="F674" s="14">
        <f>+[7]Result!$H$43-[6]Result!$H$43</f>
        <v>121.63768930824153</v>
      </c>
      <c r="G674" s="14">
        <f>+[8]Result!$H$43-[7]Result!$H$43</f>
        <v>-153.10953139559479</v>
      </c>
      <c r="H674" s="36">
        <f>+[9]Result!$H$43-[8]Result!$H$43</f>
        <v>56.824811772165958</v>
      </c>
      <c r="I674" s="14">
        <f>+[10]Result!$H$43-[9]Result!$H$43</f>
        <v>-73.169359644454744</v>
      </c>
      <c r="J674" s="14">
        <f>+[11]Result!$H$43-[10]Result!$H$43</f>
        <v>-87.52043466149189</v>
      </c>
      <c r="K674" s="36">
        <f>+[12]Result!$H$43-[11]Result!$H$43</f>
        <v>138.81617390539577</v>
      </c>
      <c r="L674" s="14">
        <f>+[13]Result!$H$43-[12]Result!$H$43</f>
        <v>-2.7439121107472602</v>
      </c>
      <c r="M674" s="14">
        <f>+[14]Result!$H$43-[13]Result!$H$43</f>
        <v>-174.46405235879047</v>
      </c>
      <c r="N674" s="39"/>
    </row>
    <row r="675" spans="2:26" hidden="1" outlineLevel="2" x14ac:dyDescent="0.25">
      <c r="B675" s="17" t="s">
        <v>46</v>
      </c>
      <c r="C675" s="14">
        <f>+[1]Result!$H$44-[15]Result!$H$44</f>
        <v>-82.304715703645343</v>
      </c>
      <c r="D675" s="14">
        <f>+[5]Result!$H$44-[1]Result!$H$44</f>
        <v>110.27693698043822</v>
      </c>
      <c r="E675" s="36">
        <f>+[6]Result!$H$44-[5]Result!$H$44</f>
        <v>-323.11420648691728</v>
      </c>
      <c r="F675" s="14">
        <f>+[7]Result!$H$44-[6]Result!$H$44</f>
        <v>90.070619668133077</v>
      </c>
      <c r="G675" s="14">
        <f>+[8]Result!$H$44-[7]Result!$H$44</f>
        <v>-113.92009282065919</v>
      </c>
      <c r="H675" s="36">
        <f>+[9]Result!$H$44-[8]Result!$H$44</f>
        <v>94.600453427413413</v>
      </c>
      <c r="I675" s="14">
        <f>+[10]Result!$H$44-[9]Result!$H$44</f>
        <v>-54.948277455335301</v>
      </c>
      <c r="J675" s="14">
        <f>+[11]Result!$H$44-[10]Result!$H$44</f>
        <v>-66.58877240754191</v>
      </c>
      <c r="K675" s="36">
        <f>+[12]Result!$H$44-[11]Result!$H$44</f>
        <v>-154.32413376384011</v>
      </c>
      <c r="L675" s="14">
        <f>+[13]Result!$H$44-[12]Result!$H$44</f>
        <v>-1.9171694480573933</v>
      </c>
      <c r="M675" s="14">
        <f>+[14]Result!$H$44-[13]Result!$H$44</f>
        <v>-119.55012472449835</v>
      </c>
      <c r="N675" s="39"/>
    </row>
    <row r="676" spans="2:26" hidden="1" outlineLevel="2" x14ac:dyDescent="0.25">
      <c r="B676" s="17" t="s">
        <v>47</v>
      </c>
      <c r="C676" s="14">
        <f>+[1]Result!$H$45-[15]Result!$H$45</f>
        <v>-33.357530490768568</v>
      </c>
      <c r="D676" s="14">
        <f>+[5]Result!$H$45-[1]Result!$H$45</f>
        <v>45.018892916835284</v>
      </c>
      <c r="E676" s="36">
        <f>+[6]Result!$H$45-[5]Result!$H$45</f>
        <v>-110.20719194415824</v>
      </c>
      <c r="F676" s="14">
        <f>+[7]Result!$H$45-[6]Result!$H$45</f>
        <v>37.16424979282192</v>
      </c>
      <c r="G676" s="14">
        <f>+[8]Result!$H$45-[7]Result!$H$45</f>
        <v>-47.303335311383307</v>
      </c>
      <c r="H676" s="36">
        <f>+[9]Result!$H$45-[8]Result!$H$45</f>
        <v>44.722383169935256</v>
      </c>
      <c r="I676" s="14">
        <f>+[10]Result!$H$45-[9]Result!$H$45</f>
        <v>-22.79689467081198</v>
      </c>
      <c r="J676" s="14">
        <f>+[11]Result!$H$45-[10]Result!$H$45</f>
        <v>-27.783648777673534</v>
      </c>
      <c r="K676" s="36">
        <f>+[12]Result!$H$45-[11]Result!$H$45</f>
        <v>-67.327269718133266</v>
      </c>
      <c r="L676" s="14">
        <f>+[13]Result!$H$45-[12]Result!$H$45</f>
        <v>-0.81660040034103076</v>
      </c>
      <c r="M676" s="14">
        <f>+[14]Result!$H$45-[13]Result!$H$45</f>
        <v>-50.115002343836977</v>
      </c>
      <c r="N676" s="39"/>
    </row>
    <row r="677" spans="2:26" hidden="1" outlineLevel="2" x14ac:dyDescent="0.25">
      <c r="B677" s="17" t="s">
        <v>48</v>
      </c>
      <c r="C677" s="14">
        <f>+[1]Result!$H$46-[15]Result!$H$46</f>
        <v>-13.894982076528095</v>
      </c>
      <c r="D677" s="14">
        <f>+[5]Result!$H$46-[1]Result!$H$46</f>
        <v>18.859308991899752</v>
      </c>
      <c r="E677" s="36">
        <f>+[6]Result!$H$46-[5]Result!$H$46</f>
        <v>-39.185894320342641</v>
      </c>
      <c r="F677" s="14">
        <f>+[7]Result!$H$46-[6]Result!$H$46</f>
        <v>15.664639837346044</v>
      </c>
      <c r="G677" s="14">
        <f>+[8]Result!$H$46-[7]Result!$H$46</f>
        <v>-19.948404220130328</v>
      </c>
      <c r="H677" s="36">
        <f>+[9]Result!$H$46-[8]Result!$H$46</f>
        <v>19.21400280642456</v>
      </c>
      <c r="I677" s="14">
        <f>+[10]Result!$H$46-[9]Result!$H$46</f>
        <v>-9.6589232302846995</v>
      </c>
      <c r="J677" s="14">
        <f>+[11]Result!$H$46-[10]Result!$H$46</f>
        <v>-11.723944012666607</v>
      </c>
      <c r="K677" s="36">
        <f>+[12]Result!$H$46-[11]Result!$H$46</f>
        <v>-22.561900078352664</v>
      </c>
      <c r="L677" s="14">
        <f>+[13]Result!$H$46-[12]Result!$H$46</f>
        <v>-0.35777478237196192</v>
      </c>
      <c r="M677" s="14">
        <f>+[14]Result!$H$46-[13]Result!$H$46</f>
        <v>-21.518801613126016</v>
      </c>
      <c r="N677" s="39"/>
    </row>
    <row r="678" spans="2:26" hidden="1" outlineLevel="2" x14ac:dyDescent="0.25">
      <c r="B678" s="17" t="s">
        <v>49</v>
      </c>
      <c r="C678" s="14">
        <f>+[1]Result!$H$47-[15]Result!$H$47</f>
        <v>-7.1578013810970447</v>
      </c>
      <c r="D678" s="14">
        <f>+[5]Result!$H$47-[1]Result!$H$47</f>
        <v>9.6989450542378677</v>
      </c>
      <c r="E678" s="36">
        <f>+[6]Result!$H$47-[5]Result!$H$47</f>
        <v>-15.631218022286873</v>
      </c>
      <c r="F678" s="14">
        <f>+[7]Result!$H$47-[6]Result!$H$47</f>
        <v>8.1865487727846471</v>
      </c>
      <c r="G678" s="14">
        <f>+[8]Result!$H$47-[7]Result!$H$47</f>
        <v>-10.417306977697194</v>
      </c>
      <c r="H678" s="36">
        <f>+[9]Result!$H$47-[8]Result!$H$47</f>
        <v>7.5770873491677548</v>
      </c>
      <c r="I678" s="14">
        <f>+[10]Result!$H$47-[9]Result!$H$47</f>
        <v>-4.9908067038945774</v>
      </c>
      <c r="J678" s="14">
        <f>+[11]Result!$H$47-[10]Result!$H$47</f>
        <v>-6.0815402053523258</v>
      </c>
      <c r="K678" s="36">
        <f>+[12]Result!$H$47-[11]Result!$H$47</f>
        <v>-9.0687070109560182</v>
      </c>
      <c r="L678" s="14">
        <f>+[13]Result!$H$47-[12]Result!$H$47</f>
        <v>-0.19078299054490344</v>
      </c>
      <c r="M678" s="14">
        <f>+[14]Result!$H$47-[13]Result!$H$47</f>
        <v>-11.242096842401736</v>
      </c>
      <c r="N678" s="39"/>
    </row>
    <row r="679" spans="2:26" hidden="1" outlineLevel="2" x14ac:dyDescent="0.25">
      <c r="B679" s="17" t="s">
        <v>50</v>
      </c>
      <c r="C679" s="14">
        <f>+[1]Result!$H$48-[15]Result!$H$48</f>
        <v>-4.3083191713114957</v>
      </c>
      <c r="D679" s="14">
        <f>+[5]Result!$H$48-[1]Result!$H$48</f>
        <v>5.8395310066472348</v>
      </c>
      <c r="E679" s="36">
        <f>+[6]Result!$H$48-[5]Result!$H$48</f>
        <v>-11.050202434091148</v>
      </c>
      <c r="F679" s="14">
        <f>+[7]Result!$H$48-[6]Result!$H$48</f>
        <v>4.8244394883142832</v>
      </c>
      <c r="G679" s="14">
        <f>+[8]Result!$H$48-[7]Result!$H$48</f>
        <v>-6.1821396906901214</v>
      </c>
      <c r="H679" s="36">
        <f>+[9]Result!$H$48-[8]Result!$H$48</f>
        <v>3.2113369466601398</v>
      </c>
      <c r="I679" s="14">
        <f>+[10]Result!$H$48-[9]Result!$H$48</f>
        <v>-2.9484114270443911</v>
      </c>
      <c r="J679" s="14">
        <f>+[11]Result!$H$48-[10]Result!$H$48</f>
        <v>-3.6074731915517759</v>
      </c>
      <c r="K679" s="36">
        <f>+[12]Result!$H$48-[11]Result!$H$48</f>
        <v>-5.415397474548115</v>
      </c>
      <c r="L679" s="14">
        <f>+[13]Result!$H$48-[12]Result!$H$48</f>
        <v>-0.1150025324584476</v>
      </c>
      <c r="M679" s="14">
        <f>+[14]Result!$H$48-[13]Result!$H$48</f>
        <v>-6.6636516471460538</v>
      </c>
      <c r="N679" s="39"/>
    </row>
    <row r="680" spans="2:26" hidden="1" outlineLevel="2" x14ac:dyDescent="0.25">
      <c r="B680" s="17" t="s">
        <v>51</v>
      </c>
      <c r="C680" s="14">
        <f>+[1]Result!$H$49-[15]Result!$H$49</f>
        <v>-2.4253542125675835</v>
      </c>
      <c r="D680" s="14">
        <f>+[5]Result!$H$49-[1]Result!$H$49</f>
        <v>3.2880912074064668</v>
      </c>
      <c r="E680" s="36">
        <f>+[6]Result!$H$49-[5]Result!$H$49</f>
        <v>-5.2835305204798999</v>
      </c>
      <c r="F680" s="14">
        <f>+[7]Result!$H$49-[6]Result!$H$49</f>
        <v>2.7377737647897789</v>
      </c>
      <c r="G680" s="14">
        <f>+[8]Result!$H$49-[7]Result!$H$49</f>
        <v>-3.5108932908897827</v>
      </c>
      <c r="H680" s="36">
        <f>+[9]Result!$H$49-[8]Result!$H$49</f>
        <v>2.4264125374871526</v>
      </c>
      <c r="I680" s="14">
        <f>+[10]Result!$H$49-[9]Result!$H$49</f>
        <v>-1.6940671774536611</v>
      </c>
      <c r="J680" s="14">
        <f>+[11]Result!$H$49-[10]Result!$H$49</f>
        <v>-2.0639643709447739</v>
      </c>
      <c r="K680" s="36">
        <f>+[12]Result!$H$49-[11]Result!$H$49</f>
        <v>-2.9034594216524283</v>
      </c>
      <c r="L680" s="14">
        <f>+[13]Result!$H$49-[12]Result!$H$49</f>
        <v>-6.7683769221844159E-2</v>
      </c>
      <c r="M680" s="14">
        <f>+[14]Result!$H$49-[13]Result!$H$49</f>
        <v>-3.8393127742126012</v>
      </c>
      <c r="N680" s="39"/>
    </row>
    <row r="681" spans="2:26" hidden="1" outlineLevel="2" x14ac:dyDescent="0.25">
      <c r="B681" s="17" t="s">
        <v>52</v>
      </c>
      <c r="C681" s="14">
        <f>+[1]Result!$H$50-[15]Result!$H$50</f>
        <v>-1.3502141518874708</v>
      </c>
      <c r="D681" s="14">
        <f>+[5]Result!$H$50-[1]Result!$H$50</f>
        <v>1.8273055826787328</v>
      </c>
      <c r="E681" s="36">
        <f>+[6]Result!$H$50-[5]Result!$H$50</f>
        <v>-3.0707174506034676</v>
      </c>
      <c r="F681" s="14">
        <f>+[7]Result!$H$50-[6]Result!$H$50</f>
        <v>1.5122165925232167</v>
      </c>
      <c r="G681" s="14">
        <f>+[8]Result!$H$50-[7]Result!$H$50</f>
        <v>-1.9379371280291764</v>
      </c>
      <c r="H681" s="36">
        <f>+[9]Result!$H$50-[8]Result!$H$50</f>
        <v>1.3929625142188229</v>
      </c>
      <c r="I681" s="14">
        <f>+[10]Result!$H$50-[9]Result!$H$50</f>
        <v>-0.92535903361144278</v>
      </c>
      <c r="J681" s="14">
        <f>+[11]Result!$H$50-[10]Result!$H$50</f>
        <v>-1.1451005660097024</v>
      </c>
      <c r="K681" s="36">
        <f>+[12]Result!$H$50-[11]Result!$H$50</f>
        <v>-2.0417582877547602</v>
      </c>
      <c r="L681" s="14">
        <f>+[13]Result!$H$50-[12]Result!$H$50</f>
        <v>-3.781173032960794E-2</v>
      </c>
      <c r="M681" s="14">
        <f>+[14]Result!$H$50-[13]Result!$H$50</f>
        <v>-2.0988626935527179</v>
      </c>
      <c r="N681" s="39"/>
    </row>
    <row r="682" spans="2:26" hidden="1" outlineLevel="2" x14ac:dyDescent="0.25">
      <c r="B682" s="17" t="s">
        <v>53</v>
      </c>
      <c r="C682" s="14">
        <f>+[1]Result!$H$51-[15]Result!$H$51</f>
        <v>-0.70705197159207955</v>
      </c>
      <c r="D682" s="14">
        <f>+[5]Result!$H$51-[1]Result!$H$51</f>
        <v>0.9570878092965529</v>
      </c>
      <c r="E682" s="36">
        <f>+[6]Result!$H$51-[5]Result!$H$51</f>
        <v>-1.5555116354630698</v>
      </c>
      <c r="F682" s="14">
        <f>+[7]Result!$H$51-[6]Result!$H$51</f>
        <v>0.7962966396225184</v>
      </c>
      <c r="G682" s="14">
        <f>+[8]Result!$H$51-[7]Result!$H$51</f>
        <v>-1.0251442858579694</v>
      </c>
      <c r="H682" s="36">
        <f>+[9]Result!$H$51-[8]Result!$H$51</f>
        <v>1.0027937305314367</v>
      </c>
      <c r="I682" s="14">
        <f>+[10]Result!$H$51-[9]Result!$H$51</f>
        <v>-0.49177903438126691</v>
      </c>
      <c r="J682" s="14">
        <f>+[11]Result!$H$51-[10]Result!$H$51</f>
        <v>-0.61137959788338492</v>
      </c>
      <c r="K682" s="36">
        <f>+[12]Result!$H$51-[11]Result!$H$51</f>
        <v>-1.4284901727844428</v>
      </c>
      <c r="L682" s="14">
        <f>+[13]Result!$H$51-[12]Result!$H$51</f>
        <v>-2.0234563117220716E-2</v>
      </c>
      <c r="M682" s="14">
        <f>+[14]Result!$H$51-[13]Result!$H$51</f>
        <v>-1.1033849720659745</v>
      </c>
      <c r="N682" s="39"/>
    </row>
    <row r="683" spans="2:26" hidden="1" outlineLevel="2" x14ac:dyDescent="0.25">
      <c r="B683" s="17" t="s">
        <v>54</v>
      </c>
      <c r="C683" s="14">
        <f>+[1]Result!$H$52-[15]Result!$H$52</f>
        <v>-0.32201323376088808</v>
      </c>
      <c r="D683" s="14">
        <f>+[5]Result!$H$52-[1]Result!$H$52</f>
        <v>0.43599264127897897</v>
      </c>
      <c r="E683" s="36">
        <f>+[6]Result!$H$52-[5]Result!$H$52</f>
        <v>-1.0564014643651625</v>
      </c>
      <c r="F683" s="14">
        <f>+[7]Result!$H$52-[6]Result!$H$52</f>
        <v>0.35483601647219842</v>
      </c>
      <c r="G683" s="14">
        <f>+[8]Result!$H$52-[7]Result!$H$52</f>
        <v>-0.45578119124986571</v>
      </c>
      <c r="H683" s="36">
        <f>+[9]Result!$H$52-[8]Result!$H$52</f>
        <v>0.78488954899274432</v>
      </c>
      <c r="I683" s="14">
        <f>+[10]Result!$H$52-[9]Result!$H$52</f>
        <v>-0.22657028489938824</v>
      </c>
      <c r="J683" s="14">
        <f>+[11]Result!$H$52-[10]Result!$H$52</f>
        <v>-0.27729295671214871</v>
      </c>
      <c r="K683" s="36">
        <f>+[12]Result!$H$52-[11]Result!$H$52</f>
        <v>-0.75502170243071376</v>
      </c>
      <c r="L683" s="14">
        <f>+[13]Result!$H$52-[12]Result!$H$52</f>
        <v>-9.3339799887637298E-3</v>
      </c>
      <c r="M683" s="14">
        <f>+[14]Result!$H$52-[13]Result!$H$52</f>
        <v>-0.49763826472736383</v>
      </c>
      <c r="N683" s="39"/>
    </row>
    <row r="684" spans="2:26" hidden="1" outlineLevel="2" x14ac:dyDescent="0.25">
      <c r="B684" s="17" t="s">
        <v>55</v>
      </c>
      <c r="C684" s="14">
        <f>+[1]Result!$H$53-[15]Result!$H$53</f>
        <v>-0.12052070485732358</v>
      </c>
      <c r="D684" s="14">
        <f>+[5]Result!$H$53-[1]Result!$H$53</f>
        <v>0.16286309113334418</v>
      </c>
      <c r="E684" s="36">
        <f>+[6]Result!$H$53-[5]Result!$H$53</f>
        <v>-0.49602323358886657</v>
      </c>
      <c r="F684" s="14">
        <f>+[7]Result!$H$53-[6]Result!$H$53</f>
        <v>0.12873257660326676</v>
      </c>
      <c r="G684" s="14">
        <f>+[8]Result!$H$53-[7]Result!$H$53</f>
        <v>-0.16524295323649874</v>
      </c>
      <c r="H684" s="36">
        <f>+[9]Result!$H$53-[8]Result!$H$53</f>
        <v>9.6482191632943248E-2</v>
      </c>
      <c r="I684" s="14">
        <f>+[10]Result!$H$53-[9]Result!$H$53</f>
        <v>-7.8270100028308143E-2</v>
      </c>
      <c r="J684" s="14">
        <f>+[11]Result!$H$53-[10]Result!$H$53</f>
        <v>-9.713835957129735E-2</v>
      </c>
      <c r="K684" s="36">
        <f>+[12]Result!$H$53-[11]Result!$H$53</f>
        <v>-0.33337935703936328</v>
      </c>
      <c r="L684" s="14">
        <f>+[13]Result!$H$53-[12]Result!$H$53</f>
        <v>-3.2308046949962588E-3</v>
      </c>
      <c r="M684" s="14">
        <f>+[14]Result!$H$53-[13]Result!$H$53</f>
        <v>-0.16909849011394407</v>
      </c>
      <c r="N684" s="39"/>
    </row>
    <row r="685" spans="2:26" hidden="1" outlineLevel="2" x14ac:dyDescent="0.25">
      <c r="B685" s="17" t="s">
        <v>56</v>
      </c>
      <c r="C685" s="14">
        <f>+[1]Result!$H$54-[15]Result!$H$54</f>
        <v>-3.1807259995519699E-2</v>
      </c>
      <c r="D685" s="14">
        <f>+[5]Result!$H$54-[1]Result!$H$54</f>
        <v>4.2896489753329048E-2</v>
      </c>
      <c r="E685" s="36">
        <f>+[6]Result!$H$54-[5]Result!$H$54</f>
        <v>-0.19763732616063789</v>
      </c>
      <c r="F685" s="14">
        <f>+[7]Result!$H$54-[6]Result!$H$54</f>
        <v>3.1314342063627709E-2</v>
      </c>
      <c r="G685" s="14">
        <f>+[8]Result!$H$54-[7]Result!$H$54</f>
        <v>-4.0461227895989493E-2</v>
      </c>
      <c r="H685" s="36">
        <f>+[9]Result!$H$54-[8]Result!$H$54</f>
        <v>7.5521209116659049E-2</v>
      </c>
      <c r="I685" s="14">
        <f>+[10]Result!$H$54-[9]Result!$H$54</f>
        <v>-2.018610519747277E-2</v>
      </c>
      <c r="J685" s="14">
        <f>+[11]Result!$H$54-[10]Result!$H$54</f>
        <v>-2.5180788209275828E-2</v>
      </c>
      <c r="K685" s="36">
        <f>+[12]Result!$H$54-[11]Result!$H$54</f>
        <v>-9.4299301341345787E-2</v>
      </c>
      <c r="L685" s="14">
        <f>+[13]Result!$H$54-[12]Result!$H$54</f>
        <v>-8.4553055178915315E-4</v>
      </c>
      <c r="M685" s="14">
        <f>+[14]Result!$H$54-[13]Result!$H$54</f>
        <v>-4.363015201056375E-2</v>
      </c>
      <c r="N685" s="39"/>
    </row>
    <row r="686" spans="2:26" collapsed="1" x14ac:dyDescent="0.25">
      <c r="B686" s="13" t="s">
        <v>94</v>
      </c>
      <c r="C686" s="14" cm="1">
        <f t="array" ref="C686">[1]!DELTA1PERC-[15]!DELTA1PERC</f>
        <v>1514.6064803682966</v>
      </c>
      <c r="D686" s="14" cm="1">
        <f t="array" ref="D686">[5]!DELTA1PERC-[1]!DELTA1PERC</f>
        <v>-2243.3842031371314</v>
      </c>
      <c r="E686" s="36" cm="1">
        <f t="array" ref="E686">[6]!DELTA1PERC-[5]!DELTA1PERC</f>
        <v>7521.4261045776657</v>
      </c>
      <c r="F686" s="14" cm="1">
        <f t="array" ref="F686">[7]!DELTA1PERC-[6]!DELTA1PERC</f>
        <v>-4908.7075974816689</v>
      </c>
      <c r="G686" s="14" cm="1">
        <f t="array" ref="G686">[8]!DELTA1PERC-[7]!DELTA1PERC</f>
        <v>2065.1541530789691</v>
      </c>
      <c r="H686" s="36" cm="1">
        <f t="array" ref="H686">[9]!DELTA1PERC-[8]!DELTA1PERC</f>
        <v>2767.3001527388697</v>
      </c>
      <c r="I686" s="14" cm="1">
        <f t="array" ref="I686">[10]!DELTA1PERC-[9]!DELTA1PERC</f>
        <v>1731.8395978842746</v>
      </c>
      <c r="J686" s="14" cm="1">
        <f t="array" ref="J686">[11]!DELTA1PERC-[10]!DELTA1PERC</f>
        <v>190.84430397729739</v>
      </c>
      <c r="K686" s="36" cm="1">
        <f t="array" ref="K686">[12]!DELTA1PERC-[11]!DELTA1PERC</f>
        <v>-5198.4687038343109</v>
      </c>
      <c r="L686" s="14" cm="1">
        <f t="array" ref="L686">[13]!DELTA1PERC-[12]!DELTA1PERC</f>
        <v>-600.03009099746123</v>
      </c>
      <c r="M686" s="14" cm="1">
        <f t="array" ref="M686">[14]!DELTA1PERC-[13]!DELTA1PERC</f>
        <v>2561.1284477172012</v>
      </c>
      <c r="N686" s="39"/>
      <c r="O686" s="14">
        <f>+SUM(C687:C691)-C686</f>
        <v>-3.8426151149906218E-11</v>
      </c>
      <c r="P686" s="14">
        <f t="shared" ref="P686:R686" si="219">+SUM(D687:D691)-D686</f>
        <v>-7.0031092036515474E-11</v>
      </c>
      <c r="Q686" s="14">
        <f t="shared" si="219"/>
        <v>6.9121597334742546E-11</v>
      </c>
      <c r="R686" s="14">
        <f t="shared" si="219"/>
        <v>-1.546140993013978E-11</v>
      </c>
      <c r="S686" s="14">
        <f t="shared" ref="S686" si="220">+SUM(G687:G691)-G686</f>
        <v>-9.0949470177292824E-12</v>
      </c>
      <c r="T686" s="14">
        <f t="shared" ref="T686:Z686" si="221">+SUM(H687:H691)-H686</f>
        <v>2.2282620193436742E-11</v>
      </c>
      <c r="U686" s="14">
        <f t="shared" si="221"/>
        <v>-2.8194335754960775E-11</v>
      </c>
      <c r="V686" s="14">
        <f t="shared" si="221"/>
        <v>5.9799276641570032E-11</v>
      </c>
      <c r="W686" s="14">
        <f t="shared" si="221"/>
        <v>-2.3646862246096134E-11</v>
      </c>
      <c r="X686" s="14">
        <f t="shared" si="221"/>
        <v>5.9799276641570032E-11</v>
      </c>
      <c r="Y686" s="14">
        <f t="shared" si="221"/>
        <v>-1.0459189070388675E-10</v>
      </c>
      <c r="Z686" s="14">
        <f t="shared" si="221"/>
        <v>0</v>
      </c>
    </row>
    <row r="687" spans="2:26" hidden="1" outlineLevel="1" x14ac:dyDescent="0.25">
      <c r="B687" s="16" t="s">
        <v>2</v>
      </c>
      <c r="C687" s="14">
        <f>+'[1]Stat by Mat 2'!$J$3-'[15]Stat by Mat 2'!$J$3</f>
        <v>237.2865317218675</v>
      </c>
      <c r="D687" s="14">
        <f>+'[5]Stat by Mat 2'!$J$3-'[1]Stat by Mat 2'!$J$3</f>
        <v>-476.62717761124077</v>
      </c>
      <c r="E687" s="36">
        <f>+'[6]Stat by Mat 2'!$J$3-'[5]Stat by Mat 2'!$J$3</f>
        <v>-5998.0440228485968</v>
      </c>
      <c r="F687" s="14">
        <f>+'[7]Stat by Mat 2'!$J$3-'[6]Stat by Mat 2'!$J$3</f>
        <v>-1102.8407508765085</v>
      </c>
      <c r="G687" s="14">
        <f>+'[8]Stat by Mat 2'!$J$3-'[7]Stat by Mat 2'!$J$3</f>
        <v>213.6039087093377</v>
      </c>
      <c r="H687" s="36">
        <f>+'[9]Stat by Mat 2'!$J$3-'[8]Stat by Mat 2'!$J$3</f>
        <v>1207.4119058581273</v>
      </c>
      <c r="I687" s="14">
        <f>+'[10]Stat by Mat 2'!$J$3-'[9]Stat by Mat 2'!$J$3</f>
        <v>357.55858627551061</v>
      </c>
      <c r="J687" s="14">
        <f>+'[11]Stat by Mat 2'!$J$3-'[10]Stat by Mat 2'!$J$3</f>
        <v>-166.59875991944864</v>
      </c>
      <c r="K687" s="36">
        <f>+'[12]Stat by Mat 2'!$J$3-'[11]Stat by Mat 2'!$J$3</f>
        <v>-3543.831989275961</v>
      </c>
      <c r="L687" s="14">
        <f>+'[13]Stat by Mat 2'!$J$3-'[12]Stat by Mat 2'!$J$3</f>
        <v>-136.07888591295341</v>
      </c>
      <c r="M687" s="14">
        <f>+'[14]Stat by Mat 2'!$J$3-'[13]Stat by Mat 2'!$J$3</f>
        <v>199.30285789849586</v>
      </c>
      <c r="N687" s="39"/>
    </row>
    <row r="688" spans="2:26" hidden="1" outlineLevel="1" x14ac:dyDescent="0.25">
      <c r="B688" s="16" t="s">
        <v>8</v>
      </c>
      <c r="C688" s="14">
        <f>+'[1]Stat by Mat 2'!$J$4-'[15]Stat by Mat 2'!$J$4</f>
        <v>297.25232756309561</v>
      </c>
      <c r="D688" s="14">
        <f>+'[5]Stat by Mat 2'!$J$4-'[1]Stat by Mat 2'!$J$4</f>
        <v>-627.49056925839977</v>
      </c>
      <c r="E688" s="36">
        <f>+'[6]Stat by Mat 2'!$J$4-'[5]Stat by Mat 2'!$J$4</f>
        <v>3401.7095644082874</v>
      </c>
      <c r="F688" s="14">
        <f>+'[7]Stat by Mat 2'!$J$4-'[6]Stat by Mat 2'!$J$4</f>
        <v>-1417.892789134974</v>
      </c>
      <c r="G688" s="14">
        <f>+'[8]Stat by Mat 2'!$J$4-'[7]Stat by Mat 2'!$J$4</f>
        <v>401.02411809437035</v>
      </c>
      <c r="H688" s="36">
        <f>+'[9]Stat by Mat 2'!$J$4-'[8]Stat by Mat 2'!$J$4</f>
        <v>6.4479005662287818</v>
      </c>
      <c r="I688" s="14">
        <f>+'[10]Stat by Mat 2'!$J$4-'[9]Stat by Mat 2'!$J$4</f>
        <v>453.46742543282744</v>
      </c>
      <c r="J688" s="14">
        <f>+'[11]Stat by Mat 2'!$J$4-'[10]Stat by Mat 2'!$J$4</f>
        <v>-161.34522311213368</v>
      </c>
      <c r="K688" s="36">
        <f>+'[12]Stat by Mat 2'!$J$4-'[11]Stat by Mat 2'!$J$4</f>
        <v>-45.459678997009178</v>
      </c>
      <c r="L688" s="14">
        <f>+'[13]Stat by Mat 2'!$J$4-'[12]Stat by Mat 2'!$J$4</f>
        <v>-245.58880445609975</v>
      </c>
      <c r="M688" s="14">
        <f>+'[14]Stat by Mat 2'!$J$4-'[13]Stat by Mat 2'!$J$4</f>
        <v>546.83267454417364</v>
      </c>
      <c r="N688" s="39"/>
    </row>
    <row r="689" spans="2:15" hidden="1" outlineLevel="1" x14ac:dyDescent="0.25">
      <c r="B689" s="16" t="s">
        <v>14</v>
      </c>
      <c r="C689" s="14">
        <f>+'[1]Stat by Mat 2'!$J$5-'[15]Stat by Mat 2'!$J$5</f>
        <v>567.19422499912616</v>
      </c>
      <c r="D689" s="14">
        <f>+'[5]Stat by Mat 2'!$J$5-'[1]Stat by Mat 2'!$J$5</f>
        <v>-680.29190291775012</v>
      </c>
      <c r="E689" s="36">
        <f>+'[6]Stat by Mat 2'!$J$5-'[5]Stat by Mat 2'!$J$5</f>
        <v>7911.8099715351855</v>
      </c>
      <c r="F689" s="14">
        <f>+'[7]Stat by Mat 2'!$J$5-'[6]Stat by Mat 2'!$J$5</f>
        <v>-1734.1755790870739</v>
      </c>
      <c r="G689" s="14">
        <f>+'[8]Stat by Mat 2'!$J$5-'[7]Stat by Mat 2'!$J$5</f>
        <v>848.74530353360024</v>
      </c>
      <c r="H689" s="36">
        <f>+'[9]Stat by Mat 2'!$J$5-'[8]Stat by Mat 2'!$J$5</f>
        <v>985.28997721399355</v>
      </c>
      <c r="I689" s="14">
        <f>+'[10]Stat by Mat 2'!$J$5-'[9]Stat by Mat 2'!$J$5</f>
        <v>614.54966560553294</v>
      </c>
      <c r="J689" s="14">
        <f>+'[11]Stat by Mat 2'!$J$5-'[10]Stat by Mat 2'!$J$5</f>
        <v>227.7708482684684</v>
      </c>
      <c r="K689" s="36">
        <f>+'[12]Stat by Mat 2'!$J$5-'[11]Stat by Mat 2'!$J$5</f>
        <v>-547.6030263676148</v>
      </c>
      <c r="L689" s="14">
        <f>+'[13]Stat by Mat 2'!$J$5-'[12]Stat by Mat 2'!$J$5</f>
        <v>-203.05921263836353</v>
      </c>
      <c r="M689" s="14">
        <f>+'[14]Stat by Mat 2'!$J$5-'[13]Stat by Mat 2'!$J$5</f>
        <v>1133.6956490090452</v>
      </c>
      <c r="N689" s="39"/>
    </row>
    <row r="690" spans="2:15" hidden="1" outlineLevel="1" x14ac:dyDescent="0.25">
      <c r="B690" s="16" t="s">
        <v>25</v>
      </c>
      <c r="C690" s="14">
        <f>+'[1]Stat by Mat 2'!$J$6-'[15]Stat by Mat 2'!$J$6</f>
        <v>375.18737565214906</v>
      </c>
      <c r="D690" s="14">
        <f>+'[5]Stat by Mat 2'!$J$6-'[1]Stat by Mat 2'!$J$6</f>
        <v>-409.35887133926735</v>
      </c>
      <c r="E690" s="36">
        <f>+'[6]Stat by Mat 2'!$J$6-'[5]Stat by Mat 2'!$J$6</f>
        <v>2124.8093043625322</v>
      </c>
      <c r="F690" s="14">
        <f>+'[7]Stat by Mat 2'!$J$6-'[6]Stat by Mat 2'!$J$6</f>
        <v>-607.50755529329945</v>
      </c>
      <c r="G690" s="14">
        <f>+'[8]Stat by Mat 2'!$J$6-'[7]Stat by Mat 2'!$J$6</f>
        <v>546.28076311510267</v>
      </c>
      <c r="H690" s="36">
        <f>+'[9]Stat by Mat 2'!$J$6-'[8]Stat by Mat 2'!$J$6</f>
        <v>582.27008190822198</v>
      </c>
      <c r="I690" s="14">
        <f>+'[10]Stat by Mat 2'!$J$6-'[9]Stat by Mat 2'!$J$6</f>
        <v>279.61492503211412</v>
      </c>
      <c r="J690" s="14">
        <f>+'[11]Stat by Mat 2'!$J$6-'[10]Stat by Mat 2'!$J$6</f>
        <v>260.34057467493949</v>
      </c>
      <c r="K690" s="36">
        <f>+'[12]Stat by Mat 2'!$J$6-'[11]Stat by Mat 2'!$J$6</f>
        <v>-1003.7689902855764</v>
      </c>
      <c r="L690" s="14">
        <f>+'[13]Stat by Mat 2'!$J$6-'[12]Stat by Mat 2'!$J$6</f>
        <v>-15.761075056110712</v>
      </c>
      <c r="M690" s="14">
        <f>+'[14]Stat by Mat 2'!$J$6-'[13]Stat by Mat 2'!$J$6</f>
        <v>618.61785605880868</v>
      </c>
      <c r="N690" s="39"/>
    </row>
    <row r="691" spans="2:15" hidden="1" outlineLevel="1" x14ac:dyDescent="0.25">
      <c r="B691" s="16" t="s">
        <v>36</v>
      </c>
      <c r="C691" s="14">
        <f>+'[1]Stat by Mat 2'!$J$7-'[15]Stat by Mat 2'!$J$7</f>
        <v>37.686020432019859</v>
      </c>
      <c r="D691" s="14">
        <f>+'[5]Stat by Mat 2'!$J$7-'[1]Stat by Mat 2'!$J$7</f>
        <v>-49.615682010543424</v>
      </c>
      <c r="E691" s="36">
        <f>+'[6]Stat by Mat 2'!$J$7-'[5]Stat by Mat 2'!$J$7</f>
        <v>81.141287120326297</v>
      </c>
      <c r="F691" s="14">
        <f>+'[7]Stat by Mat 2'!$J$7-'[6]Stat by Mat 2'!$J$7</f>
        <v>-46.290923089828539</v>
      </c>
      <c r="G691" s="14">
        <f>+'[8]Stat by Mat 2'!$J$7-'[7]Stat by Mat 2'!$J$7</f>
        <v>55.500059626549273</v>
      </c>
      <c r="H691" s="36">
        <f>+'[9]Stat by Mat 2'!$J$7-'[8]Stat by Mat 2'!$J$7</f>
        <v>-14.119712807679662</v>
      </c>
      <c r="I691" s="14">
        <f>+'[10]Stat by Mat 2'!$J$7-'[9]Stat by Mat 2'!$J$7</f>
        <v>26.648995538261261</v>
      </c>
      <c r="J691" s="14">
        <f>+'[11]Stat by Mat 2'!$J$7-'[10]Stat by Mat 2'!$J$7</f>
        <v>30.676864065531618</v>
      </c>
      <c r="K691" s="36">
        <f>+'[12]Stat by Mat 2'!$J$7-'[11]Stat by Mat 2'!$J$7</f>
        <v>-57.805018908172997</v>
      </c>
      <c r="L691" s="14">
        <f>+'[13]Stat by Mat 2'!$J$7-'[12]Stat by Mat 2'!$J$7</f>
        <v>0.45788706612597707</v>
      </c>
      <c r="M691" s="14">
        <f>+'[14]Stat by Mat 2'!$J$7-'[13]Stat by Mat 2'!$J$7</f>
        <v>62.679410206573266</v>
      </c>
      <c r="N691" s="39"/>
    </row>
    <row r="692" spans="2:15" ht="14.25" collapsed="1" thickBot="1" x14ac:dyDescent="0.3">
      <c r="B692" s="18" t="s">
        <v>95</v>
      </c>
      <c r="C692" s="19" cm="1">
        <f t="array" ref="C692">[1]!DURATION-[15]!DURATION</f>
        <v>-9.5933599163418037E-3</v>
      </c>
      <c r="D692" s="19" cm="1">
        <f t="array" ref="D692">[5]!DURATION-[1]!DURATION</f>
        <v>1.2184426419275862E-2</v>
      </c>
      <c r="E692" s="35" cm="1">
        <f t="array" ref="E692">[6]!DURATION-[5]!DURATION</f>
        <v>-0.15385245872896247</v>
      </c>
      <c r="F692" s="19" cm="1">
        <f t="array" ref="F692">[7]!DURATION-[6]!DURATION</f>
        <v>2.5901943293988872E-2</v>
      </c>
      <c r="G692" s="19" cm="1">
        <f t="array" ref="G692">[8]!DURATION-[7]!DURATION</f>
        <v>-1.4122052153999309E-2</v>
      </c>
      <c r="H692" s="35" cm="1">
        <f t="array" ref="H692">[9]!DURATION-[8]!DURATION</f>
        <v>6.1711912887406406E-2</v>
      </c>
      <c r="I692" s="19" cm="1">
        <f t="array" ref="I692">[10]!DURATION-[9]!DURATION</f>
        <v>-9.9910177883604234E-3</v>
      </c>
      <c r="J692" s="19" cm="1">
        <f t="array" ref="J692">[11]!DURATION-[10]!DURATION</f>
        <v>-3.5263324750531844E-3</v>
      </c>
      <c r="K692" s="35" cm="1">
        <f t="array" ref="K692">[12]!DURATION-[11]!DURATION</f>
        <v>5.0058819241852959E-2</v>
      </c>
      <c r="L692" s="19" cm="1">
        <f t="array" ref="L692">[13]!DURATION-[12]!DURATION</f>
        <v>3.2314948357319295E-3</v>
      </c>
      <c r="M692" s="19" cm="1">
        <f t="array" ref="M692">[14]!DURATION-[13]!DURATION</f>
        <v>-1.8390114280859127E-2</v>
      </c>
      <c r="N692" s="41"/>
    </row>
    <row r="693" spans="2:15" ht="14.25" thickBot="1" x14ac:dyDescent="0.3">
      <c r="B693" s="26"/>
      <c r="F693" s="27"/>
      <c r="G693" s="27"/>
      <c r="H693" s="27"/>
      <c r="I693" s="27"/>
      <c r="J693" s="27"/>
      <c r="K693" s="27"/>
      <c r="M693" s="27"/>
      <c r="N693" s="27"/>
    </row>
    <row r="694" spans="2:15" ht="14.25" thickBot="1" x14ac:dyDescent="0.3">
      <c r="B694" s="64" t="s">
        <v>65</v>
      </c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6"/>
    </row>
    <row r="695" spans="2:15" x14ac:dyDescent="0.25">
      <c r="B695" s="12"/>
      <c r="C695" s="20" t="s">
        <v>97</v>
      </c>
      <c r="D695" s="20" t="s">
        <v>110</v>
      </c>
      <c r="E695" s="21" t="s">
        <v>111</v>
      </c>
      <c r="F695" s="20" t="s">
        <v>112</v>
      </c>
      <c r="G695" s="20" t="s">
        <v>113</v>
      </c>
      <c r="H695" s="21" t="s">
        <v>114</v>
      </c>
      <c r="I695" s="20" t="s">
        <v>115</v>
      </c>
      <c r="J695" s="20" t="s">
        <v>116</v>
      </c>
      <c r="K695" s="21" t="s">
        <v>117</v>
      </c>
      <c r="L695" s="22" t="s">
        <v>118</v>
      </c>
      <c r="M695" s="20" t="s">
        <v>119</v>
      </c>
      <c r="N695" s="23" t="s">
        <v>120</v>
      </c>
    </row>
    <row r="696" spans="2:15" x14ac:dyDescent="0.25">
      <c r="B696" s="13" t="s">
        <v>96</v>
      </c>
      <c r="C696" s="28">
        <f>+C350/SUM([15]Pricing_BEL!$L$5:$L$54)</f>
        <v>0</v>
      </c>
      <c r="D696" s="28">
        <f>+D350/SUM([1]Pricing_BEL!$L$5:$L$54)</f>
        <v>0</v>
      </c>
      <c r="E696" s="38">
        <f>+E350/SUM([5]Pricing_BEL!$L$5:$L$54)</f>
        <v>3.4107782429547817E-2</v>
      </c>
      <c r="F696" s="28">
        <f>+F350/SUM([6]Pricing_BEL!$L$5:$L$54)</f>
        <v>0</v>
      </c>
      <c r="G696" s="28">
        <f>+G350/SUM([7]Pricing_BEL!$L$5:$L$54)</f>
        <v>0</v>
      </c>
      <c r="H696" s="38">
        <f>+H350/SUM([8]Pricing_BEL!$L$5:$L$54)</f>
        <v>-2.8491793777377546E-2</v>
      </c>
      <c r="I696" s="32">
        <f>+I350/SUM([9]Pricing_BEL!$L$5:$L$54)</f>
        <v>0</v>
      </c>
      <c r="J696" s="32">
        <f>+J350/SUM([10]Pricing_BEL!$L$5:$L$54)</f>
        <v>0</v>
      </c>
      <c r="K696" s="38">
        <f>+K350/SUM([11]Pricing_BEL!$L$5:$L$54)</f>
        <v>4.2867992756234529E-3</v>
      </c>
      <c r="L696" s="32">
        <f>+L350/SUM([12]Pricing_BEL!$L$5:$L$54)</f>
        <v>0</v>
      </c>
      <c r="M696" s="32">
        <f>+M350/SUM([13]Pricing_BEL!$L$5:$L$54)</f>
        <v>0</v>
      </c>
      <c r="N696" s="42"/>
      <c r="O696" s="14"/>
    </row>
    <row r="697" spans="2:15" hidden="1" outlineLevel="1" x14ac:dyDescent="0.25">
      <c r="B697" s="16" t="s">
        <v>2</v>
      </c>
      <c r="C697" s="32">
        <f>+C351/'[15]Stat by Mat'!$D$3</f>
        <v>0</v>
      </c>
      <c r="D697" s="28">
        <f>+D351/'[1]Stat by Mat'!$D$3</f>
        <v>0</v>
      </c>
      <c r="E697" s="38">
        <f>+E351/'[5]Stat by Mat'!$D$3</f>
        <v>5.1483761845932875E-2</v>
      </c>
      <c r="F697" s="28">
        <f>+F351/'[6]Stat by Mat'!$D$3</f>
        <v>0</v>
      </c>
      <c r="G697" s="28">
        <f>+G351/'[7]Stat by Mat'!$D$3</f>
        <v>0</v>
      </c>
      <c r="H697" s="38">
        <f>+H351/'[8]Stat by Mat'!$D$3</f>
        <v>-3.5400417961662628E-2</v>
      </c>
      <c r="I697" s="32">
        <f>+I351/'[9]Stat by Mat'!$D$3</f>
        <v>0</v>
      </c>
      <c r="J697" s="32">
        <f>+J351/'[10]Stat by Mat'!$D$3</f>
        <v>0</v>
      </c>
      <c r="K697" s="38">
        <f>+K351/'[11]Stat by Mat'!$D$3</f>
        <v>3.1273836106228974E-3</v>
      </c>
      <c r="L697" s="32">
        <f>+L351/'[12]Stat by Mat'!$D$3</f>
        <v>0</v>
      </c>
      <c r="M697" s="32">
        <f>+M351/'[13]Stat by Mat'!$D$3</f>
        <v>0</v>
      </c>
      <c r="N697" s="42"/>
    </row>
    <row r="698" spans="2:15" ht="15" hidden="1" customHeight="1" outlineLevel="2" x14ac:dyDescent="0.25">
      <c r="B698" s="17" t="s">
        <v>3</v>
      </c>
      <c r="C698" s="32">
        <f>+C352/[15]Pricing_BEL!$L$5</f>
        <v>0</v>
      </c>
      <c r="D698" s="28">
        <f>+D352/[1]Pricing_BEL!$L$5</f>
        <v>0</v>
      </c>
      <c r="E698" s="38">
        <f>+E352/[5]Pricing_BEL!$L$5</f>
        <v>2.4745928332751328E-3</v>
      </c>
      <c r="F698" s="28">
        <f>+F352/[6]Pricing_BEL!$L$5</f>
        <v>0</v>
      </c>
      <c r="G698" s="28">
        <f>+G352/[7]Pricing_BEL!$L$5</f>
        <v>0</v>
      </c>
      <c r="H698" s="38">
        <f>+H352/[8]Pricing_BEL!$L$5</f>
        <v>-9.1226313893799191E-2</v>
      </c>
      <c r="I698" s="32">
        <f>+I352/[9]Pricing_BEL!$L$5</f>
        <v>0</v>
      </c>
      <c r="J698" s="32">
        <f>+J352/[10]Pricing_BEL!$L$5</f>
        <v>0</v>
      </c>
      <c r="K698" s="38">
        <f>+K352/[11]Pricing_BEL!$L$5</f>
        <v>-5.3342346310283312E-2</v>
      </c>
      <c r="L698" s="32">
        <f>+L352/[12]Pricing_BEL!$L$5</f>
        <v>0</v>
      </c>
      <c r="M698" s="32">
        <f>+M352/[13]Pricing_BEL!$L$5</f>
        <v>0</v>
      </c>
      <c r="N698" s="42"/>
    </row>
    <row r="699" spans="2:15" hidden="1" outlineLevel="2" x14ac:dyDescent="0.25">
      <c r="B699" s="17" t="s">
        <v>4</v>
      </c>
      <c r="C699" s="32">
        <f>+C353/[15]Pricing_BEL!$L$6</f>
        <v>0</v>
      </c>
      <c r="D699" s="28">
        <f>+D353/[1]Pricing_BEL!$L$6</f>
        <v>0</v>
      </c>
      <c r="E699" s="38">
        <f>+E353/[5]Pricing_BEL!$L$6</f>
        <v>0.18262306605971901</v>
      </c>
      <c r="F699" s="28">
        <f>+F353/[6]Pricing_BEL!$L$6</f>
        <v>0</v>
      </c>
      <c r="G699" s="28">
        <f>+G353/[7]Pricing_BEL!$L$6</f>
        <v>0</v>
      </c>
      <c r="H699" s="38">
        <f>+H353/[8]Pricing_BEL!$L$6</f>
        <v>2.3457962582278571E-2</v>
      </c>
      <c r="I699" s="32">
        <f>+I353/[9]Pricing_BEL!$L$6</f>
        <v>0</v>
      </c>
      <c r="J699" s="32">
        <f>+J353/[10]Pricing_BEL!$L$6</f>
        <v>0</v>
      </c>
      <c r="K699" s="38">
        <f>+K353/[11]Pricing_BEL!$L$6</f>
        <v>3.641984121308018E-2</v>
      </c>
      <c r="L699" s="32">
        <f>+L353/[12]Pricing_BEL!$L$6</f>
        <v>0</v>
      </c>
      <c r="M699" s="32">
        <f>+M353/[13]Pricing_BEL!$L$6</f>
        <v>0</v>
      </c>
      <c r="N699" s="42"/>
    </row>
    <row r="700" spans="2:15" hidden="1" outlineLevel="2" x14ac:dyDescent="0.25">
      <c r="B700" s="17" t="s">
        <v>5</v>
      </c>
      <c r="C700" s="32">
        <f>+C354/[15]Pricing_BEL!$L$7</f>
        <v>0</v>
      </c>
      <c r="D700" s="28">
        <f>+D354/[1]Pricing_BEL!$L$7</f>
        <v>0</v>
      </c>
      <c r="E700" s="38">
        <f>+E354/[5]Pricing_BEL!$L$7</f>
        <v>8.9654652096099012E-3</v>
      </c>
      <c r="F700" s="28">
        <f>+F354/[6]Pricing_BEL!$L$7</f>
        <v>0</v>
      </c>
      <c r="G700" s="28">
        <f>+G354/[7]Pricing_BEL!$L$7</f>
        <v>0</v>
      </c>
      <c r="H700" s="38">
        <f>+H354/[8]Pricing_BEL!$L$7</f>
        <v>-4.5927897959066625E-3</v>
      </c>
      <c r="I700" s="32">
        <f>+I354/[9]Pricing_BEL!$L$7</f>
        <v>0</v>
      </c>
      <c r="J700" s="32">
        <f>+J354/[10]Pricing_BEL!$L$7</f>
        <v>0</v>
      </c>
      <c r="K700" s="38">
        <f>+K354/[11]Pricing_BEL!$L$7</f>
        <v>8.039167857452155E-2</v>
      </c>
      <c r="L700" s="32">
        <f>+L354/[12]Pricing_BEL!$L$7</f>
        <v>0</v>
      </c>
      <c r="M700" s="32">
        <f>+M354/[13]Pricing_BEL!$L$7</f>
        <v>0</v>
      </c>
      <c r="N700" s="42"/>
    </row>
    <row r="701" spans="2:15" hidden="1" outlineLevel="2" x14ac:dyDescent="0.25">
      <c r="B701" s="17" t="s">
        <v>6</v>
      </c>
      <c r="C701" s="32">
        <f>+C355/[15]Pricing_BEL!$L$8</f>
        <v>0</v>
      </c>
      <c r="D701" s="28">
        <f>+D355/[1]Pricing_BEL!$L$8</f>
        <v>0</v>
      </c>
      <c r="E701" s="38">
        <f>+E355/[5]Pricing_BEL!$L$8</f>
        <v>2.3330874610139635E-2</v>
      </c>
      <c r="F701" s="28">
        <f>+F355/[6]Pricing_BEL!$L$8</f>
        <v>0</v>
      </c>
      <c r="G701" s="28">
        <f>+G355/[7]Pricing_BEL!$L$8</f>
        <v>0</v>
      </c>
      <c r="H701" s="38">
        <f>+H355/[8]Pricing_BEL!$L$8</f>
        <v>2.116342818273294E-3</v>
      </c>
      <c r="I701" s="32">
        <f>+I355/[9]Pricing_BEL!$L$8</f>
        <v>0</v>
      </c>
      <c r="J701" s="32">
        <f>+J355/[10]Pricing_BEL!$L$8</f>
        <v>0</v>
      </c>
      <c r="K701" s="38">
        <f>+K355/[11]Pricing_BEL!$L$8</f>
        <v>4.5482770356070026E-2</v>
      </c>
      <c r="L701" s="32">
        <f>+L355/[12]Pricing_BEL!$L$8</f>
        <v>0</v>
      </c>
      <c r="M701" s="32">
        <f>+M355/[13]Pricing_BEL!$L$8</f>
        <v>0</v>
      </c>
      <c r="N701" s="42"/>
    </row>
    <row r="702" spans="2:15" hidden="1" outlineLevel="2" x14ac:dyDescent="0.25">
      <c r="B702" s="17" t="s">
        <v>7</v>
      </c>
      <c r="C702" s="32">
        <f>+C356/[15]Pricing_BEL!$L$9</f>
        <v>0</v>
      </c>
      <c r="D702" s="28">
        <f>+D356/[1]Pricing_BEL!$L$9</f>
        <v>0</v>
      </c>
      <c r="E702" s="38">
        <f>+E356/[5]Pricing_BEL!$L$9</f>
        <v>-4.2950325793409735E-3</v>
      </c>
      <c r="F702" s="28">
        <f>+F356/[6]Pricing_BEL!$L$9</f>
        <v>0</v>
      </c>
      <c r="G702" s="28">
        <f>+G356/[7]Pricing_BEL!$L$9</f>
        <v>0</v>
      </c>
      <c r="H702" s="38">
        <f>+H356/[8]Pricing_BEL!$L$9</f>
        <v>4.6725205676298029E-3</v>
      </c>
      <c r="I702" s="32">
        <f>+I356/[9]Pricing_BEL!$L$9</f>
        <v>0</v>
      </c>
      <c r="J702" s="32">
        <f>+J356/[10]Pricing_BEL!$L$9</f>
        <v>0</v>
      </c>
      <c r="K702" s="38">
        <f>+K356/[11]Pricing_BEL!$L$9</f>
        <v>2.4973854472984568E-2</v>
      </c>
      <c r="L702" s="32">
        <f>+L356/[12]Pricing_BEL!$L$9</f>
        <v>0</v>
      </c>
      <c r="M702" s="32">
        <f>+M356/[13]Pricing_BEL!$L$9</f>
        <v>0</v>
      </c>
      <c r="N702" s="42"/>
    </row>
    <row r="703" spans="2:15" hidden="1" outlineLevel="1" collapsed="1" x14ac:dyDescent="0.25">
      <c r="B703" s="16" t="s">
        <v>8</v>
      </c>
      <c r="C703" s="32">
        <f>+C357/'[15]Stat by Mat'!$D$4</f>
        <v>0</v>
      </c>
      <c r="D703" s="28">
        <f>+D357/'[1]Stat by Mat'!$D$4</f>
        <v>0</v>
      </c>
      <c r="E703" s="38">
        <f>+E357/'[5]Stat by Mat'!$D$4</f>
        <v>-2.2566664818976304E-2</v>
      </c>
      <c r="F703" s="28">
        <f>+F357/'[6]Stat by Mat'!$D$4</f>
        <v>0</v>
      </c>
      <c r="G703" s="28">
        <f>+G357/'[7]Stat by Mat'!$D$4</f>
        <v>0</v>
      </c>
      <c r="H703" s="38">
        <f>+H357/'[8]Stat by Mat'!$D$4</f>
        <v>6.6379177234641732E-3</v>
      </c>
      <c r="I703" s="32">
        <f>+I357/'[9]Stat by Mat'!$D$4</f>
        <v>0</v>
      </c>
      <c r="J703" s="32">
        <f>+J357/'[10]Stat by Mat'!$D$4</f>
        <v>0</v>
      </c>
      <c r="K703" s="38">
        <f>+K357/'[11]Stat by Mat'!$D$4</f>
        <v>4.6931645853270599E-3</v>
      </c>
      <c r="L703" s="32">
        <f>+L357/'[12]Stat by Mat'!$D$4</f>
        <v>0</v>
      </c>
      <c r="M703" s="32">
        <f>+M357/'[13]Stat by Mat'!$D$4</f>
        <v>0</v>
      </c>
      <c r="N703" s="42"/>
    </row>
    <row r="704" spans="2:15" hidden="1" outlineLevel="2" x14ac:dyDescent="0.25">
      <c r="B704" s="17" t="s">
        <v>9</v>
      </c>
      <c r="C704" s="32">
        <f>+C358/[15]Pricing_BEL!$L$10</f>
        <v>0</v>
      </c>
      <c r="D704" s="28">
        <f>+D358/[1]Pricing_BEL!$L$10</f>
        <v>0</v>
      </c>
      <c r="E704" s="38">
        <f>+E358/[5]Pricing_BEL!$L$10</f>
        <v>-1.2878102295031359E-2</v>
      </c>
      <c r="F704" s="28">
        <f>+F358/[6]Pricing_BEL!$L$10</f>
        <v>0</v>
      </c>
      <c r="G704" s="28">
        <f>+G358/[7]Pricing_BEL!$L$10</f>
        <v>0</v>
      </c>
      <c r="H704" s="38">
        <f>+H358/[8]Pricing_BEL!$L$10</f>
        <v>1.0078405525933937E-3</v>
      </c>
      <c r="I704" s="32">
        <f>+I358/[9]Pricing_BEL!$L$10</f>
        <v>0</v>
      </c>
      <c r="J704" s="32">
        <f>+J358/[10]Pricing_BEL!$L$10</f>
        <v>0</v>
      </c>
      <c r="K704" s="38">
        <f>+K358/[11]Pricing_BEL!$L$10</f>
        <v>1.028682092886693E-2</v>
      </c>
      <c r="L704" s="32">
        <f>+L358/[12]Pricing_BEL!$L$10</f>
        <v>0</v>
      </c>
      <c r="M704" s="32">
        <f>+M358/[13]Pricing_BEL!$L$10</f>
        <v>0</v>
      </c>
      <c r="N704" s="42"/>
    </row>
    <row r="705" spans="2:14" hidden="1" outlineLevel="2" x14ac:dyDescent="0.25">
      <c r="B705" s="17" t="s">
        <v>10</v>
      </c>
      <c r="C705" s="32">
        <f>+C359/[15]Pricing_BEL!$L$11</f>
        <v>0</v>
      </c>
      <c r="D705" s="28">
        <f>+D359/[1]Pricing_BEL!$L$11</f>
        <v>0</v>
      </c>
      <c r="E705" s="38">
        <f>+E359/[5]Pricing_BEL!$L$11</f>
        <v>-1.3428435225630118E-2</v>
      </c>
      <c r="F705" s="28">
        <f>+F359/[6]Pricing_BEL!$L$11</f>
        <v>0</v>
      </c>
      <c r="G705" s="28">
        <f>+G359/[7]Pricing_BEL!$L$11</f>
        <v>0</v>
      </c>
      <c r="H705" s="38">
        <f>+H359/[8]Pricing_BEL!$L$11</f>
        <v>6.4663061617145096E-3</v>
      </c>
      <c r="I705" s="32">
        <f>+I359/[9]Pricing_BEL!$L$11</f>
        <v>0</v>
      </c>
      <c r="J705" s="32">
        <f>+J359/[10]Pricing_BEL!$L$11</f>
        <v>0</v>
      </c>
      <c r="K705" s="38">
        <f>+K359/[11]Pricing_BEL!$L$11</f>
        <v>7.2330214889375129E-3</v>
      </c>
      <c r="L705" s="32">
        <f>+L359/[12]Pricing_BEL!$L$11</f>
        <v>0</v>
      </c>
      <c r="M705" s="32">
        <f>+M359/[13]Pricing_BEL!$L$11</f>
        <v>0</v>
      </c>
      <c r="N705" s="42"/>
    </row>
    <row r="706" spans="2:14" hidden="1" outlineLevel="2" x14ac:dyDescent="0.25">
      <c r="B706" s="17" t="s">
        <v>11</v>
      </c>
      <c r="C706" s="32">
        <f>+C360/[15]Pricing_BEL!$L$12</f>
        <v>0</v>
      </c>
      <c r="D706" s="28">
        <f>+D360/[1]Pricing_BEL!$L$12</f>
        <v>0</v>
      </c>
      <c r="E706" s="38">
        <f>+E360/[5]Pricing_BEL!$L$12</f>
        <v>-1.5761221679329085E-2</v>
      </c>
      <c r="F706" s="28">
        <f>+F360/[6]Pricing_BEL!$L$12</f>
        <v>0</v>
      </c>
      <c r="G706" s="28">
        <f>+G360/[7]Pricing_BEL!$L$12</f>
        <v>0</v>
      </c>
      <c r="H706" s="38">
        <f>+H360/[8]Pricing_BEL!$L$12</f>
        <v>1.1009115206184677E-2</v>
      </c>
      <c r="I706" s="32">
        <f>+I360/[9]Pricing_BEL!$L$12</f>
        <v>0</v>
      </c>
      <c r="J706" s="32">
        <f>+J360/[10]Pricing_BEL!$L$12</f>
        <v>0</v>
      </c>
      <c r="K706" s="38">
        <f>+K360/[11]Pricing_BEL!$L$12</f>
        <v>5.1697711869956847E-3</v>
      </c>
      <c r="L706" s="32">
        <f>+L360/[12]Pricing_BEL!$L$12</f>
        <v>0</v>
      </c>
      <c r="M706" s="32">
        <f>+M360/[13]Pricing_BEL!$L$12</f>
        <v>0</v>
      </c>
      <c r="N706" s="42"/>
    </row>
    <row r="707" spans="2:14" hidden="1" outlineLevel="2" x14ac:dyDescent="0.25">
      <c r="B707" s="17" t="s">
        <v>12</v>
      </c>
      <c r="C707" s="32">
        <f>+C361/[15]Pricing_BEL!$L$13</f>
        <v>0</v>
      </c>
      <c r="D707" s="28">
        <f>+D361/[1]Pricing_BEL!$L$13</f>
        <v>0</v>
      </c>
      <c r="E707" s="38">
        <f>+E361/[5]Pricing_BEL!$L$13</f>
        <v>-5.1854593946481453E-2</v>
      </c>
      <c r="F707" s="28">
        <f>+F361/[6]Pricing_BEL!$L$13</f>
        <v>0</v>
      </c>
      <c r="G707" s="28">
        <f>+G361/[7]Pricing_BEL!$L$13</f>
        <v>0</v>
      </c>
      <c r="H707" s="38">
        <f>+H361/[8]Pricing_BEL!$L$13</f>
        <v>3.9871943048375548E-3</v>
      </c>
      <c r="I707" s="32">
        <f>+I361/[9]Pricing_BEL!$L$13</f>
        <v>0</v>
      </c>
      <c r="J707" s="32">
        <f>+J361/[10]Pricing_BEL!$L$13</f>
        <v>0</v>
      </c>
      <c r="K707" s="38">
        <f>+K361/[11]Pricing_BEL!$L$13</f>
        <v>-6.955505085528401E-4</v>
      </c>
      <c r="L707" s="32">
        <f>+L361/[12]Pricing_BEL!$L$13</f>
        <v>0</v>
      </c>
      <c r="M707" s="32">
        <f>+M361/[13]Pricing_BEL!$L$13</f>
        <v>0</v>
      </c>
      <c r="N707" s="42"/>
    </row>
    <row r="708" spans="2:14" hidden="1" outlineLevel="2" x14ac:dyDescent="0.25">
      <c r="B708" s="17" t="s">
        <v>13</v>
      </c>
      <c r="C708" s="32">
        <f>+C362/[15]Pricing_BEL!$L$14</f>
        <v>0</v>
      </c>
      <c r="D708" s="28">
        <f>+D362/[1]Pricing_BEL!$L$14</f>
        <v>0</v>
      </c>
      <c r="E708" s="38">
        <f>+E362/[5]Pricing_BEL!$L$14</f>
        <v>-3.7580610384024944E-2</v>
      </c>
      <c r="F708" s="28">
        <f>+F362/[6]Pricing_BEL!$L$14</f>
        <v>0</v>
      </c>
      <c r="G708" s="28">
        <f>+G362/[7]Pricing_BEL!$L$14</f>
        <v>0</v>
      </c>
      <c r="H708" s="38">
        <f>+H362/[8]Pricing_BEL!$L$14</f>
        <v>1.6835936014922784E-2</v>
      </c>
      <c r="I708" s="32">
        <f>+I362/[9]Pricing_BEL!$L$14</f>
        <v>0</v>
      </c>
      <c r="J708" s="32">
        <f>+J362/[10]Pricing_BEL!$L$14</f>
        <v>0</v>
      </c>
      <c r="K708" s="38">
        <f>+K362/[11]Pricing_BEL!$L$14</f>
        <v>-7.6831247478670386E-3</v>
      </c>
      <c r="L708" s="32">
        <f>+L362/[12]Pricing_BEL!$L$14</f>
        <v>0</v>
      </c>
      <c r="M708" s="32">
        <f>+M362/[13]Pricing_BEL!$L$14</f>
        <v>0</v>
      </c>
      <c r="N708" s="42"/>
    </row>
    <row r="709" spans="2:14" hidden="1" outlineLevel="1" collapsed="1" x14ac:dyDescent="0.25">
      <c r="B709" s="16" t="s">
        <v>14</v>
      </c>
      <c r="C709" s="32">
        <f>+C363/'[15]Stat by Mat'!$D$5</f>
        <v>0</v>
      </c>
      <c r="D709" s="28">
        <f>+D363/'[1]Stat by Mat'!$D$5</f>
        <v>0</v>
      </c>
      <c r="E709" s="38">
        <f>+E363/'[5]Stat by Mat'!$D$5</f>
        <v>-7.6472134453866011E-2</v>
      </c>
      <c r="F709" s="28">
        <f>+F363/'[6]Stat by Mat'!$D$5</f>
        <v>0</v>
      </c>
      <c r="G709" s="28">
        <f>+G363/'[7]Stat by Mat'!$D$5</f>
        <v>0</v>
      </c>
      <c r="H709" s="38">
        <f>+H363/'[8]Stat by Mat'!$D$5</f>
        <v>-4.2452445591570435E-4</v>
      </c>
      <c r="I709" s="32">
        <f>+I363/'[9]Stat by Mat'!$D$5</f>
        <v>0</v>
      </c>
      <c r="J709" s="32">
        <f>+J363/'[10]Stat by Mat'!$D$5</f>
        <v>0</v>
      </c>
      <c r="K709" s="38">
        <f>+K363/'[11]Stat by Mat'!$D$5</f>
        <v>7.7088523461417242E-3</v>
      </c>
      <c r="L709" s="32">
        <f>+L363/'[12]Stat by Mat'!$D$5</f>
        <v>0</v>
      </c>
      <c r="M709" s="32">
        <f>+M363/'[13]Stat by Mat'!$D$5</f>
        <v>0</v>
      </c>
      <c r="N709" s="42"/>
    </row>
    <row r="710" spans="2:14" hidden="1" outlineLevel="2" x14ac:dyDescent="0.25">
      <c r="B710" s="17" t="s">
        <v>15</v>
      </c>
      <c r="C710" s="32">
        <f>+C364/[15]Pricing_BEL!$L$15</f>
        <v>0</v>
      </c>
      <c r="D710" s="28">
        <f>+D364/[1]Pricing_BEL!$L$15</f>
        <v>0</v>
      </c>
      <c r="E710" s="38">
        <f>+E364/[5]Pricing_BEL!$L$15</f>
        <v>-5.9350745429459811E-2</v>
      </c>
      <c r="F710" s="28">
        <f>+F364/[6]Pricing_BEL!$L$15</f>
        <v>0</v>
      </c>
      <c r="G710" s="28">
        <f>+G364/[7]Pricing_BEL!$L$15</f>
        <v>0</v>
      </c>
      <c r="H710" s="38">
        <f>+H364/[8]Pricing_BEL!$L$15</f>
        <v>1.4243420902638341E-2</v>
      </c>
      <c r="I710" s="32">
        <f>+I364/[9]Pricing_BEL!$L$15</f>
        <v>0</v>
      </c>
      <c r="J710" s="32">
        <f>+J364/[10]Pricing_BEL!$L$15</f>
        <v>0</v>
      </c>
      <c r="K710" s="38">
        <f>+K364/[11]Pricing_BEL!$L$15</f>
        <v>-8.7692270758445504E-4</v>
      </c>
      <c r="L710" s="32">
        <f>+L364/[12]Pricing_BEL!$L$15</f>
        <v>0</v>
      </c>
      <c r="M710" s="32">
        <f>+M364/[13]Pricing_BEL!$L$15</f>
        <v>0</v>
      </c>
      <c r="N710" s="42"/>
    </row>
    <row r="711" spans="2:14" hidden="1" outlineLevel="2" x14ac:dyDescent="0.25">
      <c r="B711" s="17" t="s">
        <v>16</v>
      </c>
      <c r="C711" s="32">
        <f>+C365/[15]Pricing_BEL!$L$16</f>
        <v>0</v>
      </c>
      <c r="D711" s="28">
        <f>+D365/[1]Pricing_BEL!$L$16</f>
        <v>0</v>
      </c>
      <c r="E711" s="38">
        <f>+E365/[5]Pricing_BEL!$L$16</f>
        <v>-9.5745464227769056E-2</v>
      </c>
      <c r="F711" s="28">
        <f>+F365/[6]Pricing_BEL!$L$16</f>
        <v>0</v>
      </c>
      <c r="G711" s="28">
        <f>+G365/[7]Pricing_BEL!$L$16</f>
        <v>0</v>
      </c>
      <c r="H711" s="38">
        <f>+H365/[8]Pricing_BEL!$L$16</f>
        <v>2.1496316014100324E-3</v>
      </c>
      <c r="I711" s="32">
        <f>+I365/[9]Pricing_BEL!$L$16</f>
        <v>0</v>
      </c>
      <c r="J711" s="32">
        <f>+J365/[10]Pricing_BEL!$L$16</f>
        <v>0</v>
      </c>
      <c r="K711" s="38">
        <f>+K365/[11]Pricing_BEL!$L$16</f>
        <v>7.4087696938545623E-3</v>
      </c>
      <c r="L711" s="32">
        <f>+L365/[12]Pricing_BEL!$L$16</f>
        <v>0</v>
      </c>
      <c r="M711" s="32">
        <f>+M365/[13]Pricing_BEL!$L$16</f>
        <v>0</v>
      </c>
      <c r="N711" s="42"/>
    </row>
    <row r="712" spans="2:14" hidden="1" outlineLevel="2" x14ac:dyDescent="0.25">
      <c r="B712" s="17" t="s">
        <v>17</v>
      </c>
      <c r="C712" s="32">
        <f>+C366/[15]Pricing_BEL!$L$17</f>
        <v>0</v>
      </c>
      <c r="D712" s="28">
        <f>+D366/[1]Pricing_BEL!$L$17</f>
        <v>0</v>
      </c>
      <c r="E712" s="38">
        <f>+E366/[5]Pricing_BEL!$L$17</f>
        <v>-9.3111236565106281E-2</v>
      </c>
      <c r="F712" s="28">
        <f>+F366/[6]Pricing_BEL!$L$17</f>
        <v>0</v>
      </c>
      <c r="G712" s="28">
        <f>+G366/[7]Pricing_BEL!$L$17</f>
        <v>0</v>
      </c>
      <c r="H712" s="38">
        <f>+H366/[8]Pricing_BEL!$L$17</f>
        <v>-1.6024604204655337E-3</v>
      </c>
      <c r="I712" s="32">
        <f>+I366/[9]Pricing_BEL!$L$17</f>
        <v>0</v>
      </c>
      <c r="J712" s="32">
        <f>+J366/[10]Pricing_BEL!$L$17</f>
        <v>0</v>
      </c>
      <c r="K712" s="38">
        <f>+K366/[11]Pricing_BEL!$L$17</f>
        <v>5.5519389629360132E-3</v>
      </c>
      <c r="L712" s="32">
        <f>+L366/[12]Pricing_BEL!$L$17</f>
        <v>0</v>
      </c>
      <c r="M712" s="32">
        <f>+M366/[13]Pricing_BEL!$L$17</f>
        <v>0</v>
      </c>
      <c r="N712" s="42"/>
    </row>
    <row r="713" spans="2:14" hidden="1" outlineLevel="2" x14ac:dyDescent="0.25">
      <c r="B713" s="17" t="s">
        <v>18</v>
      </c>
      <c r="C713" s="32">
        <f>+C367/[15]Pricing_BEL!$L$18</f>
        <v>0</v>
      </c>
      <c r="D713" s="28">
        <f>+D367/[1]Pricing_BEL!$L$18</f>
        <v>0</v>
      </c>
      <c r="E713" s="38">
        <f>+E367/[5]Pricing_BEL!$L$18</f>
        <v>-8.6506855101543281E-2</v>
      </c>
      <c r="F713" s="28">
        <f>+F367/[6]Pricing_BEL!$L$18</f>
        <v>0</v>
      </c>
      <c r="G713" s="28">
        <f>+G367/[7]Pricing_BEL!$L$18</f>
        <v>0</v>
      </c>
      <c r="H713" s="38">
        <f>+H367/[8]Pricing_BEL!$L$18</f>
        <v>3.8294092535782055E-3</v>
      </c>
      <c r="I713" s="32">
        <f>+I367/[9]Pricing_BEL!$L$18</f>
        <v>0</v>
      </c>
      <c r="J713" s="32">
        <f>+J367/[10]Pricing_BEL!$L$18</f>
        <v>0</v>
      </c>
      <c r="K713" s="38">
        <f>+K367/[11]Pricing_BEL!$L$18</f>
        <v>6.9351652936637982E-3</v>
      </c>
      <c r="L713" s="32">
        <f>+L367/[12]Pricing_BEL!$L$18</f>
        <v>0</v>
      </c>
      <c r="M713" s="32">
        <f>+M367/[13]Pricing_BEL!$L$18</f>
        <v>0</v>
      </c>
      <c r="N713" s="42"/>
    </row>
    <row r="714" spans="2:14" hidden="1" outlineLevel="2" x14ac:dyDescent="0.25">
      <c r="B714" s="17" t="s">
        <v>19</v>
      </c>
      <c r="C714" s="32">
        <f>+C368/[15]Pricing_BEL!$L$19</f>
        <v>0</v>
      </c>
      <c r="D714" s="28">
        <f>+D368/[1]Pricing_BEL!$L$19</f>
        <v>0</v>
      </c>
      <c r="E714" s="38">
        <f>+E368/[5]Pricing_BEL!$L$19</f>
        <v>-8.0364086125771686E-2</v>
      </c>
      <c r="F714" s="28">
        <f>+F368/[6]Pricing_BEL!$L$19</f>
        <v>0</v>
      </c>
      <c r="G714" s="28">
        <f>+G368/[7]Pricing_BEL!$L$19</f>
        <v>0</v>
      </c>
      <c r="H714" s="38">
        <f>+H368/[8]Pricing_BEL!$L$19</f>
        <v>-3.6954001473467456E-3</v>
      </c>
      <c r="I714" s="32">
        <f>+I368/[9]Pricing_BEL!$L$19</f>
        <v>0</v>
      </c>
      <c r="J714" s="32">
        <f>+J368/[10]Pricing_BEL!$L$19</f>
        <v>0</v>
      </c>
      <c r="K714" s="38">
        <f>+K368/[11]Pricing_BEL!$L$19</f>
        <v>-6.9870397820842871E-4</v>
      </c>
      <c r="L714" s="32">
        <f>+L368/[12]Pricing_BEL!$L$19</f>
        <v>0</v>
      </c>
      <c r="M714" s="32">
        <f>+M368/[13]Pricing_BEL!$L$19</f>
        <v>0</v>
      </c>
      <c r="N714" s="42"/>
    </row>
    <row r="715" spans="2:14" hidden="1" outlineLevel="2" x14ac:dyDescent="0.25">
      <c r="B715" s="17" t="s">
        <v>20</v>
      </c>
      <c r="C715" s="32">
        <f>+C369/[15]Pricing_BEL!$L$20</f>
        <v>0</v>
      </c>
      <c r="D715" s="28">
        <f>+D369/[1]Pricing_BEL!$L$20</f>
        <v>0</v>
      </c>
      <c r="E715" s="38">
        <f>+E369/[5]Pricing_BEL!$L$20</f>
        <v>-7.8187917184037961E-2</v>
      </c>
      <c r="F715" s="28">
        <f>+F369/[6]Pricing_BEL!$L$20</f>
        <v>0</v>
      </c>
      <c r="G715" s="28">
        <f>+G369/[7]Pricing_BEL!$L$20</f>
        <v>0</v>
      </c>
      <c r="H715" s="38">
        <f>+H369/[8]Pricing_BEL!$L$20</f>
        <v>-9.5051492287883798E-3</v>
      </c>
      <c r="I715" s="32">
        <f>+I369/[9]Pricing_BEL!$L$20</f>
        <v>0</v>
      </c>
      <c r="J715" s="32">
        <f>+J369/[10]Pricing_BEL!$L$20</f>
        <v>0</v>
      </c>
      <c r="K715" s="38">
        <f>+K369/[11]Pricing_BEL!$L$20</f>
        <v>3.9956683870828978E-3</v>
      </c>
      <c r="L715" s="32">
        <f>+L369/[12]Pricing_BEL!$L$20</f>
        <v>0</v>
      </c>
      <c r="M715" s="32">
        <f>+M369/[13]Pricing_BEL!$L$20</f>
        <v>0</v>
      </c>
      <c r="N715" s="42"/>
    </row>
    <row r="716" spans="2:14" hidden="1" outlineLevel="2" x14ac:dyDescent="0.25">
      <c r="B716" s="17" t="s">
        <v>21</v>
      </c>
      <c r="C716" s="32">
        <f>+C370/[15]Pricing_BEL!$L$21</f>
        <v>0</v>
      </c>
      <c r="D716" s="28">
        <f>+D370/[1]Pricing_BEL!$L$21</f>
        <v>0</v>
      </c>
      <c r="E716" s="38">
        <f>+E370/[5]Pricing_BEL!$L$21</f>
        <v>-7.4707597789151273E-2</v>
      </c>
      <c r="F716" s="28">
        <f>+F370/[6]Pricing_BEL!$L$21</f>
        <v>0</v>
      </c>
      <c r="G716" s="28">
        <f>+G370/[7]Pricing_BEL!$L$21</f>
        <v>0</v>
      </c>
      <c r="H716" s="38">
        <f>+H370/[8]Pricing_BEL!$L$21</f>
        <v>-1.1232026785448938E-2</v>
      </c>
      <c r="I716" s="32">
        <f>+I370/[9]Pricing_BEL!$L$21</f>
        <v>0</v>
      </c>
      <c r="J716" s="32">
        <f>+J370/[10]Pricing_BEL!$L$21</f>
        <v>0</v>
      </c>
      <c r="K716" s="38">
        <f>+K370/[11]Pricing_BEL!$L$21</f>
        <v>8.7692859830422274E-3</v>
      </c>
      <c r="L716" s="32">
        <f>+L370/[12]Pricing_BEL!$L$21</f>
        <v>0</v>
      </c>
      <c r="M716" s="32">
        <f>+M370/[13]Pricing_BEL!$L$21</f>
        <v>0</v>
      </c>
      <c r="N716" s="42"/>
    </row>
    <row r="717" spans="2:14" hidden="1" outlineLevel="2" x14ac:dyDescent="0.25">
      <c r="B717" s="17" t="s">
        <v>22</v>
      </c>
      <c r="C717" s="32">
        <f>+C371/[15]Pricing_BEL!$L$22</f>
        <v>0</v>
      </c>
      <c r="D717" s="28">
        <f>+D371/[1]Pricing_BEL!$L$22</f>
        <v>0</v>
      </c>
      <c r="E717" s="38">
        <f>+E371/[5]Pricing_BEL!$L$22</f>
        <v>-6.5947408649753042E-2</v>
      </c>
      <c r="F717" s="28">
        <f>+F371/[6]Pricing_BEL!$L$22</f>
        <v>0</v>
      </c>
      <c r="G717" s="28">
        <f>+G371/[7]Pricing_BEL!$L$22</f>
        <v>0</v>
      </c>
      <c r="H717" s="38">
        <f>+H371/[8]Pricing_BEL!$L$22</f>
        <v>-1.2542924545044448E-2</v>
      </c>
      <c r="I717" s="32">
        <f>+I371/[9]Pricing_BEL!$L$22</f>
        <v>0</v>
      </c>
      <c r="J717" s="32">
        <f>+J371/[10]Pricing_BEL!$L$22</f>
        <v>0</v>
      </c>
      <c r="K717" s="38">
        <f>+K371/[11]Pricing_BEL!$L$22</f>
        <v>2.0758468099655238E-2</v>
      </c>
      <c r="L717" s="32">
        <f>+L371/[12]Pricing_BEL!$L$22</f>
        <v>0</v>
      </c>
      <c r="M717" s="32">
        <f>+M371/[13]Pricing_BEL!$L$22</f>
        <v>0</v>
      </c>
      <c r="N717" s="42"/>
    </row>
    <row r="718" spans="2:14" hidden="1" outlineLevel="2" x14ac:dyDescent="0.25">
      <c r="B718" s="17" t="s">
        <v>23</v>
      </c>
      <c r="C718" s="32">
        <f>+C372/[15]Pricing_BEL!$L$23</f>
        <v>0</v>
      </c>
      <c r="D718" s="28">
        <f>+D372/[1]Pricing_BEL!$L$23</f>
        <v>0</v>
      </c>
      <c r="E718" s="38">
        <f>+E372/[5]Pricing_BEL!$L$23</f>
        <v>-5.1262609281380871E-2</v>
      </c>
      <c r="F718" s="28">
        <f>+F372/[6]Pricing_BEL!$L$23</f>
        <v>0</v>
      </c>
      <c r="G718" s="28">
        <f>+G372/[7]Pricing_BEL!$L$23</f>
        <v>0</v>
      </c>
      <c r="H718" s="38">
        <f>+H372/[8]Pricing_BEL!$L$23</f>
        <v>-6.9487597360553405E-3</v>
      </c>
      <c r="I718" s="32">
        <f>+I372/[9]Pricing_BEL!$L$23</f>
        <v>0</v>
      </c>
      <c r="J718" s="32">
        <f>+J372/[10]Pricing_BEL!$L$23</f>
        <v>0</v>
      </c>
      <c r="K718" s="38">
        <f>+K372/[11]Pricing_BEL!$L$23</f>
        <v>3.4051704188092925E-2</v>
      </c>
      <c r="L718" s="32">
        <f>+L372/[12]Pricing_BEL!$L$23</f>
        <v>0</v>
      </c>
      <c r="M718" s="32">
        <f>+M372/[13]Pricing_BEL!$L$23</f>
        <v>0</v>
      </c>
      <c r="N718" s="42"/>
    </row>
    <row r="719" spans="2:14" hidden="1" outlineLevel="2" x14ac:dyDescent="0.25">
      <c r="B719" s="17" t="s">
        <v>24</v>
      </c>
      <c r="C719" s="32">
        <f>+C373/[15]Pricing_BEL!$L$24</f>
        <v>0</v>
      </c>
      <c r="D719" s="28">
        <f>+D373/[1]Pricing_BEL!$L$24</f>
        <v>0</v>
      </c>
      <c r="E719" s="38">
        <f>+E373/[5]Pricing_BEL!$L$24</f>
        <v>-5.220188757481805E-2</v>
      </c>
      <c r="F719" s="28">
        <f>+F373/[6]Pricing_BEL!$L$24</f>
        <v>0</v>
      </c>
      <c r="G719" s="28">
        <f>+G373/[7]Pricing_BEL!$L$24</f>
        <v>0</v>
      </c>
      <c r="H719" s="38">
        <f>+H373/[8]Pricing_BEL!$L$24</f>
        <v>-1.2309664809423373E-2</v>
      </c>
      <c r="I719" s="32">
        <f>+I373/[9]Pricing_BEL!$L$24</f>
        <v>0</v>
      </c>
      <c r="J719" s="32">
        <f>+J373/[10]Pricing_BEL!$L$24</f>
        <v>0</v>
      </c>
      <c r="K719" s="38">
        <f>+K373/[11]Pricing_BEL!$L$24</f>
        <v>2.8209893601616166E-2</v>
      </c>
      <c r="L719" s="32">
        <f>+L373/[12]Pricing_BEL!$L$24</f>
        <v>0</v>
      </c>
      <c r="M719" s="32">
        <f>+M373/[13]Pricing_BEL!$L$24</f>
        <v>0</v>
      </c>
      <c r="N719" s="42"/>
    </row>
    <row r="720" spans="2:14" hidden="1" outlineLevel="1" collapsed="1" x14ac:dyDescent="0.25">
      <c r="B720" s="16" t="s">
        <v>25</v>
      </c>
      <c r="C720" s="32">
        <f>+C374/'[15]Stat by Mat'!$D$6</f>
        <v>0</v>
      </c>
      <c r="D720" s="28">
        <f>+D374/'[1]Stat by Mat'!$D$6</f>
        <v>0</v>
      </c>
      <c r="E720" s="38">
        <f>+E374/'[5]Stat by Mat'!$D$6</f>
        <v>-3.9807497455581035E-2</v>
      </c>
      <c r="F720" s="28">
        <f>+F374/'[6]Stat by Mat'!$D$6</f>
        <v>0</v>
      </c>
      <c r="G720" s="28">
        <f>+G374/'[7]Stat by Mat'!$D$6</f>
        <v>0</v>
      </c>
      <c r="H720" s="38">
        <f>+H374/'[8]Stat by Mat'!$D$6</f>
        <v>-5.5718286466071296E-4</v>
      </c>
      <c r="I720" s="32">
        <f>+I374/'[9]Stat by Mat'!$D$6</f>
        <v>0</v>
      </c>
      <c r="J720" s="32">
        <f>+J374/'[10]Stat by Mat'!$D$6</f>
        <v>0</v>
      </c>
      <c r="K720" s="38">
        <f>+K374/'[11]Stat by Mat'!$D$6</f>
        <v>6.0161983543967193E-2</v>
      </c>
      <c r="L720" s="32">
        <f>+L374/'[12]Stat by Mat'!$D$6</f>
        <v>0</v>
      </c>
      <c r="M720" s="32">
        <f>+M374/'[13]Stat by Mat'!$D$6</f>
        <v>0</v>
      </c>
      <c r="N720" s="42"/>
    </row>
    <row r="721" spans="2:14" hidden="1" outlineLevel="2" x14ac:dyDescent="0.25">
      <c r="B721" s="17" t="s">
        <v>26</v>
      </c>
      <c r="C721" s="32">
        <f>+C375/[15]Pricing_BEL!$L$25</f>
        <v>0</v>
      </c>
      <c r="D721" s="28">
        <f>+D375/[1]Pricing_BEL!$L$25</f>
        <v>0</v>
      </c>
      <c r="E721" s="38">
        <f>+E375/[5]Pricing_BEL!$L$25</f>
        <v>-5.3887262363012819E-2</v>
      </c>
      <c r="F721" s="28">
        <f>+F375/[6]Pricing_BEL!$L$25</f>
        <v>0</v>
      </c>
      <c r="G721" s="28">
        <f>+G375/[7]Pricing_BEL!$L$25</f>
        <v>0</v>
      </c>
      <c r="H721" s="38">
        <f>+H375/[8]Pricing_BEL!$L$25</f>
        <v>-1.4506817309299869E-2</v>
      </c>
      <c r="I721" s="32">
        <f>+I375/[9]Pricing_BEL!$L$25</f>
        <v>0</v>
      </c>
      <c r="J721" s="32">
        <f>+J375/[10]Pricing_BEL!$L$25</f>
        <v>0</v>
      </c>
      <c r="K721" s="38">
        <f>+K375/[11]Pricing_BEL!$L$25</f>
        <v>3.4129548048253924E-2</v>
      </c>
      <c r="L721" s="32">
        <f>+L375/[12]Pricing_BEL!$L$25</f>
        <v>0</v>
      </c>
      <c r="M721" s="32">
        <f>+M375/[13]Pricing_BEL!$L$25</f>
        <v>0</v>
      </c>
      <c r="N721" s="42"/>
    </row>
    <row r="722" spans="2:14" hidden="1" outlineLevel="2" x14ac:dyDescent="0.25">
      <c r="B722" s="17" t="s">
        <v>27</v>
      </c>
      <c r="C722" s="32">
        <f>+C376/[15]Pricing_BEL!$L$26</f>
        <v>0</v>
      </c>
      <c r="D722" s="28">
        <f>+D376/[1]Pricing_BEL!$L$26</f>
        <v>0</v>
      </c>
      <c r="E722" s="38">
        <f>+E376/[5]Pricing_BEL!$L$26</f>
        <v>-5.5239795898628312E-2</v>
      </c>
      <c r="F722" s="28">
        <f>+F376/[6]Pricing_BEL!$L$26</f>
        <v>0</v>
      </c>
      <c r="G722" s="28">
        <f>+G376/[7]Pricing_BEL!$L$26</f>
        <v>0</v>
      </c>
      <c r="H722" s="38">
        <f>+H376/[8]Pricing_BEL!$L$26</f>
        <v>-1.56893578215293E-2</v>
      </c>
      <c r="I722" s="32">
        <f>+I376/[9]Pricing_BEL!$L$26</f>
        <v>0</v>
      </c>
      <c r="J722" s="32">
        <f>+J376/[10]Pricing_BEL!$L$26</f>
        <v>0</v>
      </c>
      <c r="K722" s="38">
        <f>+K376/[11]Pricing_BEL!$L$26</f>
        <v>4.204924926610544E-2</v>
      </c>
      <c r="L722" s="32">
        <f>+L376/[12]Pricing_BEL!$L$26</f>
        <v>0</v>
      </c>
      <c r="M722" s="32">
        <f>+M376/[13]Pricing_BEL!$L$26</f>
        <v>0</v>
      </c>
      <c r="N722" s="42"/>
    </row>
    <row r="723" spans="2:14" hidden="1" outlineLevel="2" x14ac:dyDescent="0.25">
      <c r="B723" s="17" t="s">
        <v>28</v>
      </c>
      <c r="C723" s="32">
        <f>+C377/[15]Pricing_BEL!$L$27</f>
        <v>0</v>
      </c>
      <c r="D723" s="28">
        <f>+D377/[1]Pricing_BEL!$L$27</f>
        <v>0</v>
      </c>
      <c r="E723" s="38">
        <f>+E377/[5]Pricing_BEL!$L$27</f>
        <v>-5.2056118383946033E-2</v>
      </c>
      <c r="F723" s="28">
        <f>+F377/[6]Pricing_BEL!$L$27</f>
        <v>0</v>
      </c>
      <c r="G723" s="28">
        <f>+G377/[7]Pricing_BEL!$L$27</f>
        <v>0</v>
      </c>
      <c r="H723" s="38">
        <f>+H377/[8]Pricing_BEL!$L$27</f>
        <v>-1.3687144850807589E-2</v>
      </c>
      <c r="I723" s="32">
        <f>+I377/[9]Pricing_BEL!$L$27</f>
        <v>0</v>
      </c>
      <c r="J723" s="32">
        <f>+J377/[10]Pricing_BEL!$L$27</f>
        <v>0</v>
      </c>
      <c r="K723" s="38">
        <f>+K377/[11]Pricing_BEL!$L$27</f>
        <v>5.5632877342926129E-2</v>
      </c>
      <c r="L723" s="32">
        <f>+L377/[12]Pricing_BEL!$L$27</f>
        <v>0</v>
      </c>
      <c r="M723" s="32">
        <f>+M377/[13]Pricing_BEL!$L$27</f>
        <v>0</v>
      </c>
      <c r="N723" s="42"/>
    </row>
    <row r="724" spans="2:14" hidden="1" outlineLevel="2" x14ac:dyDescent="0.25">
      <c r="B724" s="17" t="s">
        <v>29</v>
      </c>
      <c r="C724" s="32">
        <f>+C378/[15]Pricing_BEL!$L$28</f>
        <v>0</v>
      </c>
      <c r="D724" s="28">
        <f>+D378/[1]Pricing_BEL!$L$28</f>
        <v>0</v>
      </c>
      <c r="E724" s="38">
        <f>+E378/[5]Pricing_BEL!$L$28</f>
        <v>-4.2314819633929433E-2</v>
      </c>
      <c r="F724" s="28">
        <f>+F378/[6]Pricing_BEL!$L$28</f>
        <v>0</v>
      </c>
      <c r="G724" s="28">
        <f>+G378/[7]Pricing_BEL!$L$28</f>
        <v>0</v>
      </c>
      <c r="H724" s="38">
        <f>+H378/[8]Pricing_BEL!$L$28</f>
        <v>3.3811735501493899E-3</v>
      </c>
      <c r="I724" s="32">
        <f>+I378/[9]Pricing_BEL!$L$28</f>
        <v>0</v>
      </c>
      <c r="J724" s="32">
        <f>+J378/[10]Pricing_BEL!$L$28</f>
        <v>0</v>
      </c>
      <c r="K724" s="38">
        <f>+K378/[11]Pricing_BEL!$L$28</f>
        <v>6.6861995011332317E-2</v>
      </c>
      <c r="L724" s="32">
        <f>+L378/[12]Pricing_BEL!$L$28</f>
        <v>0</v>
      </c>
      <c r="M724" s="32">
        <f>+M378/[13]Pricing_BEL!$L$28</f>
        <v>0</v>
      </c>
      <c r="N724" s="42"/>
    </row>
    <row r="725" spans="2:14" hidden="1" outlineLevel="2" x14ac:dyDescent="0.25">
      <c r="B725" s="17" t="s">
        <v>30</v>
      </c>
      <c r="C725" s="32">
        <f>+C379/[15]Pricing_BEL!$L$29</f>
        <v>0</v>
      </c>
      <c r="D725" s="28">
        <f>+D379/[1]Pricing_BEL!$L$29</f>
        <v>0</v>
      </c>
      <c r="E725" s="38">
        <f>+E379/[5]Pricing_BEL!$L$29</f>
        <v>-3.9653719684638239E-2</v>
      </c>
      <c r="F725" s="28">
        <f>+F379/[6]Pricing_BEL!$L$29</f>
        <v>0</v>
      </c>
      <c r="G725" s="28">
        <f>+G379/[7]Pricing_BEL!$L$29</f>
        <v>0</v>
      </c>
      <c r="H725" s="38">
        <f>+H379/[8]Pricing_BEL!$L$29</f>
        <v>6.9815111407661994E-5</v>
      </c>
      <c r="I725" s="32">
        <f>+I379/[9]Pricing_BEL!$L$29</f>
        <v>0</v>
      </c>
      <c r="J725" s="32">
        <f>+J379/[10]Pricing_BEL!$L$29</f>
        <v>0</v>
      </c>
      <c r="K725" s="38">
        <f>+K379/[11]Pricing_BEL!$L$29</f>
        <v>5.4407433601282577E-2</v>
      </c>
      <c r="L725" s="32">
        <f>+L379/[12]Pricing_BEL!$L$29</f>
        <v>0</v>
      </c>
      <c r="M725" s="32">
        <f>+M379/[13]Pricing_BEL!$L$29</f>
        <v>0</v>
      </c>
      <c r="N725" s="42"/>
    </row>
    <row r="726" spans="2:14" hidden="1" outlineLevel="2" x14ac:dyDescent="0.25">
      <c r="B726" s="17" t="s">
        <v>31</v>
      </c>
      <c r="C726" s="32">
        <f>+C380/[15]Pricing_BEL!$L$30</f>
        <v>0</v>
      </c>
      <c r="D726" s="28">
        <f>+D380/[1]Pricing_BEL!$L$30</f>
        <v>0</v>
      </c>
      <c r="E726" s="38">
        <f>+E380/[5]Pricing_BEL!$L$30</f>
        <v>-4.1814235387041279E-2</v>
      </c>
      <c r="F726" s="28">
        <f>+F380/[6]Pricing_BEL!$L$30</f>
        <v>0</v>
      </c>
      <c r="G726" s="28">
        <f>+G380/[7]Pricing_BEL!$L$30</f>
        <v>0</v>
      </c>
      <c r="H726" s="38">
        <f>+H380/[8]Pricing_BEL!$L$30</f>
        <v>-6.6895870301257494E-3</v>
      </c>
      <c r="I726" s="32">
        <f>+I380/[9]Pricing_BEL!$L$30</f>
        <v>0</v>
      </c>
      <c r="J726" s="32">
        <f>+J380/[10]Pricing_BEL!$L$30</f>
        <v>0</v>
      </c>
      <c r="K726" s="38">
        <f>+K380/[11]Pricing_BEL!$L$30</f>
        <v>6.8669297846215296E-2</v>
      </c>
      <c r="L726" s="32">
        <f>+L380/[12]Pricing_BEL!$L$30</f>
        <v>0</v>
      </c>
      <c r="M726" s="32">
        <f>+M380/[13]Pricing_BEL!$L$30</f>
        <v>0</v>
      </c>
      <c r="N726" s="42"/>
    </row>
    <row r="727" spans="2:14" hidden="1" outlineLevel="2" x14ac:dyDescent="0.25">
      <c r="B727" s="17" t="s">
        <v>32</v>
      </c>
      <c r="C727" s="32">
        <f>+C381/[15]Pricing_BEL!$L$31</f>
        <v>0</v>
      </c>
      <c r="D727" s="28">
        <f>+D381/[1]Pricing_BEL!$L$31</f>
        <v>0</v>
      </c>
      <c r="E727" s="38">
        <f>+E381/[5]Pricing_BEL!$L$31</f>
        <v>-3.5860886626905925E-2</v>
      </c>
      <c r="F727" s="28">
        <f>+F381/[6]Pricing_BEL!$L$31</f>
        <v>0</v>
      </c>
      <c r="G727" s="28">
        <f>+G381/[7]Pricing_BEL!$L$31</f>
        <v>0</v>
      </c>
      <c r="H727" s="38">
        <f>+H381/[8]Pricing_BEL!$L$31</f>
        <v>-6.2388784495931706E-3</v>
      </c>
      <c r="I727" s="32">
        <f>+I381/[9]Pricing_BEL!$L$31</f>
        <v>0</v>
      </c>
      <c r="J727" s="32">
        <f>+J381/[10]Pricing_BEL!$L$31</f>
        <v>0</v>
      </c>
      <c r="K727" s="38">
        <f>+K381/[11]Pricing_BEL!$L$31</f>
        <v>8.8954736646189497E-2</v>
      </c>
      <c r="L727" s="32">
        <f>+L381/[12]Pricing_BEL!$L$31</f>
        <v>0</v>
      </c>
      <c r="M727" s="32">
        <f>+M381/[13]Pricing_BEL!$L$31</f>
        <v>0</v>
      </c>
      <c r="N727" s="42"/>
    </row>
    <row r="728" spans="2:14" hidden="1" outlineLevel="2" x14ac:dyDescent="0.25">
      <c r="B728" s="17" t="s">
        <v>33</v>
      </c>
      <c r="C728" s="32">
        <f>+C382/[15]Pricing_BEL!$L$32</f>
        <v>0</v>
      </c>
      <c r="D728" s="28">
        <f>+D382/[1]Pricing_BEL!$L$32</f>
        <v>0</v>
      </c>
      <c r="E728" s="38">
        <f>+E382/[5]Pricing_BEL!$L$32</f>
        <v>-2.9031060003920087E-2</v>
      </c>
      <c r="F728" s="28">
        <f>+F382/[6]Pricing_BEL!$L$32</f>
        <v>0</v>
      </c>
      <c r="G728" s="28">
        <f>+G382/[7]Pricing_BEL!$L$32</f>
        <v>0</v>
      </c>
      <c r="H728" s="38">
        <f>+H382/[8]Pricing_BEL!$L$32</f>
        <v>-2.9842977671654383E-3</v>
      </c>
      <c r="I728" s="32">
        <f>+I382/[9]Pricing_BEL!$L$32</f>
        <v>0</v>
      </c>
      <c r="J728" s="32">
        <f>+J382/[10]Pricing_BEL!$L$32</f>
        <v>0</v>
      </c>
      <c r="K728" s="38">
        <f>+K382/[11]Pricing_BEL!$L$32</f>
        <v>0.13907446006365282</v>
      </c>
      <c r="L728" s="32">
        <f>+L382/[12]Pricing_BEL!$L$32</f>
        <v>0</v>
      </c>
      <c r="M728" s="32">
        <f>+M382/[13]Pricing_BEL!$L$32</f>
        <v>0</v>
      </c>
      <c r="N728" s="42"/>
    </row>
    <row r="729" spans="2:14" hidden="1" outlineLevel="2" x14ac:dyDescent="0.25">
      <c r="B729" s="17" t="s">
        <v>34</v>
      </c>
      <c r="C729" s="32">
        <f>+C383/[15]Pricing_BEL!$L$33</f>
        <v>0</v>
      </c>
      <c r="D729" s="28">
        <f>+D383/[1]Pricing_BEL!$L$33</f>
        <v>0</v>
      </c>
      <c r="E729" s="38">
        <f>+E383/[5]Pricing_BEL!$L$33</f>
        <v>5.5637105028411189E-2</v>
      </c>
      <c r="F729" s="28">
        <f>+F383/[6]Pricing_BEL!$L$33</f>
        <v>0</v>
      </c>
      <c r="G729" s="28">
        <f>+G383/[7]Pricing_BEL!$L$33</f>
        <v>0</v>
      </c>
      <c r="H729" s="38">
        <f>+H383/[8]Pricing_BEL!$L$33</f>
        <v>9.6826038419332738E-2</v>
      </c>
      <c r="I729" s="32">
        <f>+I383/[9]Pricing_BEL!$L$33</f>
        <v>0</v>
      </c>
      <c r="J729" s="32">
        <f>+J383/[10]Pricing_BEL!$L$33</f>
        <v>0</v>
      </c>
      <c r="K729" s="38">
        <f>+K383/[11]Pricing_BEL!$L$33</f>
        <v>0.15994476644780284</v>
      </c>
      <c r="L729" s="32">
        <f>+L383/[12]Pricing_BEL!$L$33</f>
        <v>0</v>
      </c>
      <c r="M729" s="32">
        <f>+M383/[13]Pricing_BEL!$L$33</f>
        <v>0</v>
      </c>
      <c r="N729" s="42"/>
    </row>
    <row r="730" spans="2:14" hidden="1" outlineLevel="2" x14ac:dyDescent="0.25">
      <c r="B730" s="17" t="s">
        <v>35</v>
      </c>
      <c r="C730" s="32">
        <f>+C384/[15]Pricing_BEL!$L$34</f>
        <v>0</v>
      </c>
      <c r="D730" s="28">
        <f>+D384/[1]Pricing_BEL!$L$34</f>
        <v>0</v>
      </c>
      <c r="E730" s="38">
        <f>+E384/[5]Pricing_BEL!$L$34</f>
        <v>5.0825956923689977E-2</v>
      </c>
      <c r="F730" s="28">
        <f>+F384/[6]Pricing_BEL!$L$34</f>
        <v>0</v>
      </c>
      <c r="G730" s="28">
        <f>+G384/[7]Pricing_BEL!$L$34</f>
        <v>0</v>
      </c>
      <c r="H730" s="38">
        <f>+H384/[8]Pricing_BEL!$L$34</f>
        <v>9.011415682458597E-2</v>
      </c>
      <c r="I730" s="32">
        <f>+I384/[9]Pricing_BEL!$L$34</f>
        <v>0</v>
      </c>
      <c r="J730" s="32">
        <f>+J384/[10]Pricing_BEL!$L$34</f>
        <v>0</v>
      </c>
      <c r="K730" s="38">
        <f>+K384/[11]Pricing_BEL!$L$34</f>
        <v>6.3131360483690844E-3</v>
      </c>
      <c r="L730" s="32">
        <f>+L384/[12]Pricing_BEL!$L$34</f>
        <v>0</v>
      </c>
      <c r="M730" s="32">
        <f>+M384/[13]Pricing_BEL!$L$34</f>
        <v>0</v>
      </c>
      <c r="N730" s="42"/>
    </row>
    <row r="731" spans="2:14" hidden="1" outlineLevel="1" collapsed="1" x14ac:dyDescent="0.25">
      <c r="B731" s="16" t="s">
        <v>36</v>
      </c>
      <c r="C731" s="32">
        <f>+C385/'[15]Stat by Mat'!$D$7</f>
        <v>0</v>
      </c>
      <c r="D731" s="28">
        <f>+D385/'[1]Stat by Mat'!$D$7</f>
        <v>0</v>
      </c>
      <c r="E731" s="38">
        <f>+E385/'[5]Stat by Mat'!$D$7</f>
        <v>3.3301432059273502E-2</v>
      </c>
      <c r="F731" s="28">
        <f>+F385/'[6]Stat by Mat'!$D$7</f>
        <v>0</v>
      </c>
      <c r="G731" s="28">
        <f>+G385/'[7]Stat by Mat'!$D$7</f>
        <v>0</v>
      </c>
      <c r="H731" s="38">
        <f>+H385/'[8]Stat by Mat'!$D$7</f>
        <v>6.1395658411951458E-2</v>
      </c>
      <c r="I731" s="32">
        <f>+I385/'[9]Stat by Mat'!$D$7</f>
        <v>0</v>
      </c>
      <c r="J731" s="32">
        <f>+J385/'[10]Stat by Mat'!$D$7</f>
        <v>0</v>
      </c>
      <c r="K731" s="38">
        <f>+K385/'[11]Stat by Mat'!$D$7</f>
        <v>3.6210110020573442E-2</v>
      </c>
      <c r="L731" s="32">
        <f>+L385/'[12]Stat by Mat'!$D$7</f>
        <v>0</v>
      </c>
      <c r="M731" s="32">
        <f>+M385/'[13]Stat by Mat'!$D$7</f>
        <v>0</v>
      </c>
      <c r="N731" s="42"/>
    </row>
    <row r="732" spans="2:14" hidden="1" outlineLevel="2" x14ac:dyDescent="0.25">
      <c r="B732" s="17" t="s">
        <v>37</v>
      </c>
      <c r="C732" s="32">
        <f>+C386/[15]Pricing_BEL!$L$35</f>
        <v>0</v>
      </c>
      <c r="D732" s="29">
        <f>+D386/[1]Pricing_BEL!$L$35</f>
        <v>0</v>
      </c>
      <c r="E732" s="44">
        <f>+E386/[5]Pricing_BEL!$L$35</f>
        <v>4.1895272865686166E-2</v>
      </c>
      <c r="F732" s="29">
        <f>+F386/[6]Pricing_BEL!$L$35</f>
        <v>0</v>
      </c>
      <c r="G732" s="29">
        <f>+G386/[7]Pricing_BEL!$L$35</f>
        <v>0</v>
      </c>
      <c r="H732" s="44">
        <f>+H386/[8]Pricing_BEL!$L$35</f>
        <v>6.8601852457200449E-2</v>
      </c>
      <c r="I732" s="32">
        <f>+I386/[9]Pricing_BEL!$L$35</f>
        <v>0</v>
      </c>
      <c r="J732" s="32">
        <f>+J386/[10]Pricing_BEL!$L$35</f>
        <v>0</v>
      </c>
      <c r="K732" s="44">
        <f>+K386/[11]Pricing_BEL!$L$35</f>
        <v>1.3858525049755018E-2</v>
      </c>
      <c r="L732" s="32">
        <f>+L386/[12]Pricing_BEL!$L$35</f>
        <v>0</v>
      </c>
      <c r="M732" s="32">
        <f>+M386/[13]Pricing_BEL!$L$35</f>
        <v>0</v>
      </c>
      <c r="N732" s="42"/>
    </row>
    <row r="733" spans="2:14" hidden="1" outlineLevel="2" x14ac:dyDescent="0.25">
      <c r="B733" s="17" t="s">
        <v>38</v>
      </c>
      <c r="C733" s="32">
        <f>+C387/[15]Pricing_BEL!$L$36</f>
        <v>0</v>
      </c>
      <c r="D733" s="28">
        <f>+D387/[1]Pricing_BEL!$L$36</f>
        <v>0</v>
      </c>
      <c r="E733" s="38">
        <f>+E387/[5]Pricing_BEL!$L$36</f>
        <v>2.7120789376736117E-2</v>
      </c>
      <c r="F733" s="28">
        <f>+F387/[6]Pricing_BEL!$L$36</f>
        <v>0</v>
      </c>
      <c r="G733" s="28">
        <f>+G387/[7]Pricing_BEL!$L$36</f>
        <v>0</v>
      </c>
      <c r="H733" s="38">
        <f>+H387/[8]Pricing_BEL!$L$36</f>
        <v>5.1925001284642933E-2</v>
      </c>
      <c r="I733" s="32">
        <f>+I387/[9]Pricing_BEL!$L$36</f>
        <v>0</v>
      </c>
      <c r="J733" s="32">
        <f>+J387/[10]Pricing_BEL!$L$36</f>
        <v>0</v>
      </c>
      <c r="K733" s="38">
        <f>+K387/[11]Pricing_BEL!$L$36</f>
        <v>4.1504147995944915E-2</v>
      </c>
      <c r="L733" s="32">
        <f>+L387/[12]Pricing_BEL!$L$36</f>
        <v>0</v>
      </c>
      <c r="M733" s="32">
        <f>+M387/[13]Pricing_BEL!$L$36</f>
        <v>0</v>
      </c>
      <c r="N733" s="42"/>
    </row>
    <row r="734" spans="2:14" hidden="1" outlineLevel="2" x14ac:dyDescent="0.25">
      <c r="B734" s="17" t="s">
        <v>39</v>
      </c>
      <c r="C734" s="32">
        <f>+C388/[15]Pricing_BEL!$L$37</f>
        <v>0</v>
      </c>
      <c r="D734" s="28">
        <f>+D388/[1]Pricing_BEL!$L$37</f>
        <v>0</v>
      </c>
      <c r="E734" s="38">
        <f>+E388/[5]Pricing_BEL!$L$37</f>
        <v>3.2027251488500157E-2</v>
      </c>
      <c r="F734" s="28">
        <f>+F388/[6]Pricing_BEL!$L$37</f>
        <v>0</v>
      </c>
      <c r="G734" s="28">
        <f>+G388/[7]Pricing_BEL!$L$37</f>
        <v>0</v>
      </c>
      <c r="H734" s="38">
        <f>+H388/[8]Pricing_BEL!$L$37</f>
        <v>5.2113468352087612E-2</v>
      </c>
      <c r="I734" s="32">
        <f>+I388/[9]Pricing_BEL!$L$37</f>
        <v>0</v>
      </c>
      <c r="J734" s="32">
        <f>+J388/[10]Pricing_BEL!$L$37</f>
        <v>0</v>
      </c>
      <c r="K734" s="38">
        <f>+K388/[11]Pricing_BEL!$L$37</f>
        <v>7.649426010358204E-2</v>
      </c>
      <c r="L734" s="32">
        <f>+L388/[12]Pricing_BEL!$L$37</f>
        <v>0</v>
      </c>
      <c r="M734" s="32">
        <f>+M388/[13]Pricing_BEL!$L$37</f>
        <v>0</v>
      </c>
      <c r="N734" s="42"/>
    </row>
    <row r="735" spans="2:14" hidden="1" outlineLevel="2" x14ac:dyDescent="0.25">
      <c r="B735" s="17" t="s">
        <v>40</v>
      </c>
      <c r="C735" s="32">
        <f>+C389/[15]Pricing_BEL!$L$38</f>
        <v>0</v>
      </c>
      <c r="D735" s="28">
        <f>+D389/[1]Pricing_BEL!$L$38</f>
        <v>0</v>
      </c>
      <c r="E735" s="38">
        <f>+E389/[5]Pricing_BEL!$L$38</f>
        <v>3.95703629329478E-2</v>
      </c>
      <c r="F735" s="28">
        <f>+F389/[6]Pricing_BEL!$L$38</f>
        <v>0</v>
      </c>
      <c r="G735" s="28">
        <f>+G389/[7]Pricing_BEL!$L$38</f>
        <v>0</v>
      </c>
      <c r="H735" s="38">
        <f>+H389/[8]Pricing_BEL!$L$38</f>
        <v>5.6676598188125545E-2</v>
      </c>
      <c r="I735" s="32">
        <f>+I389/[9]Pricing_BEL!$L$38</f>
        <v>0</v>
      </c>
      <c r="J735" s="32">
        <f>+J389/[10]Pricing_BEL!$L$38</f>
        <v>0</v>
      </c>
      <c r="K735" s="38">
        <f>+K389/[11]Pricing_BEL!$L$38</f>
        <v>4.2360753426228193E-2</v>
      </c>
      <c r="L735" s="32">
        <f>+L389/[12]Pricing_BEL!$L$38</f>
        <v>0</v>
      </c>
      <c r="M735" s="32">
        <f>+M389/[13]Pricing_BEL!$L$38</f>
        <v>0</v>
      </c>
      <c r="N735" s="42"/>
    </row>
    <row r="736" spans="2:14" hidden="1" outlineLevel="2" x14ac:dyDescent="0.25">
      <c r="B736" s="17" t="s">
        <v>41</v>
      </c>
      <c r="C736" s="32">
        <f>+C390/[15]Pricing_BEL!$L$39</f>
        <v>0</v>
      </c>
      <c r="D736" s="28">
        <f>+D390/[1]Pricing_BEL!$L$39</f>
        <v>0</v>
      </c>
      <c r="E736" s="38">
        <f>+E390/[5]Pricing_BEL!$L$39</f>
        <v>1.2987437731508121E-2</v>
      </c>
      <c r="F736" s="28">
        <f>+F390/[6]Pricing_BEL!$L$39</f>
        <v>0</v>
      </c>
      <c r="G736" s="28">
        <f>+G390/[7]Pricing_BEL!$L$39</f>
        <v>0</v>
      </c>
      <c r="H736" s="38">
        <f>+H390/[8]Pricing_BEL!$L$39</f>
        <v>4.4462578213307256E-2</v>
      </c>
      <c r="I736" s="32">
        <f>+I390/[9]Pricing_BEL!$L$39</f>
        <v>0</v>
      </c>
      <c r="J736" s="32">
        <f>+J390/[10]Pricing_BEL!$L$39</f>
        <v>0</v>
      </c>
      <c r="K736" s="38">
        <f>+K390/[11]Pricing_BEL!$L$39</f>
        <v>2.1339304010714256E-2</v>
      </c>
      <c r="L736" s="32">
        <f>+L390/[12]Pricing_BEL!$L$39</f>
        <v>0</v>
      </c>
      <c r="M736" s="32">
        <f>+M390/[13]Pricing_BEL!$L$39</f>
        <v>0</v>
      </c>
      <c r="N736" s="42"/>
    </row>
    <row r="737" spans="2:15" hidden="1" outlineLevel="2" x14ac:dyDescent="0.25">
      <c r="B737" s="17" t="s">
        <v>42</v>
      </c>
      <c r="C737" s="32">
        <f>+C391/[15]Pricing_BEL!$L$40</f>
        <v>0</v>
      </c>
      <c r="D737" s="28">
        <f>+D391/[1]Pricing_BEL!$L$40</f>
        <v>0</v>
      </c>
      <c r="E737" s="38">
        <f>+E391/[5]Pricing_BEL!$L$40</f>
        <v>2.111410531669905E-2</v>
      </c>
      <c r="F737" s="28">
        <f>+F391/[6]Pricing_BEL!$L$40</f>
        <v>0</v>
      </c>
      <c r="G737" s="28">
        <f>+G391/[7]Pricing_BEL!$L$40</f>
        <v>0</v>
      </c>
      <c r="H737" s="38">
        <f>+H391/[8]Pricing_BEL!$L$40</f>
        <v>5.7992499307228239E-2</v>
      </c>
      <c r="I737" s="32">
        <f>+I391/[9]Pricing_BEL!$L$40</f>
        <v>0</v>
      </c>
      <c r="J737" s="32">
        <f>+J391/[10]Pricing_BEL!$L$40</f>
        <v>0</v>
      </c>
      <c r="K737" s="38">
        <f>+K391/[11]Pricing_BEL!$L$40</f>
        <v>5.1688308022174133E-2</v>
      </c>
      <c r="L737" s="32">
        <f>+L391/[12]Pricing_BEL!$L$40</f>
        <v>0</v>
      </c>
      <c r="M737" s="32">
        <f>+M391/[13]Pricing_BEL!$L$40</f>
        <v>0</v>
      </c>
      <c r="N737" s="42"/>
    </row>
    <row r="738" spans="2:15" hidden="1" outlineLevel="2" x14ac:dyDescent="0.25">
      <c r="B738" s="17" t="s">
        <v>43</v>
      </c>
      <c r="C738" s="32">
        <f>+C392/[15]Pricing_BEL!$L$41</f>
        <v>0</v>
      </c>
      <c r="D738" s="28">
        <f>+D392/[1]Pricing_BEL!$L$41</f>
        <v>0</v>
      </c>
      <c r="E738" s="38">
        <f>+E392/[5]Pricing_BEL!$L$41</f>
        <v>3.7731483644760283E-2</v>
      </c>
      <c r="F738" s="28">
        <f>+F392/[6]Pricing_BEL!$L$41</f>
        <v>0</v>
      </c>
      <c r="G738" s="28">
        <f>+G392/[7]Pricing_BEL!$L$41</f>
        <v>0</v>
      </c>
      <c r="H738" s="38">
        <f>+H392/[8]Pricing_BEL!$L$41</f>
        <v>6.9249758343976328E-2</v>
      </c>
      <c r="I738" s="32">
        <f>+I392/[9]Pricing_BEL!$L$41</f>
        <v>0</v>
      </c>
      <c r="J738" s="32">
        <f>+J392/[10]Pricing_BEL!$L$41</f>
        <v>0</v>
      </c>
      <c r="K738" s="38">
        <f>+K392/[11]Pricing_BEL!$L$41</f>
        <v>8.5397687962813287E-2</v>
      </c>
      <c r="L738" s="32">
        <f>+L392/[12]Pricing_BEL!$L$41</f>
        <v>0</v>
      </c>
      <c r="M738" s="32">
        <f>+M392/[13]Pricing_BEL!$L$41</f>
        <v>0</v>
      </c>
      <c r="N738" s="42"/>
    </row>
    <row r="739" spans="2:15" hidden="1" outlineLevel="2" x14ac:dyDescent="0.25">
      <c r="B739" s="17" t="s">
        <v>44</v>
      </c>
      <c r="C739" s="32">
        <f>+C393/[15]Pricing_BEL!$L$42</f>
        <v>0</v>
      </c>
      <c r="D739" s="28">
        <f>+D393/[1]Pricing_BEL!$L$42</f>
        <v>0</v>
      </c>
      <c r="E739" s="38">
        <f>+E393/[5]Pricing_BEL!$L$42</f>
        <v>6.577622442161192E-2</v>
      </c>
      <c r="F739" s="28">
        <f>+F393/[6]Pricing_BEL!$L$42</f>
        <v>0</v>
      </c>
      <c r="G739" s="28">
        <f>+G393/[7]Pricing_BEL!$L$42</f>
        <v>0</v>
      </c>
      <c r="H739" s="38">
        <f>+H393/[8]Pricing_BEL!$L$42</f>
        <v>8.6971243064106821E-2</v>
      </c>
      <c r="I739" s="32">
        <f>+I393/[9]Pricing_BEL!$L$42</f>
        <v>0</v>
      </c>
      <c r="J739" s="32">
        <f>+J393/[10]Pricing_BEL!$L$42</f>
        <v>0</v>
      </c>
      <c r="K739" s="38">
        <f>+K393/[11]Pricing_BEL!$L$42</f>
        <v>0.11632574280944515</v>
      </c>
      <c r="L739" s="32">
        <f>+L393/[12]Pricing_BEL!$L$42</f>
        <v>0</v>
      </c>
      <c r="M739" s="32">
        <f>+M393/[13]Pricing_BEL!$L$42</f>
        <v>0</v>
      </c>
      <c r="N739" s="42"/>
    </row>
    <row r="740" spans="2:15" hidden="1" outlineLevel="2" x14ac:dyDescent="0.25">
      <c r="B740" s="17" t="s">
        <v>45</v>
      </c>
      <c r="C740" s="32">
        <f>+C394/[15]Pricing_BEL!$L$43</f>
        <v>0</v>
      </c>
      <c r="D740" s="28">
        <f>+D394/[1]Pricing_BEL!$L$43</f>
        <v>0</v>
      </c>
      <c r="E740" s="38">
        <f>+E394/[5]Pricing_BEL!$L$43</f>
        <v>7.2664813534885117E-2</v>
      </c>
      <c r="F740" s="28">
        <f>+F394/[6]Pricing_BEL!$L$43</f>
        <v>0</v>
      </c>
      <c r="G740" s="28">
        <f>+G394/[7]Pricing_BEL!$L$43</f>
        <v>0</v>
      </c>
      <c r="H740" s="38">
        <f>+H394/[8]Pricing_BEL!$L$43</f>
        <v>6.9153812081504326E-2</v>
      </c>
      <c r="I740" s="32">
        <f>+I394/[9]Pricing_BEL!$L$43</f>
        <v>0</v>
      </c>
      <c r="J740" s="32">
        <f>+J394/[10]Pricing_BEL!$L$43</f>
        <v>0</v>
      </c>
      <c r="K740" s="38">
        <f>+K394/[11]Pricing_BEL!$L$43</f>
        <v>3.1066309731136246E-2</v>
      </c>
      <c r="L740" s="32">
        <f>+L394/[12]Pricing_BEL!$L$43</f>
        <v>0</v>
      </c>
      <c r="M740" s="32">
        <f>+M394/[13]Pricing_BEL!$L$43</f>
        <v>0</v>
      </c>
      <c r="N740" s="42"/>
    </row>
    <row r="741" spans="2:15" hidden="1" outlineLevel="2" x14ac:dyDescent="0.25">
      <c r="B741" s="17" t="s">
        <v>46</v>
      </c>
      <c r="C741" s="32">
        <f>+C395/[15]Pricing_BEL!$L$44</f>
        <v>0</v>
      </c>
      <c r="D741" s="28">
        <f>+D395/[1]Pricing_BEL!$L$44</f>
        <v>0</v>
      </c>
      <c r="E741" s="38">
        <f>+E395/[5]Pricing_BEL!$L$44</f>
        <v>-2.2478018973142378E-2</v>
      </c>
      <c r="F741" s="28">
        <f>+F395/[6]Pricing_BEL!$L$44</f>
        <v>0</v>
      </c>
      <c r="G741" s="28">
        <f>+G395/[7]Pricing_BEL!$L$44</f>
        <v>0</v>
      </c>
      <c r="H741" s="38">
        <f>+H395/[8]Pricing_BEL!$L$44</f>
        <v>9.0310702896896355E-2</v>
      </c>
      <c r="I741" s="32">
        <f>+I395/[9]Pricing_BEL!$L$44</f>
        <v>0</v>
      </c>
      <c r="J741" s="32">
        <f>+J395/[10]Pricing_BEL!$L$44</f>
        <v>0</v>
      </c>
      <c r="K741" s="38">
        <f>+K395/[11]Pricing_BEL!$L$44</f>
        <v>-6.7493324085072498E-2</v>
      </c>
      <c r="L741" s="32">
        <f>+L395/[12]Pricing_BEL!$L$44</f>
        <v>0</v>
      </c>
      <c r="M741" s="32">
        <f>+M395/[13]Pricing_BEL!$L$44</f>
        <v>0</v>
      </c>
      <c r="N741" s="42"/>
    </row>
    <row r="742" spans="2:15" hidden="1" outlineLevel="2" x14ac:dyDescent="0.25">
      <c r="B742" s="17" t="s">
        <v>47</v>
      </c>
      <c r="C742" s="32">
        <f>+C396/[15]Pricing_BEL!$L$45</f>
        <v>0</v>
      </c>
      <c r="D742" s="28">
        <f>+D396/[1]Pricing_BEL!$L$45</f>
        <v>0</v>
      </c>
      <c r="E742" s="38">
        <f>+E396/[5]Pricing_BEL!$L$45</f>
        <v>-3.1758897870508376E-3</v>
      </c>
      <c r="F742" s="28">
        <f>+F396/[6]Pricing_BEL!$L$45</f>
        <v>0</v>
      </c>
      <c r="G742" s="28">
        <f>+G396/[7]Pricing_BEL!$L$45</f>
        <v>0</v>
      </c>
      <c r="H742" s="38">
        <f>+H396/[8]Pricing_BEL!$L$45</f>
        <v>9.586884270391946E-2</v>
      </c>
      <c r="I742" s="32">
        <f>+I396/[9]Pricing_BEL!$L$45</f>
        <v>0</v>
      </c>
      <c r="J742" s="32">
        <f>+J396/[10]Pricing_BEL!$L$45</f>
        <v>0</v>
      </c>
      <c r="K742" s="38">
        <f>+K396/[11]Pricing_BEL!$L$45</f>
        <v>-7.0236037131255341E-2</v>
      </c>
      <c r="L742" s="32">
        <f>+L396/[12]Pricing_BEL!$L$45</f>
        <v>0</v>
      </c>
      <c r="M742" s="32">
        <f>+M396/[13]Pricing_BEL!$L$45</f>
        <v>0</v>
      </c>
      <c r="N742" s="42"/>
    </row>
    <row r="743" spans="2:15" hidden="1" outlineLevel="2" x14ac:dyDescent="0.25">
      <c r="B743" s="17" t="s">
        <v>48</v>
      </c>
      <c r="C743" s="32">
        <f>+C397/[15]Pricing_BEL!$L$46</f>
        <v>0</v>
      </c>
      <c r="D743" s="28">
        <f>+D397/[1]Pricing_BEL!$L$46</f>
        <v>0</v>
      </c>
      <c r="E743" s="38">
        <f>+E397/[5]Pricing_BEL!$L$46</f>
        <v>1.1419227786769038E-2</v>
      </c>
      <c r="F743" s="28">
        <f>+F397/[6]Pricing_BEL!$L$46</f>
        <v>0</v>
      </c>
      <c r="G743" s="28">
        <f>+G397/[7]Pricing_BEL!$L$46</f>
        <v>0</v>
      </c>
      <c r="H743" s="38">
        <f>+H397/[8]Pricing_BEL!$L$46</f>
        <v>9.6892805024764744E-2</v>
      </c>
      <c r="I743" s="32">
        <f>+I397/[9]Pricing_BEL!$L$46</f>
        <v>0</v>
      </c>
      <c r="J743" s="32">
        <f>+J397/[10]Pricing_BEL!$L$46</f>
        <v>0</v>
      </c>
      <c r="K743" s="38">
        <f>+K397/[11]Pricing_BEL!$L$46</f>
        <v>-5.7576834125526409E-2</v>
      </c>
      <c r="L743" s="32">
        <f>+L397/[12]Pricing_BEL!$L$46</f>
        <v>0</v>
      </c>
      <c r="M743" s="32">
        <f>+M397/[13]Pricing_BEL!$L$46</f>
        <v>0</v>
      </c>
      <c r="N743" s="42"/>
    </row>
    <row r="744" spans="2:15" hidden="1" outlineLevel="2" x14ac:dyDescent="0.25">
      <c r="B744" s="17" t="s">
        <v>49</v>
      </c>
      <c r="C744" s="32">
        <f>+C398/[15]Pricing_BEL!$L$47</f>
        <v>0</v>
      </c>
      <c r="D744" s="28">
        <f>+D398/[1]Pricing_BEL!$L$47</f>
        <v>0</v>
      </c>
      <c r="E744" s="38">
        <f>+E398/[5]Pricing_BEL!$L$47</f>
        <v>3.0379403440682167E-2</v>
      </c>
      <c r="F744" s="28">
        <f>+F398/[6]Pricing_BEL!$L$47</f>
        <v>0</v>
      </c>
      <c r="G744" s="28">
        <f>+G398/[7]Pricing_BEL!$L$47</f>
        <v>0</v>
      </c>
      <c r="H744" s="38">
        <f>+H398/[8]Pricing_BEL!$L$47</f>
        <v>8.6200931826857397E-2</v>
      </c>
      <c r="I744" s="32">
        <f>+I398/[9]Pricing_BEL!$L$47</f>
        <v>0</v>
      </c>
      <c r="J744" s="32">
        <f>+J398/[10]Pricing_BEL!$L$47</f>
        <v>0</v>
      </c>
      <c r="K744" s="38">
        <f>+K398/[11]Pricing_BEL!$L$47</f>
        <v>-4.685347015737977E-2</v>
      </c>
      <c r="L744" s="32">
        <f>+L398/[12]Pricing_BEL!$L$47</f>
        <v>0</v>
      </c>
      <c r="M744" s="32">
        <f>+M398/[13]Pricing_BEL!$L$47</f>
        <v>0</v>
      </c>
      <c r="N744" s="42"/>
    </row>
    <row r="745" spans="2:15" hidden="1" outlineLevel="2" x14ac:dyDescent="0.25">
      <c r="B745" s="17" t="s">
        <v>50</v>
      </c>
      <c r="C745" s="32">
        <f>+C399/[15]Pricing_BEL!$L$48</f>
        <v>0</v>
      </c>
      <c r="D745" s="28">
        <f>+D399/[1]Pricing_BEL!$L$48</f>
        <v>0</v>
      </c>
      <c r="E745" s="38">
        <f>+E399/[5]Pricing_BEL!$L$48</f>
        <v>1.8492699451527282E-2</v>
      </c>
      <c r="F745" s="28">
        <f>+F399/[6]Pricing_BEL!$L$48</f>
        <v>0</v>
      </c>
      <c r="G745" s="28">
        <f>+G399/[7]Pricing_BEL!$L$48</f>
        <v>0</v>
      </c>
      <c r="H745" s="38">
        <f>+H399/[8]Pricing_BEL!$L$48</f>
        <v>7.6739742394543509E-2</v>
      </c>
      <c r="I745" s="32">
        <f>+I399/[9]Pricing_BEL!$L$48</f>
        <v>0</v>
      </c>
      <c r="J745" s="32">
        <f>+J399/[10]Pricing_BEL!$L$48</f>
        <v>0</v>
      </c>
      <c r="K745" s="38">
        <f>+K399/[11]Pricing_BEL!$L$48</f>
        <v>-4.7535285963658462E-2</v>
      </c>
      <c r="L745" s="32">
        <f>+L399/[12]Pricing_BEL!$L$48</f>
        <v>0</v>
      </c>
      <c r="M745" s="32">
        <f>+M399/[13]Pricing_BEL!$L$48</f>
        <v>0</v>
      </c>
      <c r="N745" s="42"/>
    </row>
    <row r="746" spans="2:15" hidden="1" outlineLevel="2" x14ac:dyDescent="0.25">
      <c r="B746" s="17" t="s">
        <v>51</v>
      </c>
      <c r="C746" s="32">
        <f>+C400/[15]Pricing_BEL!$L$49</f>
        <v>0</v>
      </c>
      <c r="D746" s="28">
        <f>+D400/[1]Pricing_BEL!$L$49</f>
        <v>0</v>
      </c>
      <c r="E746" s="38">
        <f>+E400/[5]Pricing_BEL!$L$49</f>
        <v>3.0186187275068423E-2</v>
      </c>
      <c r="F746" s="28">
        <f>+F400/[6]Pricing_BEL!$L$49</f>
        <v>0</v>
      </c>
      <c r="G746" s="28">
        <f>+G400/[7]Pricing_BEL!$L$49</f>
        <v>0</v>
      </c>
      <c r="H746" s="38">
        <f>+H400/[8]Pricing_BEL!$L$49</f>
        <v>8.4764264300249734E-2</v>
      </c>
      <c r="I746" s="32">
        <f>+I400/[9]Pricing_BEL!$L$49</f>
        <v>0</v>
      </c>
      <c r="J746" s="32">
        <f>+J400/[10]Pricing_BEL!$L$49</f>
        <v>0</v>
      </c>
      <c r="K746" s="38">
        <f>+K400/[11]Pricing_BEL!$L$49</f>
        <v>-4.4969695005233935E-2</v>
      </c>
      <c r="L746" s="32">
        <f>+L400/[12]Pricing_BEL!$L$49</f>
        <v>0</v>
      </c>
      <c r="M746" s="32">
        <f>+M400/[13]Pricing_BEL!$L$49</f>
        <v>0</v>
      </c>
      <c r="N746" s="42"/>
    </row>
    <row r="747" spans="2:15" hidden="1" outlineLevel="2" x14ac:dyDescent="0.25">
      <c r="B747" s="17" t="s">
        <v>52</v>
      </c>
      <c r="C747" s="32">
        <f>+C401/[15]Pricing_BEL!$L$50</f>
        <v>0</v>
      </c>
      <c r="D747" s="28">
        <f>+D401/[1]Pricing_BEL!$L$50</f>
        <v>0</v>
      </c>
      <c r="E747" s="38">
        <f>+E401/[5]Pricing_BEL!$L$50</f>
        <v>2.7076308620814355E-2</v>
      </c>
      <c r="F747" s="28">
        <f>+F401/[6]Pricing_BEL!$L$50</f>
        <v>0</v>
      </c>
      <c r="G747" s="28">
        <f>+G401/[7]Pricing_BEL!$L$50</f>
        <v>0</v>
      </c>
      <c r="H747" s="38">
        <f>+H401/[8]Pricing_BEL!$L$50</f>
        <v>8.6302774584230219E-2</v>
      </c>
      <c r="I747" s="32">
        <f>+I401/[9]Pricing_BEL!$L$50</f>
        <v>0</v>
      </c>
      <c r="J747" s="32">
        <f>+J401/[10]Pricing_BEL!$L$50</f>
        <v>0</v>
      </c>
      <c r="K747" s="38">
        <f>+K401/[11]Pricing_BEL!$L$50</f>
        <v>-5.477776596911578E-2</v>
      </c>
      <c r="L747" s="32">
        <f>+L401/[12]Pricing_BEL!$L$50</f>
        <v>0</v>
      </c>
      <c r="M747" s="32">
        <f>+M401/[13]Pricing_BEL!$L$50</f>
        <v>0</v>
      </c>
      <c r="N747" s="42"/>
    </row>
    <row r="748" spans="2:15" hidden="1" outlineLevel="2" x14ac:dyDescent="0.25">
      <c r="B748" s="17" t="s">
        <v>53</v>
      </c>
      <c r="C748" s="32">
        <f>+C402/[15]Pricing_BEL!$L$51</f>
        <v>0</v>
      </c>
      <c r="D748" s="28">
        <f>+D402/[1]Pricing_BEL!$L$51</f>
        <v>0</v>
      </c>
      <c r="E748" s="38">
        <f>+E402/[5]Pricing_BEL!$L$51</f>
        <v>2.9436406146171275E-2</v>
      </c>
      <c r="F748" s="28">
        <f>+F402/[6]Pricing_BEL!$L$51</f>
        <v>0</v>
      </c>
      <c r="G748" s="28">
        <f>+G402/[7]Pricing_BEL!$L$51</f>
        <v>0</v>
      </c>
      <c r="H748" s="38">
        <f>+H402/[8]Pricing_BEL!$L$51</f>
        <v>9.8318792745398037E-2</v>
      </c>
      <c r="I748" s="32">
        <f>+I402/[9]Pricing_BEL!$L$51</f>
        <v>0</v>
      </c>
      <c r="J748" s="32">
        <f>+J402/[10]Pricing_BEL!$L$51</f>
        <v>0</v>
      </c>
      <c r="K748" s="38">
        <f>+K402/[11]Pricing_BEL!$L$51</f>
        <v>-6.9182747415255375E-2</v>
      </c>
      <c r="L748" s="32">
        <f>+L402/[12]Pricing_BEL!$L$51</f>
        <v>0</v>
      </c>
      <c r="M748" s="32">
        <f>+M402/[13]Pricing_BEL!$L$51</f>
        <v>0</v>
      </c>
      <c r="N748" s="42"/>
    </row>
    <row r="749" spans="2:15" hidden="1" outlineLevel="2" x14ac:dyDescent="0.25">
      <c r="B749" s="17" t="s">
        <v>54</v>
      </c>
      <c r="C749" s="32">
        <f>+C403/[15]Pricing_BEL!$L$52</f>
        <v>0</v>
      </c>
      <c r="D749" s="28">
        <f>+D403/[1]Pricing_BEL!$L$52</f>
        <v>0</v>
      </c>
      <c r="E749" s="38">
        <f>+E403/[5]Pricing_BEL!$L$52</f>
        <v>-3.1668025202534812E-3</v>
      </c>
      <c r="F749" s="28">
        <f>+F403/[6]Pricing_BEL!$L$52</f>
        <v>0</v>
      </c>
      <c r="G749" s="28">
        <f>+G403/[7]Pricing_BEL!$L$52</f>
        <v>0</v>
      </c>
      <c r="H749" s="38">
        <f>+H403/[8]Pricing_BEL!$L$52</f>
        <v>0.13264503009275122</v>
      </c>
      <c r="I749" s="32">
        <f>+I403/[9]Pricing_BEL!$L$52</f>
        <v>0</v>
      </c>
      <c r="J749" s="32">
        <f>+J403/[10]Pricing_BEL!$L$52</f>
        <v>0</v>
      </c>
      <c r="K749" s="38">
        <f>+K403/[11]Pricing_BEL!$L$52</f>
        <v>-7.8442152295477338E-2</v>
      </c>
      <c r="L749" s="32">
        <f>+L403/[12]Pricing_BEL!$L$52</f>
        <v>0</v>
      </c>
      <c r="M749" s="32">
        <f>+M403/[13]Pricing_BEL!$L$52</f>
        <v>0</v>
      </c>
      <c r="N749" s="42"/>
    </row>
    <row r="750" spans="2:15" hidden="1" outlineLevel="2" x14ac:dyDescent="0.25">
      <c r="B750" s="17" t="s">
        <v>55</v>
      </c>
      <c r="C750" s="32">
        <f>+C404/[15]Pricing_BEL!$L$53</f>
        <v>0</v>
      </c>
      <c r="D750" s="28">
        <f>+D404/[1]Pricing_BEL!$L$53</f>
        <v>0</v>
      </c>
      <c r="E750" s="38">
        <f>+E404/[5]Pricing_BEL!$L$53</f>
        <v>-2.9073453882367747E-2</v>
      </c>
      <c r="F750" s="28">
        <f>+F404/[6]Pricing_BEL!$L$53</f>
        <v>0</v>
      </c>
      <c r="G750" s="28">
        <f>+G404/[7]Pricing_BEL!$L$53</f>
        <v>0</v>
      </c>
      <c r="H750" s="38">
        <f>+H404/[8]Pricing_BEL!$L$53</f>
        <v>8.0371370194891309E-2</v>
      </c>
      <c r="I750" s="32">
        <f>+I404/[9]Pricing_BEL!$L$53</f>
        <v>0</v>
      </c>
      <c r="J750" s="32">
        <f>+J404/[10]Pricing_BEL!$L$53</f>
        <v>0</v>
      </c>
      <c r="K750" s="38">
        <f>+K404/[11]Pricing_BEL!$L$53</f>
        <v>-9.7789093735148977E-2</v>
      </c>
      <c r="L750" s="32">
        <f>+L404/[12]Pricing_BEL!$L$53</f>
        <v>0</v>
      </c>
      <c r="M750" s="32">
        <f>+M404/[13]Pricing_BEL!$L$53</f>
        <v>0</v>
      </c>
      <c r="N750" s="42"/>
    </row>
    <row r="751" spans="2:15" hidden="1" outlineLevel="2" x14ac:dyDescent="0.25">
      <c r="B751" s="17" t="s">
        <v>56</v>
      </c>
      <c r="C751" s="32">
        <f>+C405/[15]Pricing_BEL!$L$54</f>
        <v>0</v>
      </c>
      <c r="D751" s="28">
        <f>+D405/[1]Pricing_BEL!$L$54</f>
        <v>0</v>
      </c>
      <c r="E751" s="38">
        <f>+E405/[5]Pricing_BEL!$L$54</f>
        <v>-9.4061227773480957E-2</v>
      </c>
      <c r="F751" s="28">
        <f>+F405/[6]Pricing_BEL!$L$54</f>
        <v>0</v>
      </c>
      <c r="G751" s="28">
        <f>+G405/[7]Pricing_BEL!$L$54</f>
        <v>0</v>
      </c>
      <c r="H751" s="38">
        <f>+H405/[8]Pricing_BEL!$L$54</f>
        <v>0.13909030474923326</v>
      </c>
      <c r="I751" s="32">
        <f>+I405/[9]Pricing_BEL!$L$54</f>
        <v>0</v>
      </c>
      <c r="J751" s="32">
        <f>+J405/[10]Pricing_BEL!$L$54</f>
        <v>0</v>
      </c>
      <c r="K751" s="38">
        <f>+K405/[11]Pricing_BEL!$L$54</f>
        <v>-0.10618224657403712</v>
      </c>
      <c r="L751" s="32">
        <f>+L405/[12]Pricing_BEL!$L$54</f>
        <v>0</v>
      </c>
      <c r="M751" s="32">
        <f>+M405/[13]Pricing_BEL!$L$54</f>
        <v>0</v>
      </c>
      <c r="N751" s="42"/>
    </row>
    <row r="752" spans="2:15" collapsed="1" x14ac:dyDescent="0.25">
      <c r="B752" s="13" t="s">
        <v>89</v>
      </c>
      <c r="C752" s="32">
        <f>+C406/SUM([15]Result!$C$5:$C$54)</f>
        <v>-1.7037449717359271E-3</v>
      </c>
      <c r="D752" s="28">
        <f>+D406/SUM([1]Result!$C$5:$C$54)</f>
        <v>3.0960225479119917E-3</v>
      </c>
      <c r="E752" s="38">
        <f>+E406/SUM([5]Result!$C$5:$C$54)</f>
        <v>3.0792335625073025E-2</v>
      </c>
      <c r="F752" s="28">
        <f>+F406/SUM([6]Result!$C$5:$C$54)</f>
        <v>6.7673391665541418E-3</v>
      </c>
      <c r="G752" s="28">
        <f>+G406/SUM([7]Result!$C$5:$C$54)</f>
        <v>-1.8693115450489439E-3</v>
      </c>
      <c r="H752" s="38">
        <f>+H406/SUM([8]Result!$C$5:$C$54)</f>
        <v>-3.2445821879546442E-2</v>
      </c>
      <c r="I752" s="28">
        <f>+I406/SUM([9]Result!$C$5:$C$54)</f>
        <v>-2.2605803156345769E-3</v>
      </c>
      <c r="J752" s="28">
        <f>+J406/SUM([10]Result!$C$5:$C$54)</f>
        <v>4.3233246650152399E-4</v>
      </c>
      <c r="K752" s="38">
        <f>+K406/SUM([11]Result!$C$5:$C$54)</f>
        <v>1.8470120272003395E-3</v>
      </c>
      <c r="L752" s="28">
        <f>+L406/SUM([12]Result!$C$5:$C$54)</f>
        <v>8.2761779564611681E-4</v>
      </c>
      <c r="M752" s="28">
        <f>+M406/SUM([13]Result!$C$5:$C$54)</f>
        <v>-2.2838945722638161E-3</v>
      </c>
      <c r="N752" s="42"/>
      <c r="O752" s="30"/>
    </row>
    <row r="753" spans="2:14" hidden="1" outlineLevel="1" x14ac:dyDescent="0.25">
      <c r="B753" s="16" t="s">
        <v>2</v>
      </c>
      <c r="C753" s="32">
        <f>+C407/'[15]Stat by Mat'!$G$3</f>
        <v>-9.2178343437409661E-4</v>
      </c>
      <c r="D753" s="28">
        <f>+D407/'[1]Stat by Mat'!$G$3</f>
        <v>1.9204172341019126E-3</v>
      </c>
      <c r="E753" s="38">
        <f>+E407/'[5]Stat by Mat'!$G$3</f>
        <v>5.0004876753332816E-2</v>
      </c>
      <c r="F753" s="28">
        <f>+F407/'[6]Stat by Mat'!$G$3</f>
        <v>4.1620491422910836E-3</v>
      </c>
      <c r="G753" s="28">
        <f>+G407/'[7]Stat by Mat'!$G$3</f>
        <v>-6.9560609507621489E-4</v>
      </c>
      <c r="H753" s="38">
        <f>+H407/'[8]Stat by Mat'!$G$3</f>
        <v>-3.7018714149575603E-2</v>
      </c>
      <c r="I753" s="32">
        <f>+I407/'[9]Stat by Mat'!$G$3</f>
        <v>-1.3279752259452303E-3</v>
      </c>
      <c r="J753" s="32">
        <f>+J407/'[10]Stat by Mat'!$G$3</f>
        <v>5.5470239223875907E-4</v>
      </c>
      <c r="K753" s="38">
        <f>+K407/'[11]Stat by Mat'!$G$3</f>
        <v>9.9209525884286004E-4</v>
      </c>
      <c r="L753" s="32">
        <f>+L407/'[12]Stat by Mat'!$G$3</f>
        <v>4.1848384740457011E-4</v>
      </c>
      <c r="M753" s="32">
        <f>+M407/'[13]Stat by Mat'!$G$3</f>
        <v>-6.4845211354956839E-4</v>
      </c>
      <c r="N753" s="42"/>
    </row>
    <row r="754" spans="2:14" ht="15" hidden="1" customHeight="1" outlineLevel="2" x14ac:dyDescent="0.25">
      <c r="B754" s="17" t="s">
        <v>3</v>
      </c>
      <c r="C754" s="32">
        <f>+C408/[15]Result!$C$5</f>
        <v>-2.7553100307365502E-4</v>
      </c>
      <c r="D754" s="28">
        <f>+D408/[1]Result!$C$5</f>
        <v>7.4532942003814715E-4</v>
      </c>
      <c r="E754" s="38">
        <f>+E408/[5]Result!$C$5</f>
        <v>2.4503166501474161E-3</v>
      </c>
      <c r="F754" s="28">
        <f>+F408/[6]Result!$C$5</f>
        <v>1.384154588053782E-3</v>
      </c>
      <c r="G754" s="28">
        <f>+G408/[7]Result!$C$5</f>
        <v>-7.7804415321495649E-5</v>
      </c>
      <c r="H754" s="38">
        <f>+H408/[8]Result!$C$5</f>
        <v>-9.1345590221634507E-2</v>
      </c>
      <c r="I754" s="32">
        <f>+I408/[9]Result!$C$5</f>
        <v>-3.3029034025678755E-4</v>
      </c>
      <c r="J754" s="32">
        <f>+J408/[10]Result!$C$5</f>
        <v>4.3704037256146363E-5</v>
      </c>
      <c r="K754" s="38">
        <f>+K408/[11]Result!$C$5</f>
        <v>-5.3627198155913026E-2</v>
      </c>
      <c r="L754" s="32">
        <f>+L408/[12]Result!$C$5</f>
        <v>-2.4257710841393792E-5</v>
      </c>
      <c r="M754" s="32">
        <f>+M408/[13]Result!$C$5</f>
        <v>-5.8210218785187233E-5</v>
      </c>
      <c r="N754" s="42"/>
    </row>
    <row r="755" spans="2:14" hidden="1" outlineLevel="2" x14ac:dyDescent="0.25">
      <c r="B755" s="17" t="s">
        <v>4</v>
      </c>
      <c r="C755" s="32">
        <f>+C409/[15]Result!$C$6</f>
        <v>-9.59632375128355E-4</v>
      </c>
      <c r="D755" s="28">
        <f>+D409/[1]Result!$C$6</f>
        <v>1.9943611454793456E-3</v>
      </c>
      <c r="E755" s="38">
        <f>+E409/[5]Result!$C$6</f>
        <v>0.18196299260253695</v>
      </c>
      <c r="F755" s="28">
        <f>+F409/[6]Result!$C$6</f>
        <v>4.3935892207326698E-3</v>
      </c>
      <c r="G755" s="28">
        <f>+G409/[7]Result!$C$6</f>
        <v>-6.1453079057845856E-4</v>
      </c>
      <c r="H755" s="38">
        <f>+H409/[8]Result!$C$6</f>
        <v>2.2694277632756499E-2</v>
      </c>
      <c r="I755" s="32">
        <f>+I409/[9]Result!$C$6</f>
        <v>-1.2878331141628154E-3</v>
      </c>
      <c r="J755" s="32">
        <f>+J409/[10]Result!$C$6</f>
        <v>4.2329919080304977E-4</v>
      </c>
      <c r="K755" s="38">
        <f>+K409/[11]Result!$C$6</f>
        <v>3.5116816482643767E-2</v>
      </c>
      <c r="L755" s="32">
        <f>+L409/[12]Result!$C$6</f>
        <v>2.7597085864379376E-4</v>
      </c>
      <c r="M755" s="32">
        <f>+M409/[13]Result!$C$6</f>
        <v>-4.7634177567831062E-4</v>
      </c>
      <c r="N755" s="42"/>
    </row>
    <row r="756" spans="2:14" hidden="1" outlineLevel="2" x14ac:dyDescent="0.25">
      <c r="B756" s="17" t="s">
        <v>5</v>
      </c>
      <c r="C756" s="32">
        <f>+C410/[15]Result!$C$7</f>
        <v>-1.8534436583867791E-3</v>
      </c>
      <c r="D756" s="28">
        <f>+D410/[1]Result!$C$7</f>
        <v>3.3851907733636203E-3</v>
      </c>
      <c r="E756" s="38">
        <f>+E410/[5]Result!$C$7</f>
        <v>6.4830590431362396E-3</v>
      </c>
      <c r="F756" s="28">
        <f>+F410/[6]Result!$C$7</f>
        <v>7.4403296115587358E-3</v>
      </c>
      <c r="G756" s="28">
        <f>+G410/[7]Result!$C$7</f>
        <v>-1.4626961344025048E-3</v>
      </c>
      <c r="H756" s="38">
        <f>+H410/[8]Result!$C$7</f>
        <v>-6.2856825291181832E-3</v>
      </c>
      <c r="I756" s="32">
        <f>+I410/[9]Result!$C$7</f>
        <v>-2.5240489754032869E-3</v>
      </c>
      <c r="J756" s="32">
        <f>+J410/[10]Result!$C$7</f>
        <v>1.2448248572231098E-3</v>
      </c>
      <c r="K756" s="38">
        <f>+K410/[11]Result!$C$7</f>
        <v>7.7807001794784225E-2</v>
      </c>
      <c r="L756" s="32">
        <f>+L410/[12]Result!$C$7</f>
        <v>9.0307311082201119E-4</v>
      </c>
      <c r="M756" s="32">
        <f>+M410/[13]Result!$C$7</f>
        <v>-1.1805703837625165E-3</v>
      </c>
      <c r="N756" s="42"/>
    </row>
    <row r="757" spans="2:14" hidden="1" outlineLevel="2" x14ac:dyDescent="0.25">
      <c r="B757" s="17" t="s">
        <v>6</v>
      </c>
      <c r="C757" s="32">
        <f>+C411/[15]Result!$C$8</f>
        <v>-2.4048656247202824E-3</v>
      </c>
      <c r="D757" s="28">
        <f>+D411/[1]Result!$C$8</f>
        <v>4.6392791482092128E-3</v>
      </c>
      <c r="E757" s="38">
        <f>+E411/[5]Result!$C$8</f>
        <v>1.771425166372392E-2</v>
      </c>
      <c r="F757" s="28">
        <f>+F411/[6]Result!$C$8</f>
        <v>1.0339706697152822E-2</v>
      </c>
      <c r="G757" s="28">
        <f>+G411/[7]Result!$C$8</f>
        <v>-2.2928346825079387E-3</v>
      </c>
      <c r="H757" s="38">
        <f>+H411/[8]Result!$C$8</f>
        <v>-5.7550630145781513E-4</v>
      </c>
      <c r="I757" s="32">
        <f>+I411/[9]Result!$C$8</f>
        <v>-3.5393100509504764E-3</v>
      </c>
      <c r="J757" s="32">
        <f>+J411/[10]Result!$C$8</f>
        <v>1.9430830278257772E-3</v>
      </c>
      <c r="K757" s="38">
        <f>+K411/[11]Result!$C$8</f>
        <v>4.2326419414586848E-2</v>
      </c>
      <c r="L757" s="32">
        <f>+L411/[12]Result!$C$8</f>
        <v>1.519405636788123E-3</v>
      </c>
      <c r="M757" s="32">
        <f>+M411/[13]Result!$C$8</f>
        <v>-2.0468424512947395E-3</v>
      </c>
      <c r="N757" s="42"/>
    </row>
    <row r="758" spans="2:14" hidden="1" outlineLevel="2" x14ac:dyDescent="0.25">
      <c r="B758" s="17" t="s">
        <v>7</v>
      </c>
      <c r="C758" s="32">
        <f>+C412/[15]Result!$C$9</f>
        <v>-2.6953207380882795E-3</v>
      </c>
      <c r="D758" s="28">
        <f>+D412/[1]Result!$C$9</f>
        <v>5.7021306115727548E-3</v>
      </c>
      <c r="E758" s="38">
        <f>+E412/[5]Result!$C$9</f>
        <v>-1.3733262722239561E-2</v>
      </c>
      <c r="F758" s="28">
        <f>+F412/[6]Result!$C$9</f>
        <v>1.3287956705967503E-2</v>
      </c>
      <c r="G758" s="28">
        <f>+G412/[7]Result!$C$9</f>
        <v>-3.0790160073469273E-3</v>
      </c>
      <c r="H758" s="38">
        <f>+H412/[8]Result!$C$9</f>
        <v>9.800349245227232E-4</v>
      </c>
      <c r="I758" s="32">
        <f>+I412/[9]Result!$C$9</f>
        <v>-4.3837263375308706E-3</v>
      </c>
      <c r="J758" s="32">
        <f>+J412/[10]Result!$C$9</f>
        <v>2.275851784594776E-3</v>
      </c>
      <c r="K758" s="38">
        <f>+K412/[11]Result!$C$9</f>
        <v>2.160182817606442E-2</v>
      </c>
      <c r="L758" s="32">
        <f>+L412/[12]Result!$C$9</f>
        <v>2.140612524286426E-3</v>
      </c>
      <c r="M758" s="32">
        <f>+M412/[13]Result!$C$9</f>
        <v>-3.2332432800980578E-3</v>
      </c>
      <c r="N758" s="42"/>
    </row>
    <row r="759" spans="2:14" hidden="1" outlineLevel="1" collapsed="1" x14ac:dyDescent="0.25">
      <c r="B759" s="16" t="s">
        <v>8</v>
      </c>
      <c r="C759" s="32">
        <f>+C413/'[15]Stat by Mat'!$G$4</f>
        <v>-3.6488614391112281E-3</v>
      </c>
      <c r="D759" s="28">
        <f>+D413/'[1]Stat by Mat'!$G$4</f>
        <v>7.8085607421599246E-3</v>
      </c>
      <c r="E759" s="38">
        <f>+E413/'[5]Stat by Mat'!$G$4</f>
        <v>-4.2403884766379581E-2</v>
      </c>
      <c r="F759" s="28">
        <f>+F413/'[6]Stat by Mat'!$G$4</f>
        <v>1.833755870665256E-2</v>
      </c>
      <c r="G759" s="28">
        <f>+G413/'[7]Stat by Mat'!$G$4</f>
        <v>-4.9942373628230402E-3</v>
      </c>
      <c r="H759" s="38">
        <f>+H413/'[8]Stat by Mat'!$G$4</f>
        <v>2.2573986344743332E-4</v>
      </c>
      <c r="I759" s="32">
        <f>+I413/'[9]Stat by Mat'!$G$4</f>
        <v>-5.7837674450609807E-3</v>
      </c>
      <c r="J759" s="32">
        <f>+J413/'[10]Stat by Mat'!$G$4</f>
        <v>2.1796166616199074E-3</v>
      </c>
      <c r="K759" s="38">
        <f>+K413/'[11]Stat by Mat'!$G$4</f>
        <v>2.0303804718734518E-3</v>
      </c>
      <c r="L759" s="32">
        <f>+L413/'[12]Stat by Mat'!$G$4</f>
        <v>3.1391242914236045E-3</v>
      </c>
      <c r="M759" s="32">
        <f>+M413/'[13]Stat by Mat'!$G$4</f>
        <v>-6.7756740460280258E-3</v>
      </c>
      <c r="N759" s="42"/>
    </row>
    <row r="760" spans="2:14" hidden="1" outlineLevel="2" x14ac:dyDescent="0.25">
      <c r="B760" s="17" t="s">
        <v>9</v>
      </c>
      <c r="C760" s="32">
        <f>+C414/[15]Result!$C$10</f>
        <v>-3.1629560863850074E-3</v>
      </c>
      <c r="D760" s="28">
        <f>+D414/[1]Result!$C$10</f>
        <v>6.9246285586257623E-3</v>
      </c>
      <c r="E760" s="38">
        <f>+E414/[5]Result!$C$10</f>
        <v>-2.6670219327854919E-2</v>
      </c>
      <c r="F760" s="28">
        <f>+F414/[6]Result!$C$10</f>
        <v>1.5844183887275248E-2</v>
      </c>
      <c r="G760" s="28">
        <f>+G414/[7]Result!$C$10</f>
        <v>-3.8175242739992396E-3</v>
      </c>
      <c r="H760" s="38">
        <f>+H414/[8]Result!$C$10</f>
        <v>-3.6432021631727868E-3</v>
      </c>
      <c r="I760" s="32">
        <f>+I414/[9]Result!$C$10</f>
        <v>-5.1024895324711557E-3</v>
      </c>
      <c r="J760" s="32">
        <f>+J414/[10]Result!$C$10</f>
        <v>2.4609995133415695E-3</v>
      </c>
      <c r="K760" s="38">
        <f>+K414/[11]Result!$C$10</f>
        <v>6.8747921541767298E-3</v>
      </c>
      <c r="L760" s="32">
        <f>+L414/[12]Result!$C$10</f>
        <v>2.6884916039631146E-3</v>
      </c>
      <c r="M760" s="32">
        <f>+M414/[13]Result!$C$10</f>
        <v>-4.6599310491279499E-3</v>
      </c>
      <c r="N760" s="42"/>
    </row>
    <row r="761" spans="2:14" hidden="1" outlineLevel="2" x14ac:dyDescent="0.25">
      <c r="B761" s="17" t="s">
        <v>10</v>
      </c>
      <c r="C761" s="32">
        <f>+C415/[15]Result!$C$11</f>
        <v>-3.3411375693049952E-3</v>
      </c>
      <c r="D761" s="28">
        <f>+D415/[1]Result!$C$11</f>
        <v>7.5627702501119528E-3</v>
      </c>
      <c r="E761" s="38">
        <f>+E415/[5]Result!$C$11</f>
        <v>-3.1480917458949979E-2</v>
      </c>
      <c r="F761" s="28">
        <f>+F415/[6]Result!$C$11</f>
        <v>1.7740167930937811E-2</v>
      </c>
      <c r="G761" s="28">
        <f>+G415/[7]Result!$C$11</f>
        <v>-4.5319548940640341E-3</v>
      </c>
      <c r="H761" s="38">
        <f>+H415/[8]Result!$C$11</f>
        <v>7.2238378349706925E-4</v>
      </c>
      <c r="I761" s="32">
        <f>+I415/[9]Result!$C$11</f>
        <v>-5.5184285222867205E-3</v>
      </c>
      <c r="J761" s="32">
        <f>+J415/[10]Result!$C$11</f>
        <v>2.4609606334947652E-3</v>
      </c>
      <c r="K761" s="38">
        <f>+K415/[11]Result!$C$11</f>
        <v>3.9701781812805457E-3</v>
      </c>
      <c r="L761" s="32">
        <f>+L415/[12]Result!$C$11</f>
        <v>3.0411631093345704E-3</v>
      </c>
      <c r="M761" s="32">
        <f>+M415/[13]Result!$C$11</f>
        <v>-6.0473347212415167E-3</v>
      </c>
      <c r="N761" s="42"/>
    </row>
    <row r="762" spans="2:14" hidden="1" outlineLevel="2" x14ac:dyDescent="0.25">
      <c r="B762" s="17" t="s">
        <v>11</v>
      </c>
      <c r="C762" s="32">
        <f>+C416/[15]Result!$C$12</f>
        <v>-3.4738212451359508E-3</v>
      </c>
      <c r="D762" s="28">
        <f>+D416/[1]Result!$C$12</f>
        <v>7.9342974831564054E-3</v>
      </c>
      <c r="E762" s="38">
        <f>+E416/[5]Result!$C$12</f>
        <v>-3.8217900701393553E-2</v>
      </c>
      <c r="F762" s="28">
        <f>+F416/[6]Result!$C$12</f>
        <v>1.9341792541790345E-2</v>
      </c>
      <c r="G762" s="28">
        <f>+G416/[7]Result!$C$12</f>
        <v>-5.3052142743254295E-3</v>
      </c>
      <c r="H762" s="38">
        <f>+H416/[8]Result!$C$12</f>
        <v>4.1821052912983528E-3</v>
      </c>
      <c r="I762" s="32">
        <f>+I416/[9]Result!$C$12</f>
        <v>-5.9012816801918833E-3</v>
      </c>
      <c r="J762" s="32">
        <f>+J416/[10]Result!$C$12</f>
        <v>2.2549366079173895E-3</v>
      </c>
      <c r="K762" s="38">
        <f>+K416/[11]Result!$C$12</f>
        <v>2.2945422115758047E-3</v>
      </c>
      <c r="L762" s="32">
        <f>+L416/[12]Result!$C$12</f>
        <v>3.2931996402399085E-3</v>
      </c>
      <c r="M762" s="32">
        <f>+M416/[13]Result!$C$12</f>
        <v>-7.3696984872525335E-3</v>
      </c>
      <c r="N762" s="42"/>
    </row>
    <row r="763" spans="2:14" hidden="1" outlineLevel="2" x14ac:dyDescent="0.25">
      <c r="B763" s="17" t="s">
        <v>12</v>
      </c>
      <c r="C763" s="32">
        <f>+C417/[15]Result!$C$13</f>
        <v>-3.9830373164404121E-3</v>
      </c>
      <c r="D763" s="28">
        <f>+D417/[1]Result!$C$13</f>
        <v>8.3275548188906125E-3</v>
      </c>
      <c r="E763" s="38">
        <f>+E417/[5]Result!$C$13</f>
        <v>-7.7841240539759243E-2</v>
      </c>
      <c r="F763" s="28">
        <f>+F417/[6]Result!$C$13</f>
        <v>2.0801383187113495E-2</v>
      </c>
      <c r="G763" s="28">
        <f>+G417/[7]Result!$C$13</f>
        <v>-6.2105617600163752E-3</v>
      </c>
      <c r="H763" s="38">
        <f>+H417/[8]Result!$C$13</f>
        <v>-3.8570685641443453E-3</v>
      </c>
      <c r="I763" s="32">
        <f>+I417/[9]Result!$C$13</f>
        <v>-6.3108155693927847E-3</v>
      </c>
      <c r="J763" s="32">
        <f>+J417/[10]Result!$C$13</f>
        <v>1.8063480653349774E-3</v>
      </c>
      <c r="K763" s="38">
        <f>+K417/[11]Result!$C$13</f>
        <v>-2.9930647321554709E-3</v>
      </c>
      <c r="L763" s="32">
        <f>+L417/[12]Result!$C$13</f>
        <v>3.565509279737809E-3</v>
      </c>
      <c r="M763" s="32">
        <f>+M417/[13]Result!$C$13</f>
        <v>-8.7913184941943306E-3</v>
      </c>
      <c r="N763" s="42"/>
    </row>
    <row r="764" spans="2:14" hidden="1" outlineLevel="2" x14ac:dyDescent="0.25">
      <c r="B764" s="17" t="s">
        <v>13</v>
      </c>
      <c r="C764" s="32">
        <f>+C418/[15]Result!$C$14</f>
        <v>-5.3538428449164547E-3</v>
      </c>
      <c r="D764" s="28">
        <f>+D418/[1]Result!$C$14</f>
        <v>9.731674761229327E-3</v>
      </c>
      <c r="E764" s="38">
        <f>+E418/[5]Result!$C$14</f>
        <v>-6.8067836220411057E-2</v>
      </c>
      <c r="F764" s="28">
        <f>+F418/[6]Result!$C$14</f>
        <v>2.1695477584849247E-2</v>
      </c>
      <c r="G764" s="28">
        <f>+G418/[7]Result!$C$14</f>
        <v>-7.1188867770353567E-3</v>
      </c>
      <c r="H764" s="38">
        <f>+H418/[8]Result!$C$14</f>
        <v>8.0249247929745464E-3</v>
      </c>
      <c r="I764" s="32">
        <f>+I418/[9]Result!$C$14</f>
        <v>-7.3040828551258876E-3</v>
      </c>
      <c r="J764" s="32">
        <f>+J418/[10]Result!$C$14</f>
        <v>1.1902187913583086E-3</v>
      </c>
      <c r="K764" s="38">
        <f>+K418/[11]Result!$C$14</f>
        <v>-9.1752869356750318E-3</v>
      </c>
      <c r="L764" s="32">
        <f>+L418/[12]Result!$C$14</f>
        <v>3.7985773322285741E-3</v>
      </c>
      <c r="M764" s="32">
        <f>+M418/[13]Result!$C$14</f>
        <v>-1.0603559382366071E-2</v>
      </c>
      <c r="N764" s="42"/>
    </row>
    <row r="765" spans="2:14" hidden="1" outlineLevel="1" collapsed="1" x14ac:dyDescent="0.25">
      <c r="B765" s="16" t="s">
        <v>14</v>
      </c>
      <c r="C765" s="32">
        <f>+C419/'[15]Stat by Mat'!$G$5</f>
        <v>-7.9908066082493932E-3</v>
      </c>
      <c r="D765" s="28">
        <f>+D419/'[1]Stat by Mat'!$G$5</f>
        <v>1.0286167566062633E-2</v>
      </c>
      <c r="E765" s="38">
        <f>+E419/'[5]Stat by Mat'!$G$5</f>
        <v>-0.12255967820423526</v>
      </c>
      <c r="F765" s="28">
        <f>+F419/'[6]Stat by Mat'!$G$5</f>
        <v>2.8803324595390478E-2</v>
      </c>
      <c r="G765" s="28">
        <f>+G419/'[7]Stat by Mat'!$G$5</f>
        <v>-1.3220601066796686E-2</v>
      </c>
      <c r="H765" s="38">
        <f>+H419/'[8]Stat by Mat'!$G$5</f>
        <v>-1.4425054354308933E-2</v>
      </c>
      <c r="I765" s="32">
        <f>+I419/'[9]Stat by Mat'!$G$5</f>
        <v>-1.0104705155172302E-2</v>
      </c>
      <c r="J765" s="32">
        <f>+J419/'[10]Stat by Mat'!$G$5</f>
        <v>-3.3474624718673653E-3</v>
      </c>
      <c r="K765" s="38">
        <f>+K419/'[11]Stat by Mat'!$G$5</f>
        <v>8.4087960186387863E-3</v>
      </c>
      <c r="L765" s="32">
        <f>+L419/'[12]Stat by Mat'!$G$5</f>
        <v>3.5952576931491767E-3</v>
      </c>
      <c r="M765" s="32">
        <f>+M419/'[13]Stat by Mat'!$G$5</f>
        <v>-1.8447387300912832E-2</v>
      </c>
      <c r="N765" s="42"/>
    </row>
    <row r="766" spans="2:14" hidden="1" outlineLevel="2" x14ac:dyDescent="0.25">
      <c r="B766" s="17" t="s">
        <v>15</v>
      </c>
      <c r="C766" s="32">
        <f>+C420/[15]Result!$C$15</f>
        <v>-5.8498284124188643E-3</v>
      </c>
      <c r="D766" s="28">
        <f>+D420/[1]Result!$C$15</f>
        <v>1.0107234734174932E-2</v>
      </c>
      <c r="E766" s="38">
        <f>+E420/[5]Result!$C$15</f>
        <v>-9.3441572712774215E-2</v>
      </c>
      <c r="F766" s="28">
        <f>+F420/[6]Result!$C$15</f>
        <v>2.3151652888307974E-2</v>
      </c>
      <c r="G766" s="28">
        <f>+G420/[7]Result!$C$15</f>
        <v>-8.169764249242633E-3</v>
      </c>
      <c r="H766" s="38">
        <f>+H420/[8]Result!$C$15</f>
        <v>4.5770780965051286E-3</v>
      </c>
      <c r="I766" s="32">
        <f>+I420/[9]Result!$C$15</f>
        <v>-8.2405168071323191E-3</v>
      </c>
      <c r="J766" s="32">
        <f>+J420/[10]Result!$C$15</f>
        <v>2.3448681749310132E-4</v>
      </c>
      <c r="K766" s="38">
        <f>+K420/[11]Result!$C$15</f>
        <v>-1.6346543556156105E-3</v>
      </c>
      <c r="L766" s="32">
        <f>+L420/[12]Result!$C$15</f>
        <v>3.9394913050014059E-3</v>
      </c>
      <c r="M766" s="32">
        <f>+M420/[13]Result!$C$15</f>
        <v>-1.2290920204444656E-2</v>
      </c>
      <c r="N766" s="42"/>
    </row>
    <row r="767" spans="2:14" hidden="1" outlineLevel="2" x14ac:dyDescent="0.25">
      <c r="B767" s="17" t="s">
        <v>16</v>
      </c>
      <c r="C767" s="32">
        <f>+C421/[15]Result!$C$16</f>
        <v>-5.258717095909398E-3</v>
      </c>
      <c r="D767" s="28">
        <f>+D421/[1]Result!$C$16</f>
        <v>9.4201644859203525E-3</v>
      </c>
      <c r="E767" s="38">
        <f>+E421/[5]Result!$C$16</f>
        <v>-0.13301528314597122</v>
      </c>
      <c r="F767" s="28">
        <f>+F421/[6]Result!$C$16</f>
        <v>2.5306276568258346E-2</v>
      </c>
      <c r="G767" s="28">
        <f>+G421/[7]Result!$C$16</f>
        <v>-9.4419726614612849E-3</v>
      </c>
      <c r="H767" s="38">
        <f>+H421/[8]Result!$C$16</f>
        <v>-9.3762552095532515E-3</v>
      </c>
      <c r="I767" s="32">
        <f>+I421/[9]Result!$C$16</f>
        <v>-8.1251614552784023E-3</v>
      </c>
      <c r="J767" s="32">
        <f>+J421/[10]Result!$C$16</f>
        <v>-7.9227795081130955E-4</v>
      </c>
      <c r="K767" s="38">
        <f>+K421/[11]Result!$C$16</f>
        <v>7.3083067303604411E-3</v>
      </c>
      <c r="L767" s="32">
        <f>+L421/[12]Result!$C$16</f>
        <v>3.9193709629836374E-3</v>
      </c>
      <c r="M767" s="32">
        <f>+M421/[13]Result!$C$16</f>
        <v>-1.3956933815401976E-2</v>
      </c>
      <c r="N767" s="42"/>
    </row>
    <row r="768" spans="2:14" hidden="1" outlineLevel="2" x14ac:dyDescent="0.25">
      <c r="B768" s="17" t="s">
        <v>17</v>
      </c>
      <c r="C768" s="32">
        <f>+C422/[15]Result!$C$17</f>
        <v>-5.4162445401373096E-3</v>
      </c>
      <c r="D768" s="28">
        <f>+D422/[1]Result!$C$17</f>
        <v>9.6826328147284566E-3</v>
      </c>
      <c r="E768" s="38">
        <f>+E422/[5]Result!$C$17</f>
        <v>-0.13443537666087299</v>
      </c>
      <c r="F768" s="28">
        <f>+F422/[6]Result!$C$17</f>
        <v>2.6966065736717656E-2</v>
      </c>
      <c r="G768" s="28">
        <f>+G422/[7]Result!$C$17</f>
        <v>-1.0857757433671181E-2</v>
      </c>
      <c r="H768" s="38">
        <f>+H422/[8]Result!$C$17</f>
        <v>-1.5190669546537862E-2</v>
      </c>
      <c r="I768" s="32">
        <f>+I422/[9]Result!$C$17</f>
        <v>-7.9915573080535686E-3</v>
      </c>
      <c r="J768" s="32">
        <f>+J422/[10]Result!$C$17</f>
        <v>-1.9613152589999499E-3</v>
      </c>
      <c r="K768" s="38">
        <f>+K422/[11]Result!$C$17</f>
        <v>6.1693029728536013E-3</v>
      </c>
      <c r="L768" s="32">
        <f>+L422/[12]Result!$C$17</f>
        <v>3.8341536914889875E-3</v>
      </c>
      <c r="M768" s="32">
        <f>+M422/[13]Result!$C$17</f>
        <v>-1.5679143408751775E-2</v>
      </c>
      <c r="N768" s="42"/>
    </row>
    <row r="769" spans="2:14" hidden="1" outlineLevel="2" x14ac:dyDescent="0.25">
      <c r="B769" s="17" t="s">
        <v>18</v>
      </c>
      <c r="C769" s="32">
        <f>+C423/[15]Result!$C$18</f>
        <v>-6.5890894744227635E-3</v>
      </c>
      <c r="D769" s="28">
        <f>+D423/[1]Result!$C$18</f>
        <v>1.0548603823061119E-2</v>
      </c>
      <c r="E769" s="38">
        <f>+E423/[5]Result!$C$18</f>
        <v>-0.13148199246673323</v>
      </c>
      <c r="F769" s="28">
        <f>+F423/[6]Result!$C$18</f>
        <v>2.826646547970707E-2</v>
      </c>
      <c r="G769" s="28">
        <f>+G423/[7]Result!$C$18</f>
        <v>-1.250085390306626E-2</v>
      </c>
      <c r="H769" s="38">
        <f>+H423/[8]Result!$C$18</f>
        <v>-1.1170412825068199E-2</v>
      </c>
      <c r="I769" s="32">
        <f>+I423/[9]Result!$C$18</f>
        <v>-8.7041280195121005E-3</v>
      </c>
      <c r="J769" s="32">
        <f>+J423/[10]Result!$C$18</f>
        <v>-3.3519295939706843E-3</v>
      </c>
      <c r="K769" s="38">
        <f>+K423/[11]Result!$C$18</f>
        <v>8.1310752867488293E-3</v>
      </c>
      <c r="L769" s="32">
        <f>+L423/[12]Result!$C$18</f>
        <v>3.8124551480013319E-3</v>
      </c>
      <c r="M769" s="32">
        <f>+M423/[13]Result!$C$18</f>
        <v>-1.737692121000296E-2</v>
      </c>
      <c r="N769" s="42"/>
    </row>
    <row r="770" spans="2:14" hidden="1" outlineLevel="2" x14ac:dyDescent="0.25">
      <c r="B770" s="17" t="s">
        <v>19</v>
      </c>
      <c r="C770" s="32">
        <f>+C424/[15]Result!$C$19</f>
        <v>-8.9026485368377192E-3</v>
      </c>
      <c r="D770" s="28">
        <f>+D424/[1]Result!$C$19</f>
        <v>1.2188838405001996E-2</v>
      </c>
      <c r="E770" s="38">
        <f>+E424/[5]Result!$C$19</f>
        <v>-0.12896830709791168</v>
      </c>
      <c r="F770" s="28">
        <f>+F424/[6]Result!$C$19</f>
        <v>2.9374696196785583E-2</v>
      </c>
      <c r="G770" s="28">
        <f>+G424/[7]Result!$C$19</f>
        <v>-1.4250827686707027E-2</v>
      </c>
      <c r="H770" s="38">
        <f>+H424/[8]Result!$C$19</f>
        <v>-1.9811909590534579E-2</v>
      </c>
      <c r="I770" s="32">
        <f>+I424/[9]Result!$C$19</f>
        <v>-1.0325840664445399E-2</v>
      </c>
      <c r="J770" s="32">
        <f>+J424/[10]Result!$C$19</f>
        <v>-4.2944846902319683E-3</v>
      </c>
      <c r="K770" s="38">
        <f>+K424/[11]Result!$C$19</f>
        <v>1.2113178485298605E-3</v>
      </c>
      <c r="L770" s="32">
        <f>+L424/[12]Result!$C$19</f>
        <v>3.739436576091046E-3</v>
      </c>
      <c r="M770" s="32">
        <f>+M424/[13]Result!$C$19</f>
        <v>-1.989321049764366E-2</v>
      </c>
      <c r="N770" s="42"/>
    </row>
    <row r="771" spans="2:14" hidden="1" outlineLevel="2" x14ac:dyDescent="0.25">
      <c r="B771" s="17" t="s">
        <v>20</v>
      </c>
      <c r="C771" s="32">
        <f>+C425/[15]Result!$C$20</f>
        <v>-1.0922409166400283E-2</v>
      </c>
      <c r="D771" s="28">
        <f>+D425/[1]Result!$C$20</f>
        <v>1.247097135016031E-2</v>
      </c>
      <c r="E771" s="38">
        <f>+E425/[5]Result!$C$20</f>
        <v>-0.13069885311675661</v>
      </c>
      <c r="F771" s="28">
        <f>+F425/[6]Result!$C$20</f>
        <v>3.1289957294445461E-2</v>
      </c>
      <c r="G771" s="28">
        <f>+G425/[7]Result!$C$20</f>
        <v>-1.6119243303388348E-2</v>
      </c>
      <c r="H771" s="38">
        <f>+H425/[8]Result!$C$20</f>
        <v>-2.6693065506569011E-2</v>
      </c>
      <c r="I771" s="32">
        <f>+I425/[9]Result!$C$20</f>
        <v>-1.20692460722532E-2</v>
      </c>
      <c r="J771" s="32">
        <f>+J425/[10]Result!$C$20</f>
        <v>-5.267103234279296E-3</v>
      </c>
      <c r="K771" s="38">
        <f>+K425/[11]Result!$C$20</f>
        <v>6.7270641238242898E-3</v>
      </c>
      <c r="L771" s="32">
        <f>+L425/[12]Result!$C$20</f>
        <v>3.4668152778535482E-3</v>
      </c>
      <c r="M771" s="32">
        <f>+M425/[13]Result!$C$20</f>
        <v>-2.2639085590357513E-2</v>
      </c>
      <c r="N771" s="42"/>
    </row>
    <row r="772" spans="2:14" hidden="1" outlineLevel="2" x14ac:dyDescent="0.25">
      <c r="B772" s="17" t="s">
        <v>21</v>
      </c>
      <c r="C772" s="32">
        <f>+C426/[15]Result!$C$21</f>
        <v>-1.1933513868771213E-2</v>
      </c>
      <c r="D772" s="28">
        <f>+D426/[1]Result!$C$21</f>
        <v>1.0827385831883276E-2</v>
      </c>
      <c r="E772" s="38">
        <f>+E426/[5]Result!$C$21</f>
        <v>-0.13169180840428282</v>
      </c>
      <c r="F772" s="28">
        <f>+F426/[6]Result!$C$21</f>
        <v>3.4258965401661103E-2</v>
      </c>
      <c r="G772" s="28">
        <f>+G426/[7]Result!$C$21</f>
        <v>-1.8254767386976307E-2</v>
      </c>
      <c r="H772" s="38">
        <f>+H426/[8]Result!$C$21</f>
        <v>-2.9485613308285953E-2</v>
      </c>
      <c r="I772" s="32">
        <f>+I426/[9]Result!$C$21</f>
        <v>-1.3472279671529709E-2</v>
      </c>
      <c r="J772" s="32">
        <f>+J426/[10]Result!$C$21</f>
        <v>-6.6417916752880696E-3</v>
      </c>
      <c r="K772" s="38">
        <f>+K426/[11]Result!$C$21</f>
        <v>1.2256799048192081E-2</v>
      </c>
      <c r="L772" s="32">
        <f>+L426/[12]Result!$C$21</f>
        <v>3.1288248611267468E-3</v>
      </c>
      <c r="M772" s="32">
        <f>+M426/[13]Result!$C$21</f>
        <v>-2.5247682640251939E-2</v>
      </c>
      <c r="N772" s="42"/>
    </row>
    <row r="773" spans="2:14" hidden="1" outlineLevel="2" x14ac:dyDescent="0.25">
      <c r="B773" s="17" t="s">
        <v>22</v>
      </c>
      <c r="C773" s="32">
        <f>+C427/[15]Result!$C$22</f>
        <v>-1.2400065636954108E-2</v>
      </c>
      <c r="D773" s="28">
        <f>+D427/[1]Result!$C$22</f>
        <v>8.8223125321738229E-3</v>
      </c>
      <c r="E773" s="38">
        <f>+E427/[5]Result!$C$22</f>
        <v>-0.12780775113222709</v>
      </c>
      <c r="F773" s="28">
        <f>+F427/[6]Result!$C$22</f>
        <v>3.7251549210698537E-2</v>
      </c>
      <c r="G773" s="28">
        <f>+G427/[7]Result!$C$22</f>
        <v>-2.0435451072577718E-2</v>
      </c>
      <c r="H773" s="38">
        <f>+H427/[8]Result!$C$22</f>
        <v>-3.211711638436527E-2</v>
      </c>
      <c r="I773" s="32">
        <f>+I427/[9]Result!$C$22</f>
        <v>-1.4615175151726261E-2</v>
      </c>
      <c r="J773" s="32">
        <f>+J427/[10]Result!$C$22</f>
        <v>-8.2230398619039906E-3</v>
      </c>
      <c r="K773" s="38">
        <f>+K427/[11]Result!$C$22</f>
        <v>2.4935436817287514E-2</v>
      </c>
      <c r="L773" s="32">
        <f>+L427/[12]Result!$C$22</f>
        <v>2.8069867501380706E-3</v>
      </c>
      <c r="M773" s="32">
        <f>+M427/[13]Result!$C$22</f>
        <v>-2.7658959430789411E-2</v>
      </c>
      <c r="N773" s="42"/>
    </row>
    <row r="774" spans="2:14" hidden="1" outlineLevel="2" x14ac:dyDescent="0.25">
      <c r="B774" s="17" t="s">
        <v>23</v>
      </c>
      <c r="C774" s="32">
        <f>+C428/[15]Result!$C$23</f>
        <v>-1.3021881993723436E-2</v>
      </c>
      <c r="D774" s="28">
        <f>+D428/[1]Result!$C$23</f>
        <v>8.1667296325105519E-3</v>
      </c>
      <c r="E774" s="38">
        <f>+E428/[5]Result!$C$23</f>
        <v>-0.11787689421639438</v>
      </c>
      <c r="F774" s="28">
        <f>+F428/[6]Result!$C$23</f>
        <v>3.9322709914792697E-2</v>
      </c>
      <c r="G774" s="28">
        <f>+G428/[7]Result!$C$23</f>
        <v>-2.2739188682458153E-2</v>
      </c>
      <c r="H774" s="38">
        <f>+H428/[8]Result!$C$23</f>
        <v>-2.8715441194890824E-2</v>
      </c>
      <c r="I774" s="32">
        <f>+I428/[9]Result!$C$23</f>
        <v>-1.5441177756701143E-2</v>
      </c>
      <c r="J774" s="32">
        <f>+J428/[10]Result!$C$23</f>
        <v>-9.8463432097736416E-3</v>
      </c>
      <c r="K774" s="38">
        <f>+K428/[11]Result!$C$23</f>
        <v>3.8803759123654344E-2</v>
      </c>
      <c r="L774" s="32">
        <f>+L428/[12]Result!$C$23</f>
        <v>2.5181543776549905E-3</v>
      </c>
      <c r="M774" s="32">
        <f>+M428/[13]Result!$C$23</f>
        <v>-2.9822072417313862E-2</v>
      </c>
      <c r="N774" s="42"/>
    </row>
    <row r="775" spans="2:14" hidden="1" outlineLevel="2" x14ac:dyDescent="0.25">
      <c r="B775" s="17" t="s">
        <v>24</v>
      </c>
      <c r="C775" s="32">
        <f>+C429/[15]Result!$C$24</f>
        <v>-1.4386595011996319E-2</v>
      </c>
      <c r="D775" s="28">
        <f>+D429/[1]Result!$C$24</f>
        <v>1.0271260505119647E-2</v>
      </c>
      <c r="E775" s="38">
        <f>+E429/[5]Result!$C$24</f>
        <v>-0.12155059543204443</v>
      </c>
      <c r="F775" s="28">
        <f>+F429/[6]Result!$C$24</f>
        <v>3.9705876781950172E-2</v>
      </c>
      <c r="G775" s="28">
        <f>+G429/[7]Result!$C$24</f>
        <v>-2.5159413508918083E-2</v>
      </c>
      <c r="H775" s="38">
        <f>+H429/[8]Result!$C$24</f>
        <v>-3.6857293562721168E-2</v>
      </c>
      <c r="I775" s="32">
        <f>+I429/[9]Result!$C$24</f>
        <v>-1.5987996115428834E-2</v>
      </c>
      <c r="J775" s="32">
        <f>+J429/[10]Result!$C$24</f>
        <v>-1.1499300023145302E-2</v>
      </c>
      <c r="K775" s="38">
        <f>+K429/[11]Result!$C$24</f>
        <v>3.338649641930734E-2</v>
      </c>
      <c r="L775" s="32">
        <f>+L429/[12]Result!$C$24</f>
        <v>2.1786268643110267E-3</v>
      </c>
      <c r="M775" s="32">
        <f>+M429/[13]Result!$C$24</f>
        <v>-3.1677874263978979E-2</v>
      </c>
      <c r="N775" s="42"/>
    </row>
    <row r="776" spans="2:14" hidden="1" outlineLevel="1" collapsed="1" x14ac:dyDescent="0.25">
      <c r="B776" s="16" t="s">
        <v>25</v>
      </c>
      <c r="C776" s="32">
        <f>+C430/'[15]Stat by Mat'!$G$6</f>
        <v>-1.9813528024077702E-2</v>
      </c>
      <c r="D776" s="28">
        <f>+D430/'[1]Stat by Mat'!$G$6</f>
        <v>2.1777693256177722E-2</v>
      </c>
      <c r="E776" s="38">
        <f>+E430/'[5]Stat by Mat'!$G$6</f>
        <v>-0.11690153280302877</v>
      </c>
      <c r="F776" s="28">
        <f>+F430/'[6]Stat by Mat'!$G$6</f>
        <v>3.692373405555182E-2</v>
      </c>
      <c r="G776" s="28">
        <f>+G430/'[7]Stat by Mat'!$G$6</f>
        <v>-3.1565453631112433E-2</v>
      </c>
      <c r="H776" s="38">
        <f>+H430/'[8]Stat by Mat'!$G$6</f>
        <v>-3.6640892855779338E-2</v>
      </c>
      <c r="I776" s="32">
        <f>+I430/'[9]Stat by Mat'!$G$6</f>
        <v>-1.7443712683876452E-2</v>
      </c>
      <c r="J776" s="32">
        <f>+J430/'[10]Stat by Mat'!$G$6</f>
        <v>-1.6352775799776783E-2</v>
      </c>
      <c r="K776" s="38">
        <f>+K430/'[11]Stat by Mat'!$G$6</f>
        <v>6.5449879417444456E-2</v>
      </c>
      <c r="L776" s="32">
        <f>+L430/'[12]Stat by Mat'!$G$6</f>
        <v>1.0182482651583567E-3</v>
      </c>
      <c r="M776" s="32">
        <f>+M430/'[13]Stat by Mat'!$G$6</f>
        <v>-3.7290940181608667E-2</v>
      </c>
      <c r="N776" s="42"/>
    </row>
    <row r="777" spans="2:14" hidden="1" outlineLevel="2" x14ac:dyDescent="0.25">
      <c r="B777" s="17" t="s">
        <v>26</v>
      </c>
      <c r="C777" s="32">
        <f>+C431/[15]Result!$C$25</f>
        <v>-1.6201344001097129E-2</v>
      </c>
      <c r="D777" s="28">
        <f>+D431/[1]Result!$C$25</f>
        <v>1.404071923061475E-2</v>
      </c>
      <c r="E777" s="38">
        <f>+E431/[5]Result!$C$25</f>
        <v>-0.12513635070237836</v>
      </c>
      <c r="F777" s="28">
        <f>+F431/[6]Result!$C$25</f>
        <v>3.8883437002958862E-2</v>
      </c>
      <c r="G777" s="28">
        <f>+G431/[7]Result!$C$25</f>
        <v>-2.730519026459486E-2</v>
      </c>
      <c r="H777" s="38">
        <f>+H431/[8]Result!$C$25</f>
        <v>-4.2246231566510389E-2</v>
      </c>
      <c r="I777" s="32">
        <f>+I431/[9]Result!$C$25</f>
        <v>-1.6408710690174244E-2</v>
      </c>
      <c r="J777" s="32">
        <f>+J431/[10]Result!$C$25</f>
        <v>-1.3065776695248454E-2</v>
      </c>
      <c r="K777" s="38">
        <f>+K431/[11]Result!$C$25</f>
        <v>3.9810293066038241E-2</v>
      </c>
      <c r="L777" s="32">
        <f>+L431/[12]Result!$C$25</f>
        <v>1.792618198415293E-3</v>
      </c>
      <c r="M777" s="32">
        <f>+M431/[13]Result!$C$25</f>
        <v>-3.3369617294669127E-2</v>
      </c>
      <c r="N777" s="42"/>
    </row>
    <row r="778" spans="2:14" hidden="1" outlineLevel="2" x14ac:dyDescent="0.25">
      <c r="B778" s="17" t="s">
        <v>27</v>
      </c>
      <c r="C778" s="32">
        <f>+C432/[15]Result!$C$26</f>
        <v>-1.7911252166017907E-2</v>
      </c>
      <c r="D778" s="28">
        <f>+D432/[1]Result!$C$26</f>
        <v>1.7606377554697145E-2</v>
      </c>
      <c r="E778" s="38">
        <f>+E432/[5]Result!$C$26</f>
        <v>-0.12798992889445621</v>
      </c>
      <c r="F778" s="28">
        <f>+F432/[6]Result!$C$26</f>
        <v>3.799594616664833E-2</v>
      </c>
      <c r="G778" s="28">
        <f>+G432/[7]Result!$C$26</f>
        <v>-2.922896538699123E-2</v>
      </c>
      <c r="H778" s="38">
        <f>+H432/[8]Result!$C$26</f>
        <v>-4.6218742744604011E-2</v>
      </c>
      <c r="I778" s="32">
        <f>+I432/[9]Result!$C$26</f>
        <v>-1.689447354216932E-2</v>
      </c>
      <c r="J778" s="32">
        <f>+J432/[10]Result!$C$26</f>
        <v>-1.4417678047462605E-2</v>
      </c>
      <c r="K778" s="38">
        <f>+K432/[11]Result!$C$26</f>
        <v>4.8161601506467214E-2</v>
      </c>
      <c r="L778" s="32">
        <f>+L432/[12]Result!$C$26</f>
        <v>1.4617668437559791E-3</v>
      </c>
      <c r="M778" s="32">
        <f>+M432/[13]Result!$C$26</f>
        <v>-3.4964312389914237E-2</v>
      </c>
      <c r="N778" s="42"/>
    </row>
    <row r="779" spans="2:14" hidden="1" outlineLevel="2" x14ac:dyDescent="0.25">
      <c r="B779" s="17" t="s">
        <v>28</v>
      </c>
      <c r="C779" s="32">
        <f>+C433/[15]Result!$C$27</f>
        <v>-1.9270528377358431E-2</v>
      </c>
      <c r="D779" s="28">
        <f>+D433/[1]Result!$C$27</f>
        <v>2.0667134267419722E-2</v>
      </c>
      <c r="E779" s="38">
        <f>+E433/[5]Result!$C$27</f>
        <v>-0.1263959208795549</v>
      </c>
      <c r="F779" s="28">
        <f>+F433/[6]Result!$C$27</f>
        <v>3.7183736521878834E-2</v>
      </c>
      <c r="G779" s="28">
        <f>+G433/[7]Result!$C$27</f>
        <v>-3.0882721889324911E-2</v>
      </c>
      <c r="H779" s="38">
        <f>+H433/[8]Result!$C$27</f>
        <v>-4.6720992573072301E-2</v>
      </c>
      <c r="I779" s="32">
        <f>+I433/[9]Result!$C$27</f>
        <v>-1.7349269266362804E-2</v>
      </c>
      <c r="J779" s="32">
        <f>+J433/[10]Result!$C$27</f>
        <v>-1.5619418902870942E-2</v>
      </c>
      <c r="K779" s="38">
        <f>+K433/[11]Result!$C$27</f>
        <v>6.2113375999335876E-2</v>
      </c>
      <c r="L779" s="32">
        <f>+L433/[12]Result!$C$27</f>
        <v>1.2023332035233981E-3</v>
      </c>
      <c r="M779" s="32">
        <f>+M433/[13]Result!$C$27</f>
        <v>-3.6453370232473116E-2</v>
      </c>
      <c r="N779" s="42"/>
    </row>
    <row r="780" spans="2:14" hidden="1" outlineLevel="2" x14ac:dyDescent="0.25">
      <c r="B780" s="17" t="s">
        <v>29</v>
      </c>
      <c r="C780" s="32">
        <f>+C434/[15]Result!$C$28</f>
        <v>-2.0454517496540953E-2</v>
      </c>
      <c r="D780" s="28">
        <f>+D434/[1]Result!$C$28</f>
        <v>2.3233754441182607E-2</v>
      </c>
      <c r="E780" s="38">
        <f>+E434/[5]Result!$C$28</f>
        <v>-0.11859909101483994</v>
      </c>
      <c r="F780" s="28">
        <f>+F434/[6]Result!$C$28</f>
        <v>3.6494916878187719E-2</v>
      </c>
      <c r="G780" s="28">
        <f>+G434/[7]Result!$C$28</f>
        <v>-3.2231664488106111E-2</v>
      </c>
      <c r="H780" s="38">
        <f>+H434/[8]Result!$C$28</f>
        <v>-3.2572967666865293E-2</v>
      </c>
      <c r="I780" s="32">
        <f>+I434/[9]Result!$C$28</f>
        <v>-1.7550702186484347E-2</v>
      </c>
      <c r="J780" s="32">
        <f>+J434/[10]Result!$C$28</f>
        <v>-1.6868775471497965E-2</v>
      </c>
      <c r="K780" s="38">
        <f>+K434/[11]Result!$C$28</f>
        <v>7.3826258606097026E-2</v>
      </c>
      <c r="L780" s="32">
        <f>+L434/[12]Result!$C$28</f>
        <v>9.1231509257223191E-4</v>
      </c>
      <c r="M780" s="32">
        <f>+M434/[13]Result!$C$28</f>
        <v>-3.7708594382550621E-2</v>
      </c>
      <c r="N780" s="42"/>
    </row>
    <row r="781" spans="2:14" hidden="1" outlineLevel="2" x14ac:dyDescent="0.25">
      <c r="B781" s="17" t="s">
        <v>30</v>
      </c>
      <c r="C781" s="32">
        <f>+C435/[15]Result!$C$29</f>
        <v>-2.1545082390386015E-2</v>
      </c>
      <c r="D781" s="28">
        <f>+D435/[1]Result!$C$29</f>
        <v>2.5579132097861439E-2</v>
      </c>
      <c r="E781" s="38">
        <f>+E435/[5]Result!$C$29</f>
        <v>-0.11726326891872885</v>
      </c>
      <c r="F781" s="28">
        <f>+F435/[6]Result!$C$29</f>
        <v>3.5973029065132611E-2</v>
      </c>
      <c r="G781" s="28">
        <f>+G435/[7]Result!$C$29</f>
        <v>-3.3461540139553332E-2</v>
      </c>
      <c r="H781" s="38">
        <f>+H435/[8]Result!$C$29</f>
        <v>-3.7716559500764649E-2</v>
      </c>
      <c r="I781" s="32">
        <f>+I435/[9]Result!$C$29</f>
        <v>-1.782325673087207E-2</v>
      </c>
      <c r="J781" s="32">
        <f>+J435/[10]Result!$C$29</f>
        <v>-1.7927668379427188E-2</v>
      </c>
      <c r="K781" s="38">
        <f>+K435/[11]Result!$C$29</f>
        <v>6.1709373810968388E-2</v>
      </c>
      <c r="L781" s="32">
        <f>+L435/[12]Result!$C$29</f>
        <v>5.9460637509707224E-4</v>
      </c>
      <c r="M781" s="32">
        <f>+M435/[13]Result!$C$29</f>
        <v>-3.8822890419774166E-2</v>
      </c>
      <c r="N781" s="42"/>
    </row>
    <row r="782" spans="2:14" hidden="1" outlineLevel="2" x14ac:dyDescent="0.25">
      <c r="B782" s="17" t="s">
        <v>31</v>
      </c>
      <c r="C782" s="32">
        <f>+C436/[15]Result!$C$30</f>
        <v>-2.2411307565351833E-2</v>
      </c>
      <c r="D782" s="28">
        <f>+D436/[1]Result!$C$30</f>
        <v>2.7525712093864729E-2</v>
      </c>
      <c r="E782" s="38">
        <f>+E436/[5]Result!$C$30</f>
        <v>-0.12008129933798822</v>
      </c>
      <c r="F782" s="28">
        <f>+F436/[6]Result!$C$30</f>
        <v>3.5536094354599229E-2</v>
      </c>
      <c r="G782" s="28">
        <f>+G436/[7]Result!$C$30</f>
        <v>-3.4560679003874065E-2</v>
      </c>
      <c r="H782" s="38">
        <f>+H436/[8]Result!$C$30</f>
        <v>-4.5836727988566778E-2</v>
      </c>
      <c r="I782" s="32">
        <f>+I436/[9]Result!$C$30</f>
        <v>-1.8177183055864923E-2</v>
      </c>
      <c r="J782" s="32">
        <f>+J436/[10]Result!$C$30</f>
        <v>-1.8773446652221193E-2</v>
      </c>
      <c r="K782" s="38">
        <f>+K436/[11]Result!$C$30</f>
        <v>7.6372642104233668E-2</v>
      </c>
      <c r="L782" s="32">
        <f>+L436/[12]Result!$C$30</f>
        <v>3.7111681386274532E-4</v>
      </c>
      <c r="M782" s="32">
        <f>+M436/[13]Result!$C$30</f>
        <v>-4.0015692799903746E-2</v>
      </c>
      <c r="N782" s="42"/>
    </row>
    <row r="783" spans="2:14" hidden="1" outlineLevel="2" x14ac:dyDescent="0.25">
      <c r="B783" s="17" t="s">
        <v>32</v>
      </c>
      <c r="C783" s="32">
        <f>+C437/[15]Result!$C$31</f>
        <v>-2.3276273098860989E-2</v>
      </c>
      <c r="D783" s="28">
        <f>+D437/[1]Result!$C$31</f>
        <v>2.9148544012263602E-2</v>
      </c>
      <c r="E783" s="38">
        <f>+E437/[5]Result!$C$31</f>
        <v>-0.11527900005124644</v>
      </c>
      <c r="F783" s="28">
        <f>+F437/[6]Result!$C$31</f>
        <v>3.5214551762045729E-2</v>
      </c>
      <c r="G783" s="28">
        <f>+G437/[7]Result!$C$31</f>
        <v>-3.5638985402762918E-2</v>
      </c>
      <c r="H783" s="38">
        <f>+H437/[8]Result!$C$31</f>
        <v>-4.6780825711253207E-2</v>
      </c>
      <c r="I783" s="32">
        <f>+I437/[9]Result!$C$31</f>
        <v>-1.8376437040545257E-2</v>
      </c>
      <c r="J783" s="32">
        <f>+J437/[10]Result!$C$31</f>
        <v>-1.9500228493205856E-2</v>
      </c>
      <c r="K783" s="38">
        <f>+K437/[11]Result!$C$31</f>
        <v>9.682946096642428E-2</v>
      </c>
      <c r="L783" s="32">
        <f>+L437/[12]Result!$C$31</f>
        <v>3.8661116378192344E-4</v>
      </c>
      <c r="M783" s="32">
        <f>+M437/[13]Result!$C$31</f>
        <v>-4.1056446315735878E-2</v>
      </c>
      <c r="N783" s="42"/>
    </row>
    <row r="784" spans="2:14" hidden="1" outlineLevel="2" x14ac:dyDescent="0.25">
      <c r="B784" s="17" t="s">
        <v>33</v>
      </c>
      <c r="C784" s="32">
        <f>+C438/[15]Result!$C$32</f>
        <v>-2.4008490977228784E-2</v>
      </c>
      <c r="D784" s="28">
        <f>+D438/[1]Result!$C$32</f>
        <v>3.0674544750207373E-2</v>
      </c>
      <c r="E784" s="38">
        <f>+E438/[5]Result!$C$32</f>
        <v>-0.10974325385122138</v>
      </c>
      <c r="F784" s="28">
        <f>+F438/[6]Result!$C$32</f>
        <v>3.4899307771267193E-2</v>
      </c>
      <c r="G784" s="28">
        <f>+G438/[7]Result!$C$32</f>
        <v>-3.6567162148023892E-2</v>
      </c>
      <c r="H784" s="38">
        <f>+H438/[8]Result!$C$32</f>
        <v>-4.4901649862483198E-2</v>
      </c>
      <c r="I784" s="32">
        <f>+I438/[9]Result!$C$32</f>
        <v>-1.8537372586680007E-2</v>
      </c>
      <c r="J784" s="32">
        <f>+J438/[10]Result!$C$32</f>
        <v>-2.0096836439427595E-2</v>
      </c>
      <c r="K784" s="38">
        <f>+K438/[11]Result!$C$32</f>
        <v>0.14747126049358183</v>
      </c>
      <c r="L784" s="32">
        <f>+L438/[12]Result!$C$32</f>
        <v>2.6642903568532361E-4</v>
      </c>
      <c r="M784" s="32">
        <f>+M438/[13]Result!$C$32</f>
        <v>-4.1930589586556558E-2</v>
      </c>
      <c r="N784" s="42"/>
    </row>
    <row r="785" spans="2:14" hidden="1" outlineLevel="2" x14ac:dyDescent="0.25">
      <c r="B785" s="17" t="s">
        <v>34</v>
      </c>
      <c r="C785" s="32">
        <f>+C439/[15]Result!$C$33</f>
        <v>-2.4595117059125152E-2</v>
      </c>
      <c r="D785" s="28">
        <f>+D439/[1]Result!$C$33</f>
        <v>3.194515158272114E-2</v>
      </c>
      <c r="E785" s="38">
        <f>+E439/[5]Result!$C$33</f>
        <v>-3.2736523231828338E-2</v>
      </c>
      <c r="F785" s="28">
        <f>+F439/[6]Result!$C$33</f>
        <v>3.4606944593973565E-2</v>
      </c>
      <c r="G785" s="28">
        <f>+G439/[7]Result!$C$33</f>
        <v>-3.7198737749493609E-2</v>
      </c>
      <c r="H785" s="38">
        <f>+H439/[8]Result!$C$33</f>
        <v>4.9513565159584973E-2</v>
      </c>
      <c r="I785" s="32">
        <f>+I439/[9]Result!$C$33</f>
        <v>-1.8796361654465805E-2</v>
      </c>
      <c r="J785" s="32">
        <f>+J439/[10]Result!$C$33</f>
        <v>-2.0818544909862704E-2</v>
      </c>
      <c r="K785" s="38">
        <f>+K439/[11]Result!$C$33</f>
        <v>0.16896824840432537</v>
      </c>
      <c r="L785" s="32">
        <f>+L439/[12]Result!$C$33</f>
        <v>0</v>
      </c>
      <c r="M785" s="32">
        <f>+M439/[13]Result!$C$33</f>
        <v>-4.2758014540901446E-2</v>
      </c>
      <c r="N785" s="42"/>
    </row>
    <row r="786" spans="2:14" hidden="1" outlineLevel="2" x14ac:dyDescent="0.25">
      <c r="B786" s="17" t="s">
        <v>35</v>
      </c>
      <c r="C786" s="32">
        <f>+C440/[15]Result!$C$34</f>
        <v>-2.5021457954250696E-2</v>
      </c>
      <c r="D786" s="28">
        <f>+D440/[1]Result!$C$34</f>
        <v>3.2929665458896182E-2</v>
      </c>
      <c r="E786" s="38">
        <f>+E440/[5]Result!$C$34</f>
        <v>-3.7595161328952527E-2</v>
      </c>
      <c r="F786" s="28">
        <f>+F440/[6]Result!$C$34</f>
        <v>3.4202594799682462E-2</v>
      </c>
      <c r="G786" s="28">
        <f>+G440/[7]Result!$C$34</f>
        <v>-3.764477293973964E-2</v>
      </c>
      <c r="H786" s="38">
        <f>+H440/[8]Result!$C$34</f>
        <v>4.2081051320580383E-2</v>
      </c>
      <c r="I786" s="32">
        <f>+I440/[9]Result!$C$34</f>
        <v>-1.9026013129469884E-2</v>
      </c>
      <c r="J786" s="32">
        <f>+J440/[10]Result!$C$34</f>
        <v>-2.1399313516000541E-2</v>
      </c>
      <c r="K786" s="38">
        <f>+K440/[11]Result!$C$34</f>
        <v>1.4271265507226332E-2</v>
      </c>
      <c r="L786" s="32">
        <f>+L440/[12]Result!$C$34</f>
        <v>0</v>
      </c>
      <c r="M786" s="32">
        <f>+M440/[13]Result!$C$34</f>
        <v>-4.353795268644222E-2</v>
      </c>
      <c r="N786" s="42"/>
    </row>
    <row r="787" spans="2:14" hidden="1" outlineLevel="1" collapsed="1" x14ac:dyDescent="0.25">
      <c r="B787" s="16" t="s">
        <v>36</v>
      </c>
      <c r="C787" s="32">
        <f>+C441/'[15]Stat by Mat'!$G$7</f>
        <v>-2.6004365315748509E-2</v>
      </c>
      <c r="D787" s="28">
        <f>+D441/'[1]Stat by Mat'!$G$7</f>
        <v>3.5111060825607866E-2</v>
      </c>
      <c r="E787" s="38">
        <f>+E441/'[5]Stat by Mat'!$G$7</f>
        <v>-5.4444642942673135E-2</v>
      </c>
      <c r="F787" s="28">
        <f>+F441/'[6]Stat by Mat'!$G$7</f>
        <v>3.364514486341786E-2</v>
      </c>
      <c r="G787" s="28">
        <f>+G441/'[7]Stat by Mat'!$G$7</f>
        <v>-3.8949363219013274E-2</v>
      </c>
      <c r="H787" s="38">
        <f>+H441/'[8]Stat by Mat'!$G$7</f>
        <v>1.1942598420768591E-2</v>
      </c>
      <c r="I787" s="32">
        <f>+I441/'[9]Stat by Mat'!$G$7</f>
        <v>-1.9284099997292907E-2</v>
      </c>
      <c r="J787" s="32">
        <f>+J441/'[10]Stat by Mat'!$G$7</f>
        <v>-2.2610278457765105E-2</v>
      </c>
      <c r="K787" s="38">
        <f>+K441/'[11]Stat by Mat'!$G$7</f>
        <v>4.4604851463964271E-2</v>
      </c>
      <c r="L787" s="32">
        <f>+L441/'[12]Stat by Mat'!$G$7</f>
        <v>-3.1932684791840756E-4</v>
      </c>
      <c r="M787" s="32">
        <f>+M441/'[13]Stat by Mat'!$G$7</f>
        <v>-4.5322752230885111E-2</v>
      </c>
      <c r="N787" s="42"/>
    </row>
    <row r="788" spans="2:14" hidden="1" outlineLevel="2" x14ac:dyDescent="0.25">
      <c r="B788" s="17" t="s">
        <v>37</v>
      </c>
      <c r="C788" s="32">
        <f>+C442/[15]Result!$C$35</f>
        <v>-2.5419534539675132E-2</v>
      </c>
      <c r="D788" s="28">
        <f>+D442/[1]Result!$C$35</f>
        <v>3.3751074759812476E-2</v>
      </c>
      <c r="E788" s="38">
        <f>+E442/[5]Result!$C$35</f>
        <v>-4.6194492777112219E-2</v>
      </c>
      <c r="F788" s="28">
        <f>+F442/[6]Result!$C$35</f>
        <v>3.399594189546909E-2</v>
      </c>
      <c r="G788" s="28">
        <f>+G442/[7]Result!$C$35</f>
        <v>-3.8177325322746418E-2</v>
      </c>
      <c r="H788" s="38">
        <f>+H442/[8]Result!$C$35</f>
        <v>2.0567453643281539E-2</v>
      </c>
      <c r="I788" s="32">
        <f>+I442/[9]Result!$C$35</f>
        <v>-1.9081870940182755E-2</v>
      </c>
      <c r="J788" s="32">
        <f>+J442/[10]Result!$C$35</f>
        <v>-2.182559532026673E-2</v>
      </c>
      <c r="K788" s="38">
        <f>+K442/[11]Result!$C$35</f>
        <v>2.1997563219884175E-2</v>
      </c>
      <c r="L788" s="32">
        <f>+L442/[12]Result!$C$35</f>
        <v>-1.4818049423413727E-4</v>
      </c>
      <c r="M788" s="32">
        <f>+M442/[13]Result!$C$35</f>
        <v>-4.4129645086095598E-2</v>
      </c>
      <c r="N788" s="42"/>
    </row>
    <row r="789" spans="2:14" hidden="1" outlineLevel="2" x14ac:dyDescent="0.25">
      <c r="B789" s="17" t="s">
        <v>38</v>
      </c>
      <c r="C789" s="32">
        <f>+C443/[15]Result!$C$36</f>
        <v>-2.5788366635841858E-2</v>
      </c>
      <c r="D789" s="28">
        <f>+D443/[1]Result!$C$36</f>
        <v>3.455277388059623E-2</v>
      </c>
      <c r="E789" s="38">
        <f>+E443/[5]Result!$C$36</f>
        <v>-6.0121746860153161E-2</v>
      </c>
      <c r="F789" s="28">
        <f>+F443/[6]Result!$C$36</f>
        <v>3.3855930727622045E-2</v>
      </c>
      <c r="G789" s="28">
        <f>+G443/[7]Result!$C$36</f>
        <v>-3.8662174169985464E-2</v>
      </c>
      <c r="H789" s="38">
        <f>+H443/[8]Result!$C$36</f>
        <v>3.899736151167107E-3</v>
      </c>
      <c r="I789" s="32">
        <f>+I443/[9]Result!$C$36</f>
        <v>-1.9249794090383455E-2</v>
      </c>
      <c r="J789" s="32">
        <f>+J443/[10]Result!$C$36</f>
        <v>-2.2232635882134529E-2</v>
      </c>
      <c r="K789" s="38">
        <f>+K443/[11]Result!$C$36</f>
        <v>4.9979247771589956E-2</v>
      </c>
      <c r="L789" s="32">
        <f>+L443/[12]Result!$C$36</f>
        <v>-3.0581902039831502E-4</v>
      </c>
      <c r="M789" s="32">
        <f>+M443/[13]Result!$C$36</f>
        <v>-4.4665270696304396E-2</v>
      </c>
      <c r="N789" s="42"/>
    </row>
    <row r="790" spans="2:14" hidden="1" outlineLevel="2" x14ac:dyDescent="0.25">
      <c r="B790" s="17" t="s">
        <v>39</v>
      </c>
      <c r="C790" s="32">
        <f>+C444/[15]Result!$C$37</f>
        <v>-2.5974286804538418E-2</v>
      </c>
      <c r="D790" s="28">
        <f>+D444/[1]Result!$C$37</f>
        <v>3.517040758281257E-2</v>
      </c>
      <c r="E790" s="38">
        <f>+E444/[5]Result!$C$37</f>
        <v>-5.5888272012035965E-2</v>
      </c>
      <c r="F790" s="28">
        <f>+F444/[6]Result!$C$37</f>
        <v>3.3472284201554243E-2</v>
      </c>
      <c r="G790" s="28">
        <f>+G444/[7]Result!$C$37</f>
        <v>-3.8947886587921095E-2</v>
      </c>
      <c r="H790" s="38">
        <f>+H444/[8]Result!$C$37</f>
        <v>3.3883692779805579E-3</v>
      </c>
      <c r="I790" s="32">
        <f>+I444/[9]Result!$C$37</f>
        <v>-1.9234206800029161E-2</v>
      </c>
      <c r="J790" s="32">
        <f>+J444/[10]Result!$C$37</f>
        <v>-2.262060134491577E-2</v>
      </c>
      <c r="K790" s="38">
        <f>+K444/[11]Result!$C$37</f>
        <v>8.5190423106129676E-2</v>
      </c>
      <c r="L790" s="32">
        <f>+L444/[12]Result!$C$37</f>
        <v>-3.155058920294728E-4</v>
      </c>
      <c r="M790" s="32">
        <f>+M444/[13]Result!$C$37</f>
        <v>-4.5295506138355993E-2</v>
      </c>
      <c r="N790" s="42"/>
    </row>
    <row r="791" spans="2:14" hidden="1" outlineLevel="2" x14ac:dyDescent="0.25">
      <c r="B791" s="17" t="s">
        <v>40</v>
      </c>
      <c r="C791" s="32">
        <f>+C445/[15]Result!$C$38</f>
        <v>-2.6122105602901791E-2</v>
      </c>
      <c r="D791" s="28">
        <f>+D445/[1]Result!$C$38</f>
        <v>3.5588732137380875E-2</v>
      </c>
      <c r="E791" s="38">
        <f>+E445/[5]Result!$C$38</f>
        <v>-4.925199295354056E-2</v>
      </c>
      <c r="F791" s="28">
        <f>+F445/[6]Result!$C$38</f>
        <v>3.3503657086312498E-2</v>
      </c>
      <c r="G791" s="28">
        <f>+G445/[7]Result!$C$38</f>
        <v>-3.9334053143404601E-2</v>
      </c>
      <c r="H791" s="38">
        <f>+H445/[8]Result!$C$38</f>
        <v>7.0954662968074813E-3</v>
      </c>
      <c r="I791" s="32">
        <f>+I445/[9]Result!$C$38</f>
        <v>-1.9180347341322332E-2</v>
      </c>
      <c r="J791" s="32">
        <f>+J445/[10]Result!$C$38</f>
        <v>-2.2989325821386603E-2</v>
      </c>
      <c r="K791" s="38">
        <f>+K445/[11]Result!$C$38</f>
        <v>5.0869867416855771E-2</v>
      </c>
      <c r="L791" s="32">
        <f>+L445/[12]Result!$C$38</f>
        <v>-3.2519210858198544E-4</v>
      </c>
      <c r="M791" s="32">
        <f>+M445/[13]Result!$C$38</f>
        <v>-4.5879345802653508E-2</v>
      </c>
      <c r="N791" s="42"/>
    </row>
    <row r="792" spans="2:14" hidden="1" outlineLevel="2" x14ac:dyDescent="0.25">
      <c r="B792" s="17" t="s">
        <v>41</v>
      </c>
      <c r="C792" s="32">
        <f>+C446/[15]Result!$C$39</f>
        <v>-2.6395586447083254E-2</v>
      </c>
      <c r="D792" s="28">
        <f>+D446/[1]Result!$C$39</f>
        <v>3.6140935521399471E-2</v>
      </c>
      <c r="E792" s="38">
        <f>+E446/[5]Result!$C$39</f>
        <v>-7.3841464297161583E-2</v>
      </c>
      <c r="F792" s="28">
        <f>+F446/[6]Result!$C$39</f>
        <v>3.3474850592113546E-2</v>
      </c>
      <c r="G792" s="28">
        <f>+G446/[7]Result!$C$39</f>
        <v>-3.9512241141264094E-2</v>
      </c>
      <c r="H792" s="38">
        <f>+H446/[8]Result!$C$39</f>
        <v>-5.1338182558026066E-3</v>
      </c>
      <c r="I792" s="32">
        <f>+I446/[9]Result!$C$39</f>
        <v>-1.941716900483172E-2</v>
      </c>
      <c r="J792" s="32">
        <f>+J446/[10]Result!$C$39</f>
        <v>-2.3175511265264494E-2</v>
      </c>
      <c r="K792" s="38">
        <f>+K446/[11]Result!$C$39</f>
        <v>2.9754026988497717E-2</v>
      </c>
      <c r="L792" s="32">
        <f>+L446/[12]Result!$C$39</f>
        <v>-3.3487691457243543E-4</v>
      </c>
      <c r="M792" s="32">
        <f>+M446/[13]Result!$C$39</f>
        <v>-4.6256911958730579E-2</v>
      </c>
      <c r="N792" s="42"/>
    </row>
    <row r="793" spans="2:14" hidden="1" outlineLevel="2" x14ac:dyDescent="0.25">
      <c r="B793" s="17" t="s">
        <v>42</v>
      </c>
      <c r="C793" s="32">
        <f>+C447/[15]Result!$C$40</f>
        <v>-2.6640851189412087E-2</v>
      </c>
      <c r="D793" s="28">
        <f>+D447/[1]Result!$C$40</f>
        <v>3.6663393206167204E-2</v>
      </c>
      <c r="E793" s="38">
        <f>+E447/[5]Result!$C$40</f>
        <v>-6.6564304874797045E-2</v>
      </c>
      <c r="F793" s="28">
        <f>+F447/[6]Result!$C$40</f>
        <v>3.3206788059818727E-2</v>
      </c>
      <c r="G793" s="28">
        <f>+G447/[7]Result!$C$40</f>
        <v>-3.9633636531605093E-2</v>
      </c>
      <c r="H793" s="38">
        <f>+H447/[8]Result!$C$40</f>
        <v>7.3802147033483808E-3</v>
      </c>
      <c r="I793" s="32">
        <f>+I447/[9]Result!$C$40</f>
        <v>-1.9634955890295527E-2</v>
      </c>
      <c r="J793" s="32">
        <f>+J447/[10]Result!$C$40</f>
        <v>-2.3332853423004823E-2</v>
      </c>
      <c r="K793" s="38">
        <f>+K447/[11]Result!$C$40</f>
        <v>6.0421836798912658E-2</v>
      </c>
      <c r="L793" s="32">
        <f>+L447/[12]Result!$C$40</f>
        <v>-5.1648935058197954E-4</v>
      </c>
      <c r="M793" s="32">
        <f>+M447/[13]Result!$C$40</f>
        <v>-4.6578785534926156E-2</v>
      </c>
      <c r="N793" s="42"/>
    </row>
    <row r="794" spans="2:14" hidden="1" outlineLevel="2" x14ac:dyDescent="0.25">
      <c r="B794" s="17" t="s">
        <v>43</v>
      </c>
      <c r="C794" s="32">
        <f>+C448/[15]Result!$C$41</f>
        <v>-2.6857156725648649E-2</v>
      </c>
      <c r="D794" s="28">
        <f>+D448/[1]Result!$C$41</f>
        <v>3.6970971276412412E-2</v>
      </c>
      <c r="E794" s="38">
        <f>+E448/[5]Result!$C$41</f>
        <v>-5.1399725863052914E-2</v>
      </c>
      <c r="F794" s="28">
        <f>+F448/[6]Result!$C$41</f>
        <v>3.3052241261960928E-2</v>
      </c>
      <c r="G794" s="28">
        <f>+G448/[7]Result!$C$41</f>
        <v>-3.9870225585029999E-2</v>
      </c>
      <c r="H794" s="38">
        <f>+H448/[8]Result!$C$41</f>
        <v>1.7782255703636143E-2</v>
      </c>
      <c r="I794" s="32">
        <f>+I448/[9]Result!$C$41</f>
        <v>-1.9660234147391889E-2</v>
      </c>
      <c r="J794" s="32">
        <f>+J448/[10]Result!$C$41</f>
        <v>-2.3634969259491517E-2</v>
      </c>
      <c r="K794" s="38">
        <f>+K448/[11]Result!$C$41</f>
        <v>9.4472162259058148E-2</v>
      </c>
      <c r="L794" s="32">
        <f>+L448/[12]Result!$C$41</f>
        <v>-5.3171756021631661E-4</v>
      </c>
      <c r="M794" s="32">
        <f>+M448/[13]Result!$C$41</f>
        <v>-4.7013491353069363E-2</v>
      </c>
      <c r="N794" s="42"/>
    </row>
    <row r="795" spans="2:14" hidden="1" outlineLevel="2" x14ac:dyDescent="0.25">
      <c r="B795" s="17" t="s">
        <v>44</v>
      </c>
      <c r="C795" s="32">
        <f>+C449/[15]Result!$C$42</f>
        <v>-2.7045666295362779E-2</v>
      </c>
      <c r="D795" s="28">
        <f>+D449/[1]Result!$C$42</f>
        <v>3.7238291260446331E-2</v>
      </c>
      <c r="E795" s="38">
        <f>+E449/[5]Result!$C$42</f>
        <v>-2.5835273547693424E-2</v>
      </c>
      <c r="F795" s="28">
        <f>+F449/[6]Result!$C$42</f>
        <v>3.3025612671512466E-2</v>
      </c>
      <c r="G795" s="28">
        <f>+G449/[7]Result!$C$42</f>
        <v>-4.0059515920604132E-2</v>
      </c>
      <c r="H795" s="38">
        <f>+H449/[8]Result!$C$42</f>
        <v>3.4199584039856797E-2</v>
      </c>
      <c r="I795" s="32">
        <f>+I449/[9]Result!$C$42</f>
        <v>-1.9656201283798174E-2</v>
      </c>
      <c r="J795" s="32">
        <f>+J449/[10]Result!$C$42</f>
        <v>-2.3918000144080749E-2</v>
      </c>
      <c r="K795" s="38">
        <f>+K449/[11]Result!$C$42</f>
        <v>0.12570971903169423</v>
      </c>
      <c r="L795" s="32">
        <f>+L449/[12]Result!$C$42</f>
        <v>-5.4535656040508138E-4</v>
      </c>
      <c r="M795" s="32">
        <f>+M449/[13]Result!$C$42</f>
        <v>-4.7402504159874376E-2</v>
      </c>
      <c r="N795" s="42"/>
    </row>
    <row r="796" spans="2:14" hidden="1" outlineLevel="2" x14ac:dyDescent="0.25">
      <c r="B796" s="17" t="s">
        <v>45</v>
      </c>
      <c r="C796" s="32">
        <f>+C450/[15]Result!$C$43</f>
        <v>-2.7204942066529073E-2</v>
      </c>
      <c r="D796" s="28">
        <f>+D450/[1]Result!$C$43</f>
        <v>3.7465301353434378E-2</v>
      </c>
      <c r="E796" s="38">
        <f>+E450/[5]Result!$C$43</f>
        <v>-1.9670960285544586E-2</v>
      </c>
      <c r="F796" s="28">
        <f>+F450/[6]Result!$C$43</f>
        <v>3.3142696412849379E-2</v>
      </c>
      <c r="G796" s="28">
        <f>+G450/[7]Result!$C$43</f>
        <v>-4.0382225927147297E-2</v>
      </c>
      <c r="H796" s="38">
        <f>+H450/[8]Result!$C$43</f>
        <v>1.7043699760316687E-2</v>
      </c>
      <c r="I796" s="32">
        <f>+I450/[9]Result!$C$43</f>
        <v>-1.9807295977448937E-2</v>
      </c>
      <c r="J796" s="32">
        <f>+J450/[10]Result!$C$43</f>
        <v>-2.4181966215982804E-2</v>
      </c>
      <c r="K796" s="38">
        <f>+K450/[11]Result!$C$43</f>
        <v>3.9965228395273611E-2</v>
      </c>
      <c r="L796" s="32">
        <f>+L450/[12]Result!$C$43</f>
        <v>-7.4708088967468246E-4</v>
      </c>
      <c r="M796" s="32">
        <f>+M450/[13]Result!$C$43</f>
        <v>-4.7567052629058026E-2</v>
      </c>
      <c r="N796" s="42"/>
    </row>
    <row r="797" spans="2:14" hidden="1" outlineLevel="2" x14ac:dyDescent="0.25">
      <c r="B797" s="17" t="s">
        <v>46</v>
      </c>
      <c r="C797" s="32">
        <f>+C451/[15]Result!$C$44</f>
        <v>-2.7336823304259711E-2</v>
      </c>
      <c r="D797" s="28">
        <f>+D451/[1]Result!$C$44</f>
        <v>3.7652033988456832E-2</v>
      </c>
      <c r="E797" s="38">
        <f>+E451/[5]Result!$C$44</f>
        <v>-0.106811289372921</v>
      </c>
      <c r="F797" s="28">
        <f>+F451/[6]Result!$C$44</f>
        <v>3.3219536704212058E-2</v>
      </c>
      <c r="G797" s="28">
        <f>+G451/[7]Result!$C$44</f>
        <v>-4.0667405228588228E-2</v>
      </c>
      <c r="H797" s="38">
        <f>+H451/[8]Result!$C$44</f>
        <v>3.7022476989809781E-2</v>
      </c>
      <c r="I797" s="32">
        <f>+I451/[9]Result!$C$44</f>
        <v>-1.9751962179052059E-2</v>
      </c>
      <c r="J797" s="32">
        <f>+J451/[10]Result!$C$44</f>
        <v>-2.4427025150800381E-2</v>
      </c>
      <c r="K797" s="38">
        <f>+K451/[11]Result!$C$44</f>
        <v>-5.9415194181165115E-2</v>
      </c>
      <c r="L797" s="32">
        <f>+L451/[12]Result!$C$44</f>
        <v>-7.6643698357296126E-4</v>
      </c>
      <c r="M797" s="32">
        <f>+M451/[13]Result!$C$44</f>
        <v>-4.7858000107477316E-2</v>
      </c>
      <c r="N797" s="42"/>
    </row>
    <row r="798" spans="2:14" hidden="1" outlineLevel="2" x14ac:dyDescent="0.25">
      <c r="B798" s="17" t="s">
        <v>47</v>
      </c>
      <c r="C798" s="32">
        <f>+C452/[15]Result!$C$45</f>
        <v>-2.7247867961519161E-2</v>
      </c>
      <c r="D798" s="28">
        <f>+D452/[1]Result!$C$45</f>
        <v>3.7798457640096136E-2</v>
      </c>
      <c r="E798" s="38">
        <f>+E452/[5]Result!$C$45</f>
        <v>-8.926937777365028E-2</v>
      </c>
      <c r="F798" s="28">
        <f>+F452/[6]Result!$C$45</f>
        <v>3.3053321144155101E-2</v>
      </c>
      <c r="G798" s="28">
        <f>+G452/[7]Result!$C$45</f>
        <v>-4.0726868333387442E-2</v>
      </c>
      <c r="H798" s="38">
        <f>+H452/[8]Result!$C$45</f>
        <v>4.2017606767643469E-2</v>
      </c>
      <c r="I798" s="32">
        <f>+I452/[9]Result!$C$45</f>
        <v>-1.9666843700817917E-2</v>
      </c>
      <c r="J798" s="32">
        <f>+J452/[10]Result!$C$45</f>
        <v>-2.4462072194683725E-2</v>
      </c>
      <c r="K798" s="38">
        <f>+K452/[11]Result!$C$45</f>
        <v>-6.2162154054523876E-2</v>
      </c>
      <c r="L798" s="32">
        <f>+L452/[12]Result!$C$45</f>
        <v>-7.8579617175089905E-4</v>
      </c>
      <c r="M798" s="32">
        <f>+M452/[13]Result!$C$45</f>
        <v>-4.8290310870660637E-2</v>
      </c>
      <c r="N798" s="42"/>
    </row>
    <row r="799" spans="2:14" hidden="1" outlineLevel="2" x14ac:dyDescent="0.25">
      <c r="B799" s="17" t="s">
        <v>48</v>
      </c>
      <c r="C799" s="32">
        <f>+C453/[15]Result!$C$46</f>
        <v>-2.7316966769463925E-2</v>
      </c>
      <c r="D799" s="28">
        <f>+D453/[1]Result!$C$46</f>
        <v>3.8113567708483058E-2</v>
      </c>
      <c r="E799" s="38">
        <f>+E453/[5]Result!$C$46</f>
        <v>-7.6117081074475998E-2</v>
      </c>
      <c r="F799" s="28">
        <f>+F453/[6]Result!$C$46</f>
        <v>3.3043339337593396E-2</v>
      </c>
      <c r="G799" s="28">
        <f>+G453/[7]Result!$C$46</f>
        <v>-4.0738503512260819E-2</v>
      </c>
      <c r="H799" s="38">
        <f>+H453/[8]Result!$C$46</f>
        <v>4.2748707435933779E-2</v>
      </c>
      <c r="I799" s="32">
        <f>+I453/[9]Result!$C$46</f>
        <v>-1.9751366767072006E-2</v>
      </c>
      <c r="J799" s="32">
        <f>+J453/[10]Result!$C$46</f>
        <v>-2.4467312558082897E-2</v>
      </c>
      <c r="K799" s="38">
        <f>+K453/[11]Result!$C$46</f>
        <v>-4.9381113214995102E-2</v>
      </c>
      <c r="L799" s="32">
        <f>+L453/[12]Result!$C$46</f>
        <v>-8.051491423830832E-4</v>
      </c>
      <c r="M799" s="32">
        <f>+M453/[13]Result!$C$46</f>
        <v>-4.8494849079917655E-2</v>
      </c>
      <c r="N799" s="42"/>
    </row>
    <row r="800" spans="2:14" hidden="1" outlineLevel="2" x14ac:dyDescent="0.25">
      <c r="B800" s="17" t="s">
        <v>49</v>
      </c>
      <c r="C800" s="32">
        <f>+C454/[15]Result!$C$47</f>
        <v>-2.7559824775930608E-2</v>
      </c>
      <c r="D800" s="28">
        <f>+D454/[1]Result!$C$47</f>
        <v>3.8400127288419322E-2</v>
      </c>
      <c r="E800" s="38">
        <f>+E454/[5]Result!$C$47</f>
        <v>-5.9088840720582118E-2</v>
      </c>
      <c r="F800" s="28">
        <f>+F454/[6]Result!$C$47</f>
        <v>3.3209154679597126E-2</v>
      </c>
      <c r="G800" s="28">
        <f>+G454/[7]Result!$C$47</f>
        <v>-4.0902523211506669E-2</v>
      </c>
      <c r="H800" s="38">
        <f>+H454/[8]Result!$C$47</f>
        <v>3.260851083339969E-2</v>
      </c>
      <c r="I800" s="32">
        <f>+I454/[9]Result!$C$47</f>
        <v>-1.9816920944710024E-2</v>
      </c>
      <c r="J800" s="32">
        <f>+J454/[10]Result!$C$47</f>
        <v>-2.4646070208516103E-2</v>
      </c>
      <c r="K800" s="38">
        <f>+K454/[11]Result!$C$47</f>
        <v>-3.8563324098523047E-2</v>
      </c>
      <c r="L800" s="32">
        <f>+L454/[12]Result!$C$47</f>
        <v>-8.2450353756905392E-4</v>
      </c>
      <c r="M800" s="32">
        <f>+M454/[13]Result!$C$47</f>
        <v>-4.8651659431436359E-2</v>
      </c>
      <c r="N800" s="42"/>
    </row>
    <row r="801" spans="2:15" hidden="1" outlineLevel="2" x14ac:dyDescent="0.25">
      <c r="B801" s="17" t="s">
        <v>50</v>
      </c>
      <c r="C801" s="32">
        <f>+C455/[15]Result!$C$48</f>
        <v>-2.7578612988314481E-2</v>
      </c>
      <c r="D801" s="28">
        <f>+D455/[1]Result!$C$48</f>
        <v>3.8435580418890621E-2</v>
      </c>
      <c r="E801" s="38">
        <f>+E455/[5]Result!$C$48</f>
        <v>-6.9756086573164885E-2</v>
      </c>
      <c r="F801" s="28">
        <f>+F455/[6]Result!$C$48</f>
        <v>3.2907895245691862E-2</v>
      </c>
      <c r="G801" s="28">
        <f>+G455/[7]Result!$C$48</f>
        <v>-4.0827254772340178E-2</v>
      </c>
      <c r="H801" s="38">
        <f>+H455/[8]Result!$C$48</f>
        <v>2.3482029784170438E-2</v>
      </c>
      <c r="I801" s="32">
        <f>+I455/[9]Result!$C$48</f>
        <v>-1.9863426931505022E-2</v>
      </c>
      <c r="J801" s="32">
        <f>+J455/[10]Result!$C$48</f>
        <v>-2.4805846131818819E-2</v>
      </c>
      <c r="K801" s="38">
        <f>+K455/[11]Result!$C$48</f>
        <v>-3.9055663301902827E-2</v>
      </c>
      <c r="L801" s="32">
        <f>+L455/[12]Result!$C$48</f>
        <v>-8.4385767583221825E-4</v>
      </c>
      <c r="M801" s="32">
        <f>+M455/[13]Result!$C$48</f>
        <v>-4.8963802979252305E-2</v>
      </c>
      <c r="N801" s="42"/>
    </row>
    <row r="802" spans="2:15" hidden="1" outlineLevel="2" x14ac:dyDescent="0.25">
      <c r="B802" s="17" t="s">
        <v>51</v>
      </c>
      <c r="C802" s="32">
        <f>+C456/[15]Result!$C$49</f>
        <v>-2.7567255424331655E-2</v>
      </c>
      <c r="D802" s="28">
        <f>+D456/[1]Result!$C$49</f>
        <v>3.8430750084611394E-2</v>
      </c>
      <c r="E802" s="38">
        <f>+E456/[5]Result!$C$49</f>
        <v>-5.8986839534548065E-2</v>
      </c>
      <c r="F802" s="28">
        <f>+F456/[6]Result!$C$49</f>
        <v>3.277715178389428E-2</v>
      </c>
      <c r="G802" s="28">
        <f>+G456/[7]Result!$C$49</f>
        <v>-4.0703708019336787E-2</v>
      </c>
      <c r="H802" s="38">
        <f>+H456/[8]Result!$C$49</f>
        <v>3.0802799965074189E-2</v>
      </c>
      <c r="I802" s="32">
        <f>+I456/[9]Result!$C$49</f>
        <v>-1.9890891044235071E-2</v>
      </c>
      <c r="J802" s="32">
        <f>+J456/[10]Result!$C$49</f>
        <v>-2.4737177072275202E-2</v>
      </c>
      <c r="K802" s="38">
        <f>+K456/[11]Result!$C$49</f>
        <v>-3.6478275565591342E-2</v>
      </c>
      <c r="L802" s="32">
        <f>+L456/[12]Result!$C$49</f>
        <v>-8.632095610333877E-4</v>
      </c>
      <c r="M802" s="32">
        <f>+M456/[13]Result!$C$49</f>
        <v>-4.9034879293474304E-2</v>
      </c>
      <c r="N802" s="42"/>
    </row>
    <row r="803" spans="2:15" hidden="1" outlineLevel="2" x14ac:dyDescent="0.25">
      <c r="B803" s="17" t="s">
        <v>52</v>
      </c>
      <c r="C803" s="32">
        <f>+C457/[15]Result!$C$50</f>
        <v>-2.7744020430334769E-2</v>
      </c>
      <c r="D803" s="28">
        <f>+D457/[1]Result!$C$50</f>
        <v>3.8614692691986655E-2</v>
      </c>
      <c r="E803" s="38">
        <f>+E457/[5]Result!$C$50</f>
        <v>-6.2065168921958562E-2</v>
      </c>
      <c r="F803" s="28">
        <f>+F457/[6]Result!$C$50</f>
        <v>3.2837979688198543E-2</v>
      </c>
      <c r="G803" s="28">
        <f>+G457/[7]Result!$C$50</f>
        <v>-4.0746784608141955E-2</v>
      </c>
      <c r="H803" s="38">
        <f>+H457/[8]Result!$C$50</f>
        <v>3.1997749422275415E-2</v>
      </c>
      <c r="I803" s="32">
        <f>+I457/[9]Result!$C$50</f>
        <v>-1.9683967713980576E-2</v>
      </c>
      <c r="J803" s="32">
        <f>+J457/[10]Result!$C$50</f>
        <v>-2.4852343134693276E-2</v>
      </c>
      <c r="K803" s="38">
        <f>+K457/[11]Result!$C$50</f>
        <v>-4.6395722795864916E-2</v>
      </c>
      <c r="L803" s="32">
        <f>+L457/[12]Result!$C$50</f>
        <v>-8.8255919356289671E-4</v>
      </c>
      <c r="M803" s="32">
        <f>+M457/[13]Result!$C$50</f>
        <v>-4.9057838497464208E-2</v>
      </c>
      <c r="N803" s="42"/>
    </row>
    <row r="804" spans="2:15" hidden="1" outlineLevel="2" x14ac:dyDescent="0.25">
      <c r="B804" s="17" t="s">
        <v>53</v>
      </c>
      <c r="C804" s="32">
        <f>+C458/[15]Result!$C$51</f>
        <v>-2.7682928640805838E-2</v>
      </c>
      <c r="D804" s="28">
        <f>+D458/[1]Result!$C$51</f>
        <v>3.8536770462485624E-2</v>
      </c>
      <c r="E804" s="38">
        <f>+E458/[5]Result!$C$51</f>
        <v>-5.986342434739339E-2</v>
      </c>
      <c r="F804" s="28">
        <f>+F458/[6]Result!$C$51</f>
        <v>3.286652181352618E-2</v>
      </c>
      <c r="G804" s="28">
        <f>+G458/[7]Result!$C$51</f>
        <v>-4.0968349727931785E-2</v>
      </c>
      <c r="H804" s="38">
        <f>+H458/[8]Result!$C$51</f>
        <v>4.3418017063715904E-2</v>
      </c>
      <c r="I804" s="32">
        <f>+I458/[9]Result!$C$51</f>
        <v>-1.966642264775963E-2</v>
      </c>
      <c r="J804" s="32">
        <f>+J458/[10]Result!$C$51</f>
        <v>-2.4952945220833016E-2</v>
      </c>
      <c r="K804" s="38">
        <f>+K458/[11]Result!$C$51</f>
        <v>-6.095726438770107E-2</v>
      </c>
      <c r="L804" s="32">
        <f>+L458/[12]Result!$C$51</f>
        <v>-9.0190657380520903E-4</v>
      </c>
      <c r="M804" s="32">
        <f>+M458/[13]Result!$C$51</f>
        <v>-4.92499376971497E-2</v>
      </c>
      <c r="N804" s="42"/>
    </row>
    <row r="805" spans="2:15" hidden="1" outlineLevel="2" x14ac:dyDescent="0.25">
      <c r="B805" s="17" t="s">
        <v>54</v>
      </c>
      <c r="C805" s="32">
        <f>+C459/[15]Result!$C$52</f>
        <v>-2.7591252142748938E-2</v>
      </c>
      <c r="D805" s="28">
        <f>+D459/[1]Result!$C$52</f>
        <v>3.8413632297584599E-2</v>
      </c>
      <c r="E805" s="38">
        <f>+E459/[5]Result!$C$52</f>
        <v>-8.9720911811579887E-2</v>
      </c>
      <c r="F805" s="28">
        <f>+F459/[6]Result!$C$52</f>
        <v>3.3104730013086323E-2</v>
      </c>
      <c r="G805" s="28">
        <f>+G459/[7]Result!$C$52</f>
        <v>-4.1164336041494859E-2</v>
      </c>
      <c r="H805" s="38">
        <f>+H459/[8]Result!$C$52</f>
        <v>7.6088109986226005E-2</v>
      </c>
      <c r="I805" s="32">
        <f>+I459/[9]Result!$C$52</f>
        <v>-1.9859358668477357E-2</v>
      </c>
      <c r="J805" s="32">
        <f>+J459/[10]Result!$C$52</f>
        <v>-2.4806507932263626E-2</v>
      </c>
      <c r="K805" s="38">
        <f>+K459/[11]Result!$C$52</f>
        <v>-7.0551243107611683E-2</v>
      </c>
      <c r="L805" s="32">
        <f>+L459/[12]Result!$C$52</f>
        <v>-9.2125170216001708E-4</v>
      </c>
      <c r="M805" s="32">
        <f>+M459/[13]Result!$C$52</f>
        <v>-4.9187519389489981E-2</v>
      </c>
      <c r="N805" s="42"/>
    </row>
    <row r="806" spans="2:15" hidden="1" outlineLevel="2" x14ac:dyDescent="0.25">
      <c r="B806" s="17" t="s">
        <v>55</v>
      </c>
      <c r="C806" s="32">
        <f>+C460/[15]Result!$C$53</f>
        <v>-2.7701956230408723E-2</v>
      </c>
      <c r="D806" s="28">
        <f>+D460/[1]Result!$C$53</f>
        <v>3.8499243814454069E-2</v>
      </c>
      <c r="E806" s="38">
        <f>+E460/[5]Result!$C$53</f>
        <v>-0.11339434843659643</v>
      </c>
      <c r="F806" s="28">
        <f>+F460/[6]Result!$C$53</f>
        <v>3.3080699724360015E-2</v>
      </c>
      <c r="G806" s="28">
        <f>+G460/[7]Result!$C$53</f>
        <v>-4.1105160282377061E-2</v>
      </c>
      <c r="H806" s="38">
        <f>+H460/[8]Result!$C$53</f>
        <v>2.6288311724097763E-2</v>
      </c>
      <c r="I806" s="32">
        <f>+I460/[9]Result!$C$53</f>
        <v>-1.9810883349408639E-2</v>
      </c>
      <c r="J806" s="32">
        <f>+J460/[10]Result!$C$53</f>
        <v>-2.5090354582743179E-2</v>
      </c>
      <c r="K806" s="38">
        <f>+K460/[11]Result!$C$53</f>
        <v>-8.9903282665059245E-2</v>
      </c>
      <c r="L806" s="32">
        <f>+L460/[12]Result!$C$53</f>
        <v>-9.4060141241888821E-4</v>
      </c>
      <c r="M806" s="32">
        <f>+M460/[13]Result!$C$53</f>
        <v>-4.9298901274128511E-2</v>
      </c>
      <c r="N806" s="42"/>
    </row>
    <row r="807" spans="2:15" hidden="1" outlineLevel="2" x14ac:dyDescent="0.25">
      <c r="B807" s="17" t="s">
        <v>56</v>
      </c>
      <c r="C807" s="32">
        <f>+C461/[15]Result!$C$54</f>
        <v>-2.7793696193707258E-2</v>
      </c>
      <c r="D807" s="28">
        <f>+D461/[1]Result!$C$54</f>
        <v>3.8551652456326982E-2</v>
      </c>
      <c r="E807" s="38">
        <f>+E461/[5]Result!$C$54</f>
        <v>-0.1724865732070906</v>
      </c>
      <c r="F807" s="28">
        <f>+F461/[6]Result!$C$54</f>
        <v>3.2776733185724632E-2</v>
      </c>
      <c r="G807" s="28">
        <f>+G461/[7]Result!$C$54</f>
        <v>-4.1008693592993979E-2</v>
      </c>
      <c r="H807" s="38">
        <f>+H461/[8]Result!$C$54</f>
        <v>8.1966119616417171E-2</v>
      </c>
      <c r="I807" s="32">
        <f>+I461/[9]Result!$C$54</f>
        <v>-1.9743379323848839E-2</v>
      </c>
      <c r="J807" s="32">
        <f>+J461/[10]Result!$C$54</f>
        <v>-2.513474086540847E-2</v>
      </c>
      <c r="K807" s="38">
        <f>+K461/[11]Result!$C$54</f>
        <v>-9.8205718573856668E-2</v>
      </c>
      <c r="L807" s="32">
        <f>+L461/[12]Result!$C$54</f>
        <v>-9.5995153288235555E-4</v>
      </c>
      <c r="M807" s="32">
        <f>+M461/[13]Result!$C$54</f>
        <v>-4.9605460173349124E-2</v>
      </c>
      <c r="N807" s="42"/>
    </row>
    <row r="808" spans="2:15" collapsed="1" x14ac:dyDescent="0.25">
      <c r="B808" s="13" t="s">
        <v>90</v>
      </c>
      <c r="C808" s="32">
        <f>+C462/SUM([15]Result!$K$5:$K$54)</f>
        <v>-9.8025246857751862E-4</v>
      </c>
      <c r="D808" s="28">
        <f>+D462/SUM([1]Result!$K$5:$K$54)</f>
        <v>1.6626735472960138E-3</v>
      </c>
      <c r="E808" s="38">
        <f>+E462/SUM([5]Result!$K$5:$K$54)</f>
        <v>3.2163105096854681E-2</v>
      </c>
      <c r="F808" s="28">
        <f>+F462/SUM([6]Result!$K$5:$K$54)</f>
        <v>3.6382205435640975E-3</v>
      </c>
      <c r="G808" s="28">
        <f>+G462/SUM([7]Result!$K$5:$K$54)</f>
        <v>-1.1931529162745732E-3</v>
      </c>
      <c r="H808" s="38">
        <f>+H462/SUM([8]Result!$K$5:$K$54)</f>
        <v>-3.0983530734237971E-2</v>
      </c>
      <c r="I808" s="33">
        <f>+I462/SUM([9]Result!$K$5:$K$54)</f>
        <v>-1.2597399004345131E-3</v>
      </c>
      <c r="J808" s="33">
        <f>+J462/SUM([10]Result!$K$5:$K$54)</f>
        <v>1.2713522986045403E-4</v>
      </c>
      <c r="K808" s="38">
        <f>+K462/SUM([11]Result!$K$5:$K$54)</f>
        <v>3.0923122279830095E-3</v>
      </c>
      <c r="L808" s="33">
        <f>+L462/SUM([12]Result!$K$5:$K$54)</f>
        <v>4.8541536817344448E-4</v>
      </c>
      <c r="M808" s="33">
        <f>+M462/SUM([13]Result!$K$5:$K$54)</f>
        <v>-1.530259069476525E-3</v>
      </c>
      <c r="N808" s="42"/>
      <c r="O808" s="14"/>
    </row>
    <row r="809" spans="2:15" hidden="1" outlineLevel="1" x14ac:dyDescent="0.25">
      <c r="B809" s="16" t="s">
        <v>2</v>
      </c>
      <c r="C809" s="32">
        <f>+C463/'[15]Stat by Mat'!$M$3</f>
        <v>-3.6511586941508415E-4</v>
      </c>
      <c r="D809" s="28">
        <f>+D463/'[1]Stat by Mat'!$M$3</f>
        <v>7.436295213077282E-4</v>
      </c>
      <c r="E809" s="38">
        <f>+E463/'[5]Stat by Mat'!$M$3</f>
        <v>5.0885392810445851E-2</v>
      </c>
      <c r="F809" s="28">
        <f>+F463/'[6]Stat by Mat'!$M$3</f>
        <v>1.6274054456745135E-3</v>
      </c>
      <c r="G809" s="28">
        <f>+G463/'[7]Stat by Mat'!$M$3</f>
        <v>-2.970001447590684E-4</v>
      </c>
      <c r="H809" s="38">
        <f>+H463/'[8]Stat by Mat'!$M$3</f>
        <v>-3.6106578552289909E-2</v>
      </c>
      <c r="I809" s="32">
        <f>+I463/'[9]Stat by Mat'!$M$3</f>
        <v>-5.3554863815238744E-4</v>
      </c>
      <c r="J809" s="32">
        <f>+J463/'[10]Stat by Mat'!$M$3</f>
        <v>2.413772257721142E-4</v>
      </c>
      <c r="K809" s="38">
        <f>+K463/'[11]Stat by Mat'!$M$3</f>
        <v>2.2281877744640788E-3</v>
      </c>
      <c r="L809" s="32">
        <f>+L463/'[12]Stat by Mat'!$M$3</f>
        <v>1.9392707895269813E-4</v>
      </c>
      <c r="M809" s="32">
        <f>+M463/'[13]Stat by Mat'!$M$3</f>
        <v>-2.8724934061499134E-4</v>
      </c>
      <c r="N809" s="42"/>
    </row>
    <row r="810" spans="2:15" ht="15" hidden="1" customHeight="1" outlineLevel="2" x14ac:dyDescent="0.25">
      <c r="B810" s="17" t="s">
        <v>3</v>
      </c>
      <c r="C810" s="32">
        <f>+C464/[15]Result!$K$5</f>
        <v>-6.9407192106934115E-5</v>
      </c>
      <c r="D810" s="28">
        <f>+D464/[1]Result!$K$5</f>
        <v>1.8844900294185947E-4</v>
      </c>
      <c r="E810" s="38">
        <f>+E464/[5]Result!$K$5</f>
        <v>2.4696204844273512E-3</v>
      </c>
      <c r="F810" s="28">
        <f>+F464/[6]Result!$K$5</f>
        <v>3.5241242516001903E-4</v>
      </c>
      <c r="G810" s="28">
        <f>+G464/[7]Result!$K$5</f>
        <v>-1.9860462293743725E-5</v>
      </c>
      <c r="H810" s="38">
        <f>+H464/[8]Result!$K$5</f>
        <v>-9.1257896227801477E-2</v>
      </c>
      <c r="I810" s="32">
        <f>+I464/[9]Result!$K$5</f>
        <v>-8.4382176202094181E-5</v>
      </c>
      <c r="J810" s="32">
        <f>+J464/[10]Result!$K$5</f>
        <v>1.4890154163940109E-5</v>
      </c>
      <c r="K810" s="38">
        <f>+K464/[11]Result!$K$5</f>
        <v>-5.3417513485247099E-2</v>
      </c>
      <c r="L810" s="32">
        <f>+L464/[12]Result!$K$5</f>
        <v>-4.9622234507411672E-6</v>
      </c>
      <c r="M810" s="32">
        <f>+M464/[13]Result!$K$5</f>
        <v>-1.4886151775649589E-5</v>
      </c>
      <c r="N810" s="42"/>
    </row>
    <row r="811" spans="2:15" hidden="1" outlineLevel="2" x14ac:dyDescent="0.25">
      <c r="B811" s="17" t="s">
        <v>4</v>
      </c>
      <c r="C811" s="32">
        <f>+C465/[15]Result!$K$6</f>
        <v>-3.0700841316928069E-4</v>
      </c>
      <c r="D811" s="28">
        <f>+D465/[1]Result!$K$6</f>
        <v>6.2480760387826674E-4</v>
      </c>
      <c r="E811" s="38">
        <f>+E465/[5]Result!$K$6</f>
        <v>0.18239510347320342</v>
      </c>
      <c r="F811" s="28">
        <f>+F465/[6]Result!$K$6</f>
        <v>1.4139931610076097E-3</v>
      </c>
      <c r="G811" s="28">
        <f>+G465/[7]Result!$K$6</f>
        <v>-2.0801265084133863E-4</v>
      </c>
      <c r="H811" s="38">
        <f>+H465/[8]Result!$K$6</f>
        <v>2.3199431578165449E-2</v>
      </c>
      <c r="I811" s="32">
        <f>+I465/[9]Result!$K$6</f>
        <v>-4.2108388967804884E-4</v>
      </c>
      <c r="J811" s="32">
        <f>+J465/[10]Result!$K$6</f>
        <v>1.4353241197067725E-4</v>
      </c>
      <c r="K811" s="38">
        <f>+K465/[11]Result!$K$6</f>
        <v>3.5988720653977388E-2</v>
      </c>
      <c r="L811" s="32">
        <f>+L465/[12]Result!$K$6</f>
        <v>1.0372344209352055E-4</v>
      </c>
      <c r="M811" s="32">
        <f>+M465/[13]Result!$K$6</f>
        <v>-1.632239913130499E-4</v>
      </c>
      <c r="N811" s="42"/>
    </row>
    <row r="812" spans="2:15" hidden="1" outlineLevel="2" x14ac:dyDescent="0.25">
      <c r="B812" s="17" t="s">
        <v>5</v>
      </c>
      <c r="C812" s="32">
        <f>+C466/[15]Result!$K$7</f>
        <v>-7.5620035469904201E-4</v>
      </c>
      <c r="D812" s="28">
        <f>+D466/[1]Result!$K$7</f>
        <v>1.3856296481780115E-3</v>
      </c>
      <c r="E812" s="38">
        <f>+E466/[5]Result!$K$7</f>
        <v>7.9103519745108101E-3</v>
      </c>
      <c r="F812" s="28">
        <f>+F466/[6]Result!$K$7</f>
        <v>3.0242087010374456E-3</v>
      </c>
      <c r="G812" s="28">
        <f>+G466/[7]Result!$K$7</f>
        <v>-5.8899116582231939E-4</v>
      </c>
      <c r="H812" s="38">
        <f>+H466/[8]Result!$K$7</f>
        <v>-5.296905760463824E-3</v>
      </c>
      <c r="I812" s="32">
        <f>+I466/[9]Result!$K$7</f>
        <v>-1.0334578837717058E-3</v>
      </c>
      <c r="J812" s="32">
        <f>+J466/[10]Result!$K$7</f>
        <v>5.1398591262811761E-4</v>
      </c>
      <c r="K812" s="38">
        <f>+K466/[11]Result!$K$7</f>
        <v>7.933912158677181E-2</v>
      </c>
      <c r="L812" s="32">
        <f>+L466/[12]Result!$K$7</f>
        <v>3.7571687319686253E-4</v>
      </c>
      <c r="M812" s="32">
        <f>+M466/[13]Result!$K$7</f>
        <v>-4.8929915995248301E-4</v>
      </c>
      <c r="N812" s="42"/>
    </row>
    <row r="813" spans="2:15" hidden="1" outlineLevel="2" x14ac:dyDescent="0.25">
      <c r="B813" s="17" t="s">
        <v>6</v>
      </c>
      <c r="C813" s="32">
        <f>+C467/[15]Result!$K$8</f>
        <v>-1.1518058474964531E-3</v>
      </c>
      <c r="D813" s="28">
        <f>+D467/[1]Result!$K$8</f>
        <v>2.2179415962831411E-3</v>
      </c>
      <c r="E813" s="38">
        <f>+E467/[5]Result!$K$8</f>
        <v>2.059690581314964E-2</v>
      </c>
      <c r="F813" s="28">
        <f>+F467/[6]Result!$K$8</f>
        <v>4.9361305268509174E-3</v>
      </c>
      <c r="G813" s="28">
        <f>+G467/[7]Result!$K$8</f>
        <v>-1.092110406121801E-3</v>
      </c>
      <c r="H813" s="38">
        <f>+H467/[8]Result!$K$8</f>
        <v>8.1440874594380247E-4</v>
      </c>
      <c r="I813" s="32">
        <f>+I467/[9]Result!$K$8</f>
        <v>-1.6844042528707506E-3</v>
      </c>
      <c r="J813" s="32">
        <f>+J467/[10]Result!$K$8</f>
        <v>9.1994589231843608E-4</v>
      </c>
      <c r="K813" s="38">
        <f>+K467/[11]Result!$K$8</f>
        <v>4.3989536326083739E-2</v>
      </c>
      <c r="L813" s="32">
        <f>+L467/[12]Result!$K$8</f>
        <v>7.2128920628268729E-4</v>
      </c>
      <c r="M813" s="32">
        <f>+M467/[13]Result!$K$8</f>
        <v>-9.9163714844382762E-4</v>
      </c>
      <c r="N813" s="42"/>
    </row>
    <row r="814" spans="2:15" hidden="1" outlineLevel="2" x14ac:dyDescent="0.25">
      <c r="B814" s="17" t="s">
        <v>7</v>
      </c>
      <c r="C814" s="32">
        <f>+C468/[15]Result!$K$9</f>
        <v>-1.4216793915648048E-3</v>
      </c>
      <c r="D814" s="28">
        <f>+D468/[1]Result!$K$9</f>
        <v>3.0221886105701516E-3</v>
      </c>
      <c r="E814" s="38">
        <f>+E468/[5]Result!$K$9</f>
        <v>-9.33069904153222E-3</v>
      </c>
      <c r="F814" s="28">
        <f>+F468/[6]Result!$K$9</f>
        <v>6.987934287793352E-3</v>
      </c>
      <c r="G814" s="28">
        <f>+G468/[7]Result!$K$9</f>
        <v>-1.6294852768682973E-3</v>
      </c>
      <c r="H814" s="38">
        <f>+H468/[8]Result!$K$9</f>
        <v>2.7193687861678294E-3</v>
      </c>
      <c r="I814" s="32">
        <f>+I468/[9]Result!$K$9</f>
        <v>-2.2933655313020526E-3</v>
      </c>
      <c r="J814" s="32">
        <f>+J468/[10]Result!$K$9</f>
        <v>1.1761975596656404E-3</v>
      </c>
      <c r="K814" s="38">
        <f>+K468/[11]Result!$K$9</f>
        <v>2.3203529399669676E-2</v>
      </c>
      <c r="L814" s="32">
        <f>+L468/[12]Result!$K$9</f>
        <v>1.120659289557692E-3</v>
      </c>
      <c r="M814" s="32">
        <f>+M468/[13]Result!$K$9</f>
        <v>-1.7097150448721391E-3</v>
      </c>
      <c r="N814" s="42"/>
    </row>
    <row r="815" spans="2:15" hidden="1" outlineLevel="1" collapsed="1" x14ac:dyDescent="0.25">
      <c r="B815" s="16" t="s">
        <v>8</v>
      </c>
      <c r="C815" s="32">
        <f>+C469/'[15]Stat by Mat'!$M$4</f>
        <v>-2.2593486544375727E-3</v>
      </c>
      <c r="D815" s="28">
        <f>+D469/'[1]Stat by Mat'!$M$4</f>
        <v>4.8320607463425147E-3</v>
      </c>
      <c r="E815" s="38">
        <f>+E469/'[5]Stat by Mat'!$M$4</f>
        <v>-3.5026812476340964E-2</v>
      </c>
      <c r="F815" s="28">
        <f>+F469/'[6]Stat by Mat'!$M$4</f>
        <v>1.1332498978562512E-2</v>
      </c>
      <c r="G815" s="28">
        <f>+G469/'[7]Stat by Mat'!$M$4</f>
        <v>-3.1318705117830792E-3</v>
      </c>
      <c r="H815" s="38">
        <f>+H469/'[8]Stat by Mat'!$M$4</f>
        <v>2.5912655285678095E-3</v>
      </c>
      <c r="I815" s="32">
        <f>+I469/'[9]Stat by Mat'!$M$4</f>
        <v>-3.5840641505859032E-3</v>
      </c>
      <c r="J815" s="32">
        <f>+J469/'[10]Stat by Mat'!$M$4</f>
        <v>1.3275004921225843E-3</v>
      </c>
      <c r="K815" s="38">
        <f>+K469/'[11]Stat by Mat'!$M$4</f>
        <v>3.1336303820442284E-3</v>
      </c>
      <c r="L815" s="32">
        <f>+L469/'[12]Stat by Mat'!$M$4</f>
        <v>1.9378388555105935E-3</v>
      </c>
      <c r="M815" s="32">
        <f>+M469/'[13]Stat by Mat'!$M$4</f>
        <v>-4.2734115773842025E-3</v>
      </c>
      <c r="N815" s="42"/>
    </row>
    <row r="816" spans="2:15" hidden="1" outlineLevel="2" x14ac:dyDescent="0.25">
      <c r="B816" s="17" t="s">
        <v>9</v>
      </c>
      <c r="C816" s="32">
        <f>+C470/[15]Result!$K$10</f>
        <v>-1.765040194930634E-3</v>
      </c>
      <c r="D816" s="28">
        <f>+D470/[1]Result!$K$10</f>
        <v>3.9217003747986116E-3</v>
      </c>
      <c r="E816" s="38">
        <f>+E470/[5]Result!$K$10</f>
        <v>-2.0758657496530331E-2</v>
      </c>
      <c r="F816" s="28">
        <f>+F470/[6]Result!$K$10</f>
        <v>8.9504905304410038E-3</v>
      </c>
      <c r="G816" s="28">
        <f>+G470/[7]Result!$K$10</f>
        <v>-2.1790132657614064E-3</v>
      </c>
      <c r="H816" s="38">
        <f>+H470/[8]Result!$K$10</f>
        <v>-1.6353039830490582E-3</v>
      </c>
      <c r="I816" s="32">
        <f>+I470/[9]Result!$K$10</f>
        <v>-2.8716670024826274E-3</v>
      </c>
      <c r="J816" s="32">
        <f>+J470/[10]Result!$K$10</f>
        <v>1.3822171251972337E-3</v>
      </c>
      <c r="K816" s="38">
        <f>+K470/[11]Result!$K$10</f>
        <v>8.353988839009098E-3</v>
      </c>
      <c r="L816" s="32">
        <f>+L470/[12]Result!$K$10</f>
        <v>1.5244817717869146E-3</v>
      </c>
      <c r="M816" s="32">
        <f>+M470/[13]Result!$K$10</f>
        <v>-2.6511533847703808E-3</v>
      </c>
      <c r="N816" s="42"/>
    </row>
    <row r="817" spans="2:14" hidden="1" outlineLevel="2" x14ac:dyDescent="0.25">
      <c r="B817" s="17" t="s">
        <v>10</v>
      </c>
      <c r="C817" s="32">
        <f>+C471/[15]Result!$K$11</f>
        <v>-1.9767834103125736E-3</v>
      </c>
      <c r="D817" s="28">
        <f>+D471/[1]Result!$K$11</f>
        <v>4.5199768399373013E-3</v>
      </c>
      <c r="E817" s="38">
        <f>+E471/[5]Result!$K$11</f>
        <v>-2.4356134162011257E-2</v>
      </c>
      <c r="F817" s="28">
        <f>+F471/[6]Result!$K$11</f>
        <v>1.0659758364871281E-2</v>
      </c>
      <c r="G817" s="28">
        <f>+G471/[7]Result!$K$11</f>
        <v>-2.7576734906409601E-3</v>
      </c>
      <c r="H817" s="38">
        <f>+H471/[8]Result!$K$11</f>
        <v>3.010648301148367E-3</v>
      </c>
      <c r="I817" s="32">
        <f>+I471/[9]Result!$K$11</f>
        <v>-3.3210693620441328E-3</v>
      </c>
      <c r="J817" s="32">
        <f>+J471/[10]Result!$K$11</f>
        <v>1.4998556742791857E-3</v>
      </c>
      <c r="K817" s="38">
        <f>+K471/[11]Result!$K$11</f>
        <v>5.2781037675674429E-3</v>
      </c>
      <c r="L817" s="32">
        <f>+L471/[12]Result!$K$11</f>
        <v>1.8247590176089837E-3</v>
      </c>
      <c r="M817" s="32">
        <f>+M471/[13]Result!$K$11</f>
        <v>-3.6557572977343787E-3</v>
      </c>
      <c r="N817" s="42"/>
    </row>
    <row r="818" spans="2:14" hidden="1" outlineLevel="2" x14ac:dyDescent="0.25">
      <c r="B818" s="17" t="s">
        <v>11</v>
      </c>
      <c r="C818" s="32">
        <f>+C472/[15]Result!$K$12</f>
        <v>-2.1802397162934985E-3</v>
      </c>
      <c r="D818" s="28">
        <f>+D472/[1]Result!$K$12</f>
        <v>4.9614308830903823E-3</v>
      </c>
      <c r="E818" s="38">
        <f>+E472/[5]Result!$K$12</f>
        <v>-2.9992220757390144E-2</v>
      </c>
      <c r="F818" s="28">
        <f>+F472/[6]Result!$K$12</f>
        <v>1.2183315403695608E-2</v>
      </c>
      <c r="G818" s="28">
        <f>+G472/[7]Result!$K$12</f>
        <v>-3.3632764018383509E-3</v>
      </c>
      <c r="H818" s="38">
        <f>+H472/[8]Result!$K$12</f>
        <v>6.6786842924717116E-3</v>
      </c>
      <c r="I818" s="32">
        <f>+I472/[9]Result!$K$12</f>
        <v>-3.7193568944116724E-3</v>
      </c>
      <c r="J818" s="32">
        <f>+J472/[10]Result!$K$12</f>
        <v>1.4304168488801436E-3</v>
      </c>
      <c r="K818" s="38">
        <f>+K472/[11]Result!$K$12</f>
        <v>3.3676913632514002E-3</v>
      </c>
      <c r="L818" s="32">
        <f>+L472/[12]Result!$K$12</f>
        <v>2.0689854585807738E-3</v>
      </c>
      <c r="M818" s="32">
        <f>+M472/[13]Result!$K$12</f>
        <v>-4.6893958587675994E-3</v>
      </c>
      <c r="N818" s="42"/>
    </row>
    <row r="819" spans="2:14" hidden="1" outlineLevel="2" x14ac:dyDescent="0.25">
      <c r="B819" s="17" t="s">
        <v>12</v>
      </c>
      <c r="C819" s="32">
        <f>+C473/[15]Result!$K$13</f>
        <v>-2.639265201579298E-3</v>
      </c>
      <c r="D819" s="28">
        <f>+D473/[1]Result!$K$13</f>
        <v>5.4967820411858217E-3</v>
      </c>
      <c r="E819" s="38">
        <f>+E473/[5]Result!$K$13</f>
        <v>-6.9106583384865375E-2</v>
      </c>
      <c r="F819" s="28">
        <f>+F473/[6]Result!$K$13</f>
        <v>1.3680158107584753E-2</v>
      </c>
      <c r="G819" s="28">
        <f>+G473/[7]Result!$K$13</f>
        <v>-4.099351748282961E-3</v>
      </c>
      <c r="H819" s="38">
        <f>+H473/[8]Result!$K$13</f>
        <v>-1.2124886292133427E-3</v>
      </c>
      <c r="I819" s="32">
        <f>+I473/[9]Result!$K$13</f>
        <v>-4.1702074385661274E-3</v>
      </c>
      <c r="J819" s="32">
        <f>+J473/[10]Result!$K$13</f>
        <v>1.2029443076243666E-3</v>
      </c>
      <c r="K819" s="38">
        <f>+K473/[11]Result!$K$13</f>
        <v>-2.2297470700081957E-3</v>
      </c>
      <c r="L819" s="32">
        <f>+L473/[12]Result!$K$13</f>
        <v>2.3425833208160275E-3</v>
      </c>
      <c r="M819" s="32">
        <f>+M473/[13]Result!$K$13</f>
        <v>-5.8424855351319176E-3</v>
      </c>
      <c r="N819" s="42"/>
    </row>
    <row r="820" spans="2:14" hidden="1" outlineLevel="2" x14ac:dyDescent="0.25">
      <c r="B820" s="17" t="s">
        <v>13</v>
      </c>
      <c r="C820" s="32">
        <f>+C474/[15]Result!$K$14</f>
        <v>-3.711234048526516E-3</v>
      </c>
      <c r="D820" s="28">
        <f>+D474/[1]Result!$K$14</f>
        <v>6.733590348397535E-3</v>
      </c>
      <c r="E820" s="38">
        <f>+E474/[5]Result!$K$14</f>
        <v>-5.863659335330209E-2</v>
      </c>
      <c r="F820" s="28">
        <f>+F474/[6]Result!$K$14</f>
        <v>1.4800333608712066E-2</v>
      </c>
      <c r="G820" s="28">
        <f>+G474/[7]Result!$K$14</f>
        <v>-4.8507361227070308E-3</v>
      </c>
      <c r="H820" s="38">
        <f>+H474/[8]Result!$K$14</f>
        <v>1.0776932108947557E-2</v>
      </c>
      <c r="I820" s="32">
        <f>+I474/[9]Result!$K$14</f>
        <v>-5.0416268207394387E-3</v>
      </c>
      <c r="J820" s="32">
        <f>+J474/[10]Result!$K$14</f>
        <v>8.2914385887581223E-4</v>
      </c>
      <c r="K820" s="38">
        <f>+K474/[11]Result!$K$14</f>
        <v>-8.6829448022771281E-3</v>
      </c>
      <c r="L820" s="32">
        <f>+L474/[12]Result!$K$14</f>
        <v>2.5675286844816063E-3</v>
      </c>
      <c r="M820" s="32">
        <f>+M474/[13]Result!$K$14</f>
        <v>-7.2680293157627134E-3</v>
      </c>
      <c r="N820" s="42"/>
    </row>
    <row r="821" spans="2:14" hidden="1" outlineLevel="1" collapsed="1" x14ac:dyDescent="0.25">
      <c r="B821" s="16" t="s">
        <v>14</v>
      </c>
      <c r="C821" s="32">
        <f>+C475/'[15]Stat by Mat'!$M$5</f>
        <v>-5.816905946917951E-3</v>
      </c>
      <c r="D821" s="28">
        <f>+D475/'[1]Stat by Mat'!$M$5</f>
        <v>7.415014507497303E-3</v>
      </c>
      <c r="E821" s="38">
        <f>+E475/'[5]Stat by Mat'!$M$5</f>
        <v>-0.10997612162670697</v>
      </c>
      <c r="F821" s="28">
        <f>+F475/'[6]Stat by Mat'!$M$5</f>
        <v>2.064934994142896E-2</v>
      </c>
      <c r="G821" s="28">
        <f>+G475/'[7]Stat by Mat'!$M$5</f>
        <v>-9.578540845065351E-3</v>
      </c>
      <c r="H821" s="38">
        <f>+H475/'[8]Stat by Mat'!$M$5</f>
        <v>-1.0580826426778675E-2</v>
      </c>
      <c r="I821" s="32">
        <f>+I475/'[9]Stat by Mat'!$M$5</f>
        <v>-7.2833440950527562E-3</v>
      </c>
      <c r="J821" s="32">
        <f>+J475/'[10]Stat by Mat'!$M$5</f>
        <v>-2.5073595336198152E-3</v>
      </c>
      <c r="K821" s="38">
        <f>+K475/'[11]Stat by Mat'!$M$5</f>
        <v>8.2541970872657498E-3</v>
      </c>
      <c r="L821" s="32">
        <f>+L475/'[12]Stat by Mat'!$M$5</f>
        <v>2.5569731258965915E-3</v>
      </c>
      <c r="M821" s="32">
        <f>+M475/'[13]Stat by Mat'!$M$5</f>
        <v>-1.3391070032804304E-2</v>
      </c>
      <c r="N821" s="42"/>
    </row>
    <row r="822" spans="2:14" hidden="1" outlineLevel="2" x14ac:dyDescent="0.25">
      <c r="B822" s="17" t="s">
        <v>15</v>
      </c>
      <c r="C822" s="32">
        <f>+C476/[15]Result!$K$15</f>
        <v>-4.1533000569143677E-3</v>
      </c>
      <c r="D822" s="28">
        <f>+D476/[1]Result!$K$15</f>
        <v>7.1184690806428133E-3</v>
      </c>
      <c r="E822" s="38">
        <f>+E476/[5]Result!$K$15</f>
        <v>-8.3384980463682229E-2</v>
      </c>
      <c r="F822" s="28">
        <f>+F476/[6]Result!$K$15</f>
        <v>1.612595657912835E-2</v>
      </c>
      <c r="G822" s="28">
        <f>+G476/[7]Result!$K$15</f>
        <v>-5.6680318029472872E-3</v>
      </c>
      <c r="H822" s="38">
        <f>+H476/[8]Result!$K$15</f>
        <v>7.4084613574317542E-3</v>
      </c>
      <c r="I822" s="32">
        <f>+I476/[9]Result!$K$15</f>
        <v>-5.7489400447435189E-3</v>
      </c>
      <c r="J822" s="32">
        <f>+J476/[10]Result!$K$15</f>
        <v>1.3830541721541903E-4</v>
      </c>
      <c r="K822" s="38">
        <f>+K476/[11]Result!$K$15</f>
        <v>-1.388017219009849E-3</v>
      </c>
      <c r="L822" s="32">
        <f>+L476/[12]Result!$K$15</f>
        <v>2.7331685064745843E-3</v>
      </c>
      <c r="M822" s="32">
        <f>+M476/[13]Result!$K$15</f>
        <v>-8.5683815458547762E-3</v>
      </c>
      <c r="N822" s="42"/>
    </row>
    <row r="823" spans="2:14" hidden="1" outlineLevel="2" x14ac:dyDescent="0.25">
      <c r="B823" s="17" t="s">
        <v>16</v>
      </c>
      <c r="C823" s="32">
        <f>+C477/[15]Result!$K$16</f>
        <v>-3.7760104886549665E-3</v>
      </c>
      <c r="D823" s="28">
        <f>+D477/[1]Result!$K$16</f>
        <v>6.7510104156166175E-3</v>
      </c>
      <c r="E823" s="38">
        <f>+E477/[5]Result!$K$16</f>
        <v>-0.12239182980597947</v>
      </c>
      <c r="F823" s="28">
        <f>+F477/[6]Result!$K$16</f>
        <v>1.7888327653658127E-2</v>
      </c>
      <c r="G823" s="28">
        <f>+G477/[7]Result!$K$16</f>
        <v>-6.7090015886213219E-3</v>
      </c>
      <c r="H823" s="38">
        <f>+H477/[8]Result!$K$16</f>
        <v>-6.0972089653785018E-3</v>
      </c>
      <c r="I823" s="32">
        <f>+I477/[9]Result!$K$16</f>
        <v>-5.7279501541095739E-3</v>
      </c>
      <c r="J823" s="32">
        <f>+J477/[10]Result!$K$16</f>
        <v>-5.7069853922683453E-4</v>
      </c>
      <c r="K823" s="38">
        <f>+K477/[11]Result!$K$16</f>
        <v>7.3054770525516058E-3</v>
      </c>
      <c r="L823" s="32">
        <f>+L477/[12]Result!$K$16</f>
        <v>2.8209497149967754E-3</v>
      </c>
      <c r="M823" s="32">
        <f>+M477/[13]Result!$K$16</f>
        <v>-9.9464104363060583E-3</v>
      </c>
      <c r="N823" s="42"/>
    </row>
    <row r="824" spans="2:14" hidden="1" outlineLevel="2" x14ac:dyDescent="0.25">
      <c r="B824" s="17" t="s">
        <v>17</v>
      </c>
      <c r="C824" s="32">
        <f>+C478/[15]Result!$K$17</f>
        <v>-3.9248147100617988E-3</v>
      </c>
      <c r="D824" s="28">
        <f>+D478/[1]Result!$K$17</f>
        <v>7.0230119009062368E-3</v>
      </c>
      <c r="E824" s="38">
        <f>+E478/[5]Result!$K$17</f>
        <v>-0.1230649372410632</v>
      </c>
      <c r="F824" s="28">
        <f>+F478/[6]Result!$K$17</f>
        <v>1.9321826432176555E-2</v>
      </c>
      <c r="G824" s="28">
        <f>+G478/[7]Result!$K$17</f>
        <v>-7.8323016217907923E-3</v>
      </c>
      <c r="H824" s="38">
        <f>+H478/[8]Result!$K$17</f>
        <v>-1.1417575070751083E-2</v>
      </c>
      <c r="I824" s="32">
        <f>+I478/[9]Result!$K$17</f>
        <v>-5.741664707748363E-3</v>
      </c>
      <c r="J824" s="32">
        <f>+J478/[10]Result!$K$17</f>
        <v>-1.423023251929545E-3</v>
      </c>
      <c r="K824" s="38">
        <f>+K478/[11]Result!$K$17</f>
        <v>5.9882103805696156E-3</v>
      </c>
      <c r="L824" s="32">
        <f>+L478/[12]Result!$K$17</f>
        <v>2.7564864135724691E-3</v>
      </c>
      <c r="M824" s="32">
        <f>+M478/[13]Result!$K$17</f>
        <v>-1.1329250163057145E-2</v>
      </c>
      <c r="N824" s="42"/>
    </row>
    <row r="825" spans="2:14" hidden="1" outlineLevel="2" x14ac:dyDescent="0.25">
      <c r="B825" s="17" t="s">
        <v>18</v>
      </c>
      <c r="C825" s="32">
        <f>+C479/[15]Result!$K$18</f>
        <v>-4.8485831379230463E-3</v>
      </c>
      <c r="D825" s="28">
        <f>+D479/[1]Result!$K$18</f>
        <v>7.6697665681921814E-3</v>
      </c>
      <c r="E825" s="38">
        <f>+E479/[5]Result!$K$18</f>
        <v>-0.11932777057786748</v>
      </c>
      <c r="F825" s="28">
        <f>+F479/[6]Result!$K$18</f>
        <v>2.040126297371582E-2</v>
      </c>
      <c r="G825" s="28">
        <f>+G479/[7]Result!$K$18</f>
        <v>-9.047039484714775E-3</v>
      </c>
      <c r="H825" s="38">
        <f>+H479/[8]Result!$K$18</f>
        <v>-7.0810713977216373E-3</v>
      </c>
      <c r="I825" s="32">
        <f>+I479/[9]Result!$K$18</f>
        <v>-6.3397521727360353E-3</v>
      </c>
      <c r="J825" s="32">
        <f>+J479/[10]Result!$K$18</f>
        <v>-2.4530967806812225E-3</v>
      </c>
      <c r="K825" s="38">
        <f>+K479/[11]Result!$K$18</f>
        <v>7.8065014805929287E-3</v>
      </c>
      <c r="L825" s="32">
        <f>+L479/[12]Result!$K$18</f>
        <v>2.7145878715359494E-3</v>
      </c>
      <c r="M825" s="32">
        <f>+M479/[13]Result!$K$18</f>
        <v>-1.256052270703876E-2</v>
      </c>
      <c r="N825" s="42"/>
    </row>
    <row r="826" spans="2:14" hidden="1" outlineLevel="2" x14ac:dyDescent="0.25">
      <c r="B826" s="17" t="s">
        <v>19</v>
      </c>
      <c r="C826" s="32">
        <f>+C480/[15]Result!$K$19</f>
        <v>-6.5507311795722205E-3</v>
      </c>
      <c r="D826" s="28">
        <f>+D480/[1]Result!$K$19</f>
        <v>8.8819239963129834E-3</v>
      </c>
      <c r="E826" s="38">
        <f>+E480/[5]Result!$K$19</f>
        <v>-0.11611933675709357</v>
      </c>
      <c r="F826" s="28">
        <f>+F480/[6]Result!$K$19</f>
        <v>2.134649529894168E-2</v>
      </c>
      <c r="G826" s="28">
        <f>+G480/[7]Result!$K$19</f>
        <v>-1.041381985922416E-2</v>
      </c>
      <c r="H826" s="38">
        <f>+H480/[8]Result!$K$19</f>
        <v>-1.5457316453853348E-2</v>
      </c>
      <c r="I826" s="32">
        <f>+I480/[9]Result!$K$19</f>
        <v>-7.5843961986508911E-3</v>
      </c>
      <c r="J826" s="32">
        <f>+J480/[10]Result!$K$19</f>
        <v>-3.1954510858248032E-3</v>
      </c>
      <c r="K826" s="38">
        <f>+K480/[11]Result!$K$19</f>
        <v>7.276123651231318E-4</v>
      </c>
      <c r="L826" s="32">
        <f>+L480/[12]Result!$K$19</f>
        <v>2.6999087272757249E-3</v>
      </c>
      <c r="M826" s="32">
        <f>+M480/[13]Result!$K$19</f>
        <v>-1.4533915749449717E-2</v>
      </c>
      <c r="N826" s="42"/>
    </row>
    <row r="827" spans="2:14" hidden="1" outlineLevel="2" x14ac:dyDescent="0.25">
      <c r="B827" s="17" t="s">
        <v>20</v>
      </c>
      <c r="C827" s="32">
        <f>+C481/[15]Result!$K$20</f>
        <v>-7.9729964632419513E-3</v>
      </c>
      <c r="D827" s="28">
        <f>+D481/[1]Result!$K$20</f>
        <v>9.0890361364182222E-3</v>
      </c>
      <c r="E827" s="38">
        <f>+E481/[5]Result!$K$20</f>
        <v>-0.11677947255786424</v>
      </c>
      <c r="F827" s="28">
        <f>+F481/[6]Result!$K$20</f>
        <v>2.2689103660713431E-2</v>
      </c>
      <c r="G827" s="28">
        <f>+G481/[7]Result!$K$20</f>
        <v>-1.18045597617416E-2</v>
      </c>
      <c r="H827" s="38">
        <f>+H481/[8]Result!$K$20</f>
        <v>-2.2073129094124514E-2</v>
      </c>
      <c r="I827" s="32">
        <f>+I481/[9]Result!$K$20</f>
        <v>-8.775822460738986E-3</v>
      </c>
      <c r="J827" s="32">
        <f>+J481/[10]Result!$K$20</f>
        <v>-3.9472927850077635E-3</v>
      </c>
      <c r="K827" s="38">
        <f>+K481/[11]Result!$K$20</f>
        <v>6.0610917057614252E-3</v>
      </c>
      <c r="L827" s="32">
        <f>+L481/[12]Result!$K$20</f>
        <v>2.5035603114603663E-3</v>
      </c>
      <c r="M827" s="32">
        <f>+M481/[13]Result!$K$20</f>
        <v>-1.6641247171877704E-2</v>
      </c>
      <c r="N827" s="42"/>
    </row>
    <row r="828" spans="2:14" hidden="1" outlineLevel="2" x14ac:dyDescent="0.25">
      <c r="B828" s="17" t="s">
        <v>21</v>
      </c>
      <c r="C828" s="32">
        <f>+C482/[15]Result!$K$21</f>
        <v>-8.6394610366597509E-3</v>
      </c>
      <c r="D828" s="28">
        <f>+D482/[1]Result!$K$21</f>
        <v>7.8744969182188464E-3</v>
      </c>
      <c r="E828" s="38">
        <f>+E482/[5]Result!$K$21</f>
        <v>-0.11640128812950742</v>
      </c>
      <c r="F828" s="28">
        <f>+F482/[6]Result!$K$21</f>
        <v>2.4760417600684561E-2</v>
      </c>
      <c r="G828" s="28">
        <f>+G482/[7]Result!$K$21</f>
        <v>-1.3281840850893989E-2</v>
      </c>
      <c r="H828" s="38">
        <f>+H482/[8]Result!$K$21</f>
        <v>-2.4582322144682048E-2</v>
      </c>
      <c r="I828" s="32">
        <f>+I482/[9]Result!$K$21</f>
        <v>-9.7408526234181916E-3</v>
      </c>
      <c r="J828" s="32">
        <f>+J482/[10]Result!$K$21</f>
        <v>-4.8437201749895213E-3</v>
      </c>
      <c r="K828" s="38">
        <f>+K482/[11]Result!$K$21</f>
        <v>1.1384554975647552E-2</v>
      </c>
      <c r="L828" s="32">
        <f>+L482/[12]Result!$K$21</f>
        <v>2.2625898399761773E-3</v>
      </c>
      <c r="M828" s="32">
        <f>+M482/[13]Result!$K$21</f>
        <v>-1.8495803577533089E-2</v>
      </c>
      <c r="N828" s="42"/>
    </row>
    <row r="829" spans="2:14" hidden="1" outlineLevel="2" x14ac:dyDescent="0.25">
      <c r="B829" s="17" t="s">
        <v>22</v>
      </c>
      <c r="C829" s="32">
        <f>+C483/[15]Result!$K$22</f>
        <v>-8.9916378945601692E-3</v>
      </c>
      <c r="D829" s="28">
        <f>+D483/[1]Result!$K$22</f>
        <v>6.4568461823534574E-3</v>
      </c>
      <c r="E829" s="38">
        <f>+E483/[5]Result!$K$22</f>
        <v>-0.11128358325052015</v>
      </c>
      <c r="F829" s="28">
        <f>+F483/[6]Result!$K$22</f>
        <v>2.6889116659978327E-2</v>
      </c>
      <c r="G829" s="28">
        <f>+G483/[7]Result!$K$22</f>
        <v>-1.4840953017371124E-2</v>
      </c>
      <c r="H829" s="38">
        <f>+H483/[8]Result!$K$22</f>
        <v>-2.6847788844150958E-2</v>
      </c>
      <c r="I829" s="32">
        <f>+I483/[9]Result!$K$22</f>
        <v>-1.0577456011627417E-2</v>
      </c>
      <c r="J829" s="32">
        <f>+J483/[10]Result!$K$22</f>
        <v>-5.9911843125032864E-3</v>
      </c>
      <c r="K829" s="38">
        <f>+K483/[11]Result!$K$22</f>
        <v>2.3826604826035179E-2</v>
      </c>
      <c r="L829" s="32">
        <f>+L483/[12]Result!$K$22</f>
        <v>2.0563411922535561E-3</v>
      </c>
      <c r="M829" s="32">
        <f>+M483/[13]Result!$K$22</f>
        <v>-2.0186562960486189E-2</v>
      </c>
      <c r="N829" s="42"/>
    </row>
    <row r="830" spans="2:14" hidden="1" outlineLevel="2" x14ac:dyDescent="0.25">
      <c r="B830" s="17" t="s">
        <v>23</v>
      </c>
      <c r="C830" s="32">
        <f>+C484/[15]Result!$K$23</f>
        <v>-9.4176704020974399E-3</v>
      </c>
      <c r="D830" s="28">
        <f>+D484/[1]Result!$K$23</f>
        <v>5.9288583092872611E-3</v>
      </c>
      <c r="E830" s="38">
        <f>+E484/[5]Result!$K$23</f>
        <v>-9.9710789192654442E-2</v>
      </c>
      <c r="F830" s="28">
        <f>+F484/[6]Result!$K$23</f>
        <v>2.8070416811940325E-2</v>
      </c>
      <c r="G830" s="28">
        <f>+G484/[7]Result!$K$23</f>
        <v>-1.6401657492582423E-2</v>
      </c>
      <c r="H830" s="38">
        <f>+H484/[8]Result!$K$23</f>
        <v>-2.2689651316907894E-2</v>
      </c>
      <c r="I830" s="32">
        <f>+I484/[9]Result!$K$23</f>
        <v>-1.1089288339719337E-2</v>
      </c>
      <c r="J830" s="32">
        <f>+J484/[10]Result!$K$23</f>
        <v>-7.1393338403910244E-3</v>
      </c>
      <c r="K830" s="38">
        <f>+K484/[11]Result!$K$23</f>
        <v>3.7430588119135522E-2</v>
      </c>
      <c r="L830" s="32">
        <f>+L484/[12]Result!$K$23</f>
        <v>1.8108167551215222E-3</v>
      </c>
      <c r="M830" s="32">
        <f>+M484/[13]Result!$K$23</f>
        <v>-2.1505029094840367E-2</v>
      </c>
      <c r="N830" s="42"/>
    </row>
    <row r="831" spans="2:14" hidden="1" outlineLevel="2" x14ac:dyDescent="0.25">
      <c r="B831" s="17" t="s">
        <v>24</v>
      </c>
      <c r="C831" s="32">
        <f>+C485/[15]Result!$K$24</f>
        <v>-1.0312006343131048E-2</v>
      </c>
      <c r="D831" s="28">
        <f>+D485/[1]Result!$K$24</f>
        <v>7.3367737088289248E-3</v>
      </c>
      <c r="E831" s="38">
        <f>+E485/[5]Result!$K$24</f>
        <v>-0.10229953806193394</v>
      </c>
      <c r="F831" s="28">
        <f>+F485/[6]Result!$K$24</f>
        <v>2.8131524388920661E-2</v>
      </c>
      <c r="G831" s="28">
        <f>+G485/[7]Result!$K$24</f>
        <v>-1.8034043370203683E-2</v>
      </c>
      <c r="H831" s="38">
        <f>+H485/[8]Result!$K$24</f>
        <v>-2.9924958542848563E-2</v>
      </c>
      <c r="I831" s="32">
        <f>+I485/[9]Result!$K$24</f>
        <v>-1.1401356102700533E-2</v>
      </c>
      <c r="J831" s="32">
        <f>+J485/[10]Result!$K$24</f>
        <v>-8.2841034431098103E-3</v>
      </c>
      <c r="K831" s="38">
        <f>+K485/[11]Result!$K$24</f>
        <v>3.1851746576988797E-2</v>
      </c>
      <c r="L831" s="32">
        <f>+L485/[12]Result!$K$24</f>
        <v>1.526823139613015E-3</v>
      </c>
      <c r="M831" s="32">
        <f>+M485/[13]Result!$K$24</f>
        <v>-2.2654485124737438E-2</v>
      </c>
      <c r="N831" s="42"/>
    </row>
    <row r="832" spans="2:14" hidden="1" outlineLevel="1" collapsed="1" x14ac:dyDescent="0.25">
      <c r="B832" s="16" t="s">
        <v>25</v>
      </c>
      <c r="C832" s="32">
        <f>+C486/'[15]Stat by Mat'!$M$6</f>
        <v>-1.435044385418156E-2</v>
      </c>
      <c r="D832" s="28">
        <f>+D486/'[1]Stat by Mat'!$M$6</f>
        <v>1.5693135163416298E-2</v>
      </c>
      <c r="E832" s="38">
        <f>+E486/'[5]Stat by Mat'!$M$6</f>
        <v>-9.6030612765863693E-2</v>
      </c>
      <c r="F832" s="28">
        <f>+F486/'[6]Stat by Mat'!$M$6</f>
        <v>2.6441861279325674E-2</v>
      </c>
      <c r="G832" s="28">
        <f>+G486/'[7]Stat by Mat'!$M$6</f>
        <v>-2.286041068421692E-2</v>
      </c>
      <c r="H832" s="38">
        <f>+H486/'[8]Stat by Mat'!$M$6</f>
        <v>-2.6841863511601713E-2</v>
      </c>
      <c r="I832" s="32">
        <f>+I486/'[9]Stat by Mat'!$M$6</f>
        <v>-1.2560085670881654E-2</v>
      </c>
      <c r="J832" s="32">
        <f>+J486/'[10]Stat by Mat'!$M$6</f>
        <v>-1.184073719165997E-2</v>
      </c>
      <c r="K832" s="38">
        <f>+K486/'[11]Stat by Mat'!$M$6</f>
        <v>6.3895199333551686E-2</v>
      </c>
      <c r="L832" s="32">
        <f>+L486/'[12]Stat by Mat'!$M$6</f>
        <v>7.2834656957512279E-4</v>
      </c>
      <c r="M832" s="32">
        <f>+M486/'[13]Stat by Mat'!$M$6</f>
        <v>-2.7065165524997225E-2</v>
      </c>
      <c r="N832" s="42"/>
    </row>
    <row r="833" spans="2:14" hidden="1" outlineLevel="2" x14ac:dyDescent="0.25">
      <c r="B833" s="17" t="s">
        <v>26</v>
      </c>
      <c r="C833" s="32">
        <f>+C487/[15]Result!$K$25</f>
        <v>-1.1634728212021802E-2</v>
      </c>
      <c r="D833" s="28">
        <f>+D487/[1]Result!$K$25</f>
        <v>1.005029612313648E-2</v>
      </c>
      <c r="E833" s="38">
        <f>+E487/[5]Result!$K$25</f>
        <v>-0.10549417660072252</v>
      </c>
      <c r="F833" s="28">
        <f>+F487/[6]Result!$K$25</f>
        <v>2.7634840384068368E-2</v>
      </c>
      <c r="G833" s="28">
        <f>+G487/[7]Result!$K$25</f>
        <v>-1.9539267837217069E-2</v>
      </c>
      <c r="H833" s="38">
        <f>+H487/[8]Result!$K$25</f>
        <v>-3.4528743673987061E-2</v>
      </c>
      <c r="I833" s="32">
        <f>+I487/[9]Result!$K$25</f>
        <v>-1.1685812857485874E-2</v>
      </c>
      <c r="J833" s="32">
        <f>+J487/[10]Result!$K$25</f>
        <v>-9.3983090742166559E-3</v>
      </c>
      <c r="K833" s="38">
        <f>+K487/[11]Result!$K$25</f>
        <v>3.8188609314902353E-2</v>
      </c>
      <c r="L833" s="32">
        <f>+L487/[12]Result!$K$25</f>
        <v>1.2031385698475559E-3</v>
      </c>
      <c r="M833" s="32">
        <f>+M487/[13]Result!$K$25</f>
        <v>-2.389961649807601E-2</v>
      </c>
      <c r="N833" s="42"/>
    </row>
    <row r="834" spans="2:14" hidden="1" outlineLevel="2" x14ac:dyDescent="0.25">
      <c r="B834" s="17" t="s">
        <v>27</v>
      </c>
      <c r="C834" s="32">
        <f>+C488/[15]Result!$K$26</f>
        <v>-1.2926862686430824E-2</v>
      </c>
      <c r="D834" s="28">
        <f>+D488/[1]Result!$K$26</f>
        <v>1.2677201095002491E-2</v>
      </c>
      <c r="E834" s="38">
        <f>+E488/[5]Result!$K$26</f>
        <v>-0.10808458749370413</v>
      </c>
      <c r="F834" s="28">
        <f>+F488/[6]Result!$K$26</f>
        <v>2.7161806451563596E-2</v>
      </c>
      <c r="G834" s="28">
        <f>+G488/[7]Result!$K$26</f>
        <v>-2.1000492441112423E-2</v>
      </c>
      <c r="H834" s="38">
        <f>+H488/[8]Result!$K$26</f>
        <v>-3.7760590368172954E-2</v>
      </c>
      <c r="I834" s="32">
        <f>+I488/[9]Result!$K$26</f>
        <v>-1.2148967806467605E-2</v>
      </c>
      <c r="J834" s="32">
        <f>+J488/[10]Result!$K$26</f>
        <v>-1.0376062315508703E-2</v>
      </c>
      <c r="K834" s="38">
        <f>+K488/[11]Result!$K$26</f>
        <v>4.6447681625660431E-2</v>
      </c>
      <c r="L834" s="32">
        <f>+L488/[12]Result!$K$26</f>
        <v>1.0537006280966267E-3</v>
      </c>
      <c r="M834" s="32">
        <f>+M488/[13]Result!$K$26</f>
        <v>-2.5253533944826104E-2</v>
      </c>
      <c r="N834" s="42"/>
    </row>
    <row r="835" spans="2:14" hidden="1" outlineLevel="2" x14ac:dyDescent="0.25">
      <c r="B835" s="17" t="s">
        <v>28</v>
      </c>
      <c r="C835" s="32">
        <f>+C489/[15]Result!$K$27</f>
        <v>-1.3956205405543605E-2</v>
      </c>
      <c r="D835" s="28">
        <f>+D489/[1]Result!$K$27</f>
        <v>1.4833535986413685E-2</v>
      </c>
      <c r="E835" s="38">
        <f>+E489/[5]Result!$K$27</f>
        <v>-0.10609068270081028</v>
      </c>
      <c r="F835" s="28">
        <f>+F489/[6]Result!$K$27</f>
        <v>2.6628285879577839E-2</v>
      </c>
      <c r="G835" s="28">
        <f>+G489/[7]Result!$K$27</f>
        <v>-2.2285094076765696E-2</v>
      </c>
      <c r="H835" s="38">
        <f>+H489/[8]Result!$K$27</f>
        <v>-3.7562921376071208E-2</v>
      </c>
      <c r="I835" s="32">
        <f>+I489/[9]Result!$K$27</f>
        <v>-1.2489282105230159E-2</v>
      </c>
      <c r="J835" s="32">
        <f>+J489/[10]Result!$K$27</f>
        <v>-1.1288415384849725E-2</v>
      </c>
      <c r="K835" s="38">
        <f>+K489/[11]Result!$K$27</f>
        <v>6.0295968979605437E-2</v>
      </c>
      <c r="L835" s="32">
        <f>+L489/[12]Result!$K$27</f>
        <v>8.7961271865596785E-4</v>
      </c>
      <c r="M835" s="32">
        <f>+M489/[13]Result!$K$27</f>
        <v>-2.6407660088745042E-2</v>
      </c>
      <c r="N835" s="42"/>
    </row>
    <row r="836" spans="2:14" hidden="1" outlineLevel="2" x14ac:dyDescent="0.25">
      <c r="B836" s="17" t="s">
        <v>29</v>
      </c>
      <c r="C836" s="32">
        <f>+C490/[15]Result!$K$28</f>
        <v>-1.4798050664296097E-2</v>
      </c>
      <c r="D836" s="28">
        <f>+D490/[1]Result!$K$28</f>
        <v>1.6551125732352776E-2</v>
      </c>
      <c r="E836" s="38">
        <f>+E490/[5]Result!$K$28</f>
        <v>-9.7799498517261385E-2</v>
      </c>
      <c r="F836" s="28">
        <f>+F490/[6]Result!$K$28</f>
        <v>2.617242395278771E-2</v>
      </c>
      <c r="G836" s="28">
        <f>+G490/[7]Result!$K$28</f>
        <v>-2.3376472578384443E-2</v>
      </c>
      <c r="H836" s="38">
        <f>+H490/[8]Result!$K$28</f>
        <v>-2.2644768971511881E-2</v>
      </c>
      <c r="I836" s="32">
        <f>+I490/[9]Result!$K$28</f>
        <v>-1.2585196699225684E-2</v>
      </c>
      <c r="J836" s="32">
        <f>+J490/[10]Result!$K$28</f>
        <v>-1.2128411225265515E-2</v>
      </c>
      <c r="K836" s="38">
        <f>+K490/[11]Result!$K$28</f>
        <v>7.178419678115637E-2</v>
      </c>
      <c r="L836" s="32">
        <f>+L490/[12]Result!$K$28</f>
        <v>6.9078340431970428E-4</v>
      </c>
      <c r="M836" s="32">
        <f>+M490/[13]Result!$K$28</f>
        <v>-2.7339029264394261E-2</v>
      </c>
      <c r="N836" s="42"/>
    </row>
    <row r="837" spans="2:14" hidden="1" outlineLevel="2" x14ac:dyDescent="0.25">
      <c r="B837" s="17" t="s">
        <v>30</v>
      </c>
      <c r="C837" s="32">
        <f>+C491/[15]Result!$K$29</f>
        <v>-1.5538163686704666E-2</v>
      </c>
      <c r="D837" s="28">
        <f>+D491/[1]Result!$K$29</f>
        <v>1.8239869244173892E-2</v>
      </c>
      <c r="E837" s="38">
        <f>+E491/[5]Result!$K$29</f>
        <v>-9.6173145656555728E-2</v>
      </c>
      <c r="F837" s="28">
        <f>+F491/[6]Result!$K$29</f>
        <v>2.5819002325808998E-2</v>
      </c>
      <c r="G837" s="28">
        <f>+G491/[7]Result!$K$29</f>
        <v>-2.4354513637496095E-2</v>
      </c>
      <c r="H837" s="38">
        <f>+H491/[8]Result!$K$29</f>
        <v>-2.7306065504852605E-2</v>
      </c>
      <c r="I837" s="32">
        <f>+I491/[9]Result!$K$29</f>
        <v>-1.2761962452284647E-2</v>
      </c>
      <c r="J837" s="32">
        <f>+J491/[10]Result!$K$29</f>
        <v>-1.2994220697084863E-2</v>
      </c>
      <c r="K837" s="38">
        <f>+K491/[11]Result!$K$29</f>
        <v>5.9607478851385141E-2</v>
      </c>
      <c r="L837" s="32">
        <f>+L491/[12]Result!$K$29</f>
        <v>4.7789437568807741E-4</v>
      </c>
      <c r="M837" s="32">
        <f>+M491/[13]Result!$K$29</f>
        <v>-2.8250191856214652E-2</v>
      </c>
      <c r="N837" s="42"/>
    </row>
    <row r="838" spans="2:14" hidden="1" outlineLevel="2" x14ac:dyDescent="0.25">
      <c r="B838" s="17" t="s">
        <v>31</v>
      </c>
      <c r="C838" s="32">
        <f>+C492/[15]Result!$K$30</f>
        <v>-1.628952197153908E-2</v>
      </c>
      <c r="D838" s="28">
        <f>+D492/[1]Result!$K$30</f>
        <v>1.9752706223305844E-2</v>
      </c>
      <c r="E838" s="38">
        <f>+E492/[5]Result!$K$30</f>
        <v>-9.8965365581675985E-2</v>
      </c>
      <c r="F838" s="28">
        <f>+F492/[6]Result!$K$30</f>
        <v>2.5603559635687466E-2</v>
      </c>
      <c r="G838" s="28">
        <f>+G492/[7]Result!$K$30</f>
        <v>-2.5089768807121986E-2</v>
      </c>
      <c r="H838" s="38">
        <f>+H492/[8]Result!$K$30</f>
        <v>-3.5213108562264624E-2</v>
      </c>
      <c r="I838" s="32">
        <f>+I492/[9]Result!$K$30</f>
        <v>-1.3031772612531177E-2</v>
      </c>
      <c r="J838" s="32">
        <f>+J492/[10]Result!$K$30</f>
        <v>-1.364196547400499E-2</v>
      </c>
      <c r="K838" s="38">
        <f>+K492/[11]Result!$K$30</f>
        <v>7.4152613652025801E-2</v>
      </c>
      <c r="L838" s="32">
        <f>+L492/[12]Result!$K$30</f>
        <v>2.4975763106503728E-4</v>
      </c>
      <c r="M838" s="32">
        <f>+M492/[13]Result!$K$30</f>
        <v>-2.9141424877114235E-2</v>
      </c>
      <c r="N838" s="42"/>
    </row>
    <row r="839" spans="2:14" hidden="1" outlineLevel="2" x14ac:dyDescent="0.25">
      <c r="B839" s="17" t="s">
        <v>32</v>
      </c>
      <c r="C839" s="32">
        <f>+C493/[15]Result!$K$31</f>
        <v>-1.6918187930287144E-2</v>
      </c>
      <c r="D839" s="28">
        <f>+D493/[1]Result!$K$31</f>
        <v>2.1064151502437296E-2</v>
      </c>
      <c r="E839" s="38">
        <f>+E493/[5]Result!$K$31</f>
        <v>-9.4015670050650799E-2</v>
      </c>
      <c r="F839" s="28">
        <f>+F493/[6]Result!$K$31</f>
        <v>2.5416885126983084E-2</v>
      </c>
      <c r="G839" s="28">
        <f>+G493/[7]Result!$K$31</f>
        <v>-2.593250842069058E-2</v>
      </c>
      <c r="H839" s="38">
        <f>+H493/[8]Result!$K$31</f>
        <v>-3.5872541864868268E-2</v>
      </c>
      <c r="I839" s="32">
        <f>+I493/[9]Result!$K$31</f>
        <v>-1.3282040140375024E-2</v>
      </c>
      <c r="J839" s="32">
        <f>+J493/[10]Result!$K$31</f>
        <v>-1.404308562460572E-2</v>
      </c>
      <c r="K839" s="38">
        <f>+K493/[11]Result!$K$31</f>
        <v>9.4477429051005937E-2</v>
      </c>
      <c r="L839" s="32">
        <f>+L493/[12]Result!$K$31</f>
        <v>3.9025676097024375E-4</v>
      </c>
      <c r="M839" s="32">
        <f>+M493/[13]Result!$K$31</f>
        <v>-3.0012971352664342E-2</v>
      </c>
      <c r="N839" s="42"/>
    </row>
    <row r="840" spans="2:14" hidden="1" outlineLevel="2" x14ac:dyDescent="0.25">
      <c r="B840" s="17" t="s">
        <v>33</v>
      </c>
      <c r="C840" s="32">
        <f>+C494/[15]Result!$K$32</f>
        <v>-1.7282910554898515E-2</v>
      </c>
      <c r="D840" s="28">
        <f>+D494/[1]Result!$K$32</f>
        <v>2.2138456824929369E-2</v>
      </c>
      <c r="E840" s="38">
        <f>+E494/[5]Result!$K$32</f>
        <v>-8.8255216893997207E-2</v>
      </c>
      <c r="F840" s="28">
        <f>+F494/[6]Result!$K$32</f>
        <v>2.514159391022474E-2</v>
      </c>
      <c r="G840" s="28">
        <f>+G494/[7]Result!$K$32</f>
        <v>-2.6630202544048173E-2</v>
      </c>
      <c r="H840" s="38">
        <f>+H494/[8]Result!$K$32</f>
        <v>-3.3555895987800614E-2</v>
      </c>
      <c r="I840" s="32">
        <f>+I494/[9]Result!$K$32</f>
        <v>-1.3512894374408458E-2</v>
      </c>
      <c r="J840" s="32">
        <f>+J494/[10]Result!$K$32</f>
        <v>-1.4569698303307373E-2</v>
      </c>
      <c r="K840" s="38">
        <f>+K494/[11]Result!$K$32</f>
        <v>0.14507147064576123</v>
      </c>
      <c r="L840" s="32">
        <f>+L494/[12]Result!$K$32</f>
        <v>2.675888143681386E-4</v>
      </c>
      <c r="M840" s="32">
        <f>+M494/[13]Result!$K$32</f>
        <v>-3.060205363838038E-2</v>
      </c>
      <c r="N840" s="42"/>
    </row>
    <row r="841" spans="2:14" hidden="1" outlineLevel="2" x14ac:dyDescent="0.25">
      <c r="B841" s="17" t="s">
        <v>34</v>
      </c>
      <c r="C841" s="32">
        <f>+C495/[15]Result!$K$33</f>
        <v>-1.7766506205936779E-2</v>
      </c>
      <c r="D841" s="28">
        <f>+D495/[1]Result!$K$33</f>
        <v>2.2949162781568215E-2</v>
      </c>
      <c r="E841" s="38">
        <f>+E495/[5]Result!$K$33</f>
        <v>-9.3478183134194526E-3</v>
      </c>
      <c r="F841" s="28">
        <f>+F495/[6]Result!$K$33</f>
        <v>2.5062172673704447E-2</v>
      </c>
      <c r="G841" s="28">
        <f>+G495/[7]Result!$K$33</f>
        <v>-2.7038075360871969E-2</v>
      </c>
      <c r="H841" s="38">
        <f>+H495/[8]Result!$K$33</f>
        <v>6.2290609619555348E-2</v>
      </c>
      <c r="I841" s="32">
        <f>+I495/[9]Result!$K$33</f>
        <v>-1.3862821696889859E-2</v>
      </c>
      <c r="J841" s="32">
        <f>+J495/[10]Result!$K$33</f>
        <v>-1.5092504817408136E-2</v>
      </c>
      <c r="K841" s="38">
        <f>+K495/[11]Result!$K$33</f>
        <v>0.16643547115967258</v>
      </c>
      <c r="L841" s="32">
        <f>+L495/[12]Result!$K$33</f>
        <v>0</v>
      </c>
      <c r="M841" s="32">
        <f>+M495/[13]Result!$K$33</f>
        <v>-3.1156066577917446E-2</v>
      </c>
      <c r="N841" s="42"/>
    </row>
    <row r="842" spans="2:14" hidden="1" outlineLevel="2" x14ac:dyDescent="0.25">
      <c r="B842" s="17" t="s">
        <v>35</v>
      </c>
      <c r="C842" s="32">
        <f>+C496/[15]Result!$K$34</f>
        <v>-1.8238151627220429E-2</v>
      </c>
      <c r="D842" s="28">
        <f>+D496/[1]Result!$K$34</f>
        <v>2.3760201004266623E-2</v>
      </c>
      <c r="E842" s="38">
        <f>+E496/[5]Result!$K$34</f>
        <v>-1.4339585708563878E-2</v>
      </c>
      <c r="F842" s="28">
        <f>+F496/[6]Result!$K$34</f>
        <v>2.4910336941600279E-2</v>
      </c>
      <c r="G842" s="28">
        <f>+G496/[7]Result!$K$34</f>
        <v>-2.754882368028929E-2</v>
      </c>
      <c r="H842" s="38">
        <f>+H496/[8]Result!$K$34</f>
        <v>5.5067598847210755E-2</v>
      </c>
      <c r="I842" s="32">
        <f>+I496/[9]Result!$K$34</f>
        <v>-1.4058060937393525E-2</v>
      </c>
      <c r="J842" s="32">
        <f>+J496/[10]Result!$K$34</f>
        <v>-1.5475260244767973E-2</v>
      </c>
      <c r="K842" s="38">
        <f>+K496/[11]Result!$K$34</f>
        <v>1.1994958346227031E-2</v>
      </c>
      <c r="L842" s="32">
        <f>+L496/[12]Result!$K$34</f>
        <v>0</v>
      </c>
      <c r="M842" s="32">
        <f>+M496/[13]Result!$K$34</f>
        <v>-3.1809220174586449E-2</v>
      </c>
      <c r="N842" s="42"/>
    </row>
    <row r="843" spans="2:14" hidden="1" outlineLevel="1" collapsed="1" x14ac:dyDescent="0.25">
      <c r="B843" s="16" t="s">
        <v>36</v>
      </c>
      <c r="C843" s="32">
        <f>+C497/'[15]Stat by Mat'!$M$7</f>
        <v>-1.9057037221259742E-2</v>
      </c>
      <c r="D843" s="28">
        <f>+D497/'[1]Stat by Mat'!$M$7</f>
        <v>2.5554149469323759E-2</v>
      </c>
      <c r="E843" s="38">
        <f>+E497/'[5]Stat by Mat'!$M$7</f>
        <v>-3.1643143831286857E-2</v>
      </c>
      <c r="F843" s="28">
        <f>+F497/'[6]Stat by Mat'!$M$7</f>
        <v>2.4507731206436983E-2</v>
      </c>
      <c r="G843" s="28">
        <f>+G497/'[7]Stat by Mat'!$M$7</f>
        <v>-2.8683104055127855E-2</v>
      </c>
      <c r="H843" s="38">
        <f>+H497/'[8]Stat by Mat'!$M$7</f>
        <v>2.5019413028680652E-2</v>
      </c>
      <c r="I843" s="32">
        <f>+I497/'[9]Stat by Mat'!$M$7</f>
        <v>-1.4226956772591923E-2</v>
      </c>
      <c r="J843" s="32">
        <f>+J497/'[10]Stat by Mat'!$M$7</f>
        <v>-1.6565898573077168E-2</v>
      </c>
      <c r="K843" s="38">
        <f>+K497/'[11]Stat by Mat'!$M$7</f>
        <v>4.2305454678069329E-2</v>
      </c>
      <c r="L843" s="32">
        <f>+L497/'[12]Stat by Mat'!$M$7</f>
        <v>-2.353069810457748E-4</v>
      </c>
      <c r="M843" s="32">
        <f>+M497/'[13]Stat by Mat'!$M$7</f>
        <v>-3.3441957067533182E-2</v>
      </c>
      <c r="N843" s="42"/>
    </row>
    <row r="844" spans="2:14" hidden="1" outlineLevel="2" x14ac:dyDescent="0.25">
      <c r="B844" s="17" t="s">
        <v>37</v>
      </c>
      <c r="C844" s="32">
        <f>+C498/[15]Result!$K$35</f>
        <v>-1.8553620112980014E-2</v>
      </c>
      <c r="D844" s="28">
        <f>+D498/[1]Result!$K$35</f>
        <v>2.4417232061445932E-2</v>
      </c>
      <c r="E844" s="38">
        <f>+E498/[5]Result!$K$35</f>
        <v>-2.3073395808559497E-2</v>
      </c>
      <c r="F844" s="28">
        <f>+F498/[6]Result!$K$35</f>
        <v>2.4689785330387851E-2</v>
      </c>
      <c r="G844" s="28">
        <f>+G498/[7]Result!$K$35</f>
        <v>-2.8028902332321089E-2</v>
      </c>
      <c r="H844" s="38">
        <f>+H498/[8]Result!$K$35</f>
        <v>3.3568191251415844E-2</v>
      </c>
      <c r="I844" s="32">
        <f>+I498/[9]Result!$K$35</f>
        <v>-1.4088921028820842E-2</v>
      </c>
      <c r="J844" s="32">
        <f>+J498/[10]Result!$K$35</f>
        <v>-1.5846690800599E-2</v>
      </c>
      <c r="K844" s="38">
        <f>+K498/[11]Result!$K$35</f>
        <v>1.9625611560856099E-2</v>
      </c>
      <c r="L844" s="32">
        <f>+L498/[12]Result!$K$35</f>
        <v>0</v>
      </c>
      <c r="M844" s="32">
        <f>+M498/[13]Result!$K$35</f>
        <v>-3.2434819124098457E-2</v>
      </c>
      <c r="N844" s="42"/>
    </row>
    <row r="845" spans="2:14" hidden="1" outlineLevel="2" x14ac:dyDescent="0.25">
      <c r="B845" s="17" t="s">
        <v>38</v>
      </c>
      <c r="C845" s="32">
        <f>+C499/[15]Result!$K$36</f>
        <v>-1.8849608518102131E-2</v>
      </c>
      <c r="D845" s="28">
        <f>+D499/[1]Result!$K$36</f>
        <v>2.5066044119254512E-2</v>
      </c>
      <c r="E845" s="38">
        <f>+E499/[5]Result!$K$36</f>
        <v>-3.7314272365379299E-2</v>
      </c>
      <c r="F845" s="28">
        <f>+F499/[6]Result!$K$36</f>
        <v>2.4556354367406826E-2</v>
      </c>
      <c r="G845" s="28">
        <f>+G499/[7]Result!$K$36</f>
        <v>-2.8330736006586529E-2</v>
      </c>
      <c r="H845" s="38">
        <f>+H499/[8]Result!$K$36</f>
        <v>1.6801722238871386E-2</v>
      </c>
      <c r="I845" s="32">
        <f>+I499/[9]Result!$K$36</f>
        <v>-1.4242176295259866E-2</v>
      </c>
      <c r="J845" s="32">
        <f>+J499/[10]Result!$K$36</f>
        <v>-1.620961289511676E-2</v>
      </c>
      <c r="K845" s="38">
        <f>+K499/[11]Result!$K$36</f>
        <v>4.7622789220543631E-2</v>
      </c>
      <c r="L845" s="32">
        <f>+L499/[12]Result!$K$36</f>
        <v>-1.5472763405868792E-4</v>
      </c>
      <c r="M845" s="32">
        <f>+M499/[13]Result!$K$36</f>
        <v>-3.2880818836114566E-2</v>
      </c>
      <c r="N845" s="42"/>
    </row>
    <row r="846" spans="2:14" hidden="1" outlineLevel="2" x14ac:dyDescent="0.25">
      <c r="B846" s="17" t="s">
        <v>39</v>
      </c>
      <c r="C846" s="32">
        <f>+C500/[15]Result!$K$37</f>
        <v>-1.8969034159343194E-2</v>
      </c>
      <c r="D846" s="28">
        <f>+D500/[1]Result!$K$37</f>
        <v>2.5539242522369832E-2</v>
      </c>
      <c r="E846" s="38">
        <f>+E500/[5]Result!$K$37</f>
        <v>-3.2999062722046425E-2</v>
      </c>
      <c r="F846" s="28">
        <f>+F500/[6]Result!$K$37</f>
        <v>2.4362671443778981E-2</v>
      </c>
      <c r="G846" s="28">
        <f>+G500/[7]Result!$K$37</f>
        <v>-2.8594280884555453E-2</v>
      </c>
      <c r="H846" s="38">
        <f>+H500/[8]Result!$K$37</f>
        <v>1.6376594510123903E-2</v>
      </c>
      <c r="I846" s="32">
        <f>+I500/[9]Result!$K$37</f>
        <v>-1.421870706254348E-2</v>
      </c>
      <c r="J846" s="32">
        <f>+J500/[10]Result!$K$37</f>
        <v>-1.6561617144281462E-2</v>
      </c>
      <c r="K846" s="38">
        <f>+K500/[11]Result!$K$37</f>
        <v>8.2846530694753298E-2</v>
      </c>
      <c r="L846" s="32">
        <f>+L500/[12]Result!$K$37</f>
        <v>-3.1803418512954594E-4</v>
      </c>
      <c r="M846" s="32">
        <f>+M500/[13]Result!$K$37</f>
        <v>-3.3290878160367826E-2</v>
      </c>
      <c r="N846" s="42"/>
    </row>
    <row r="847" spans="2:14" hidden="1" outlineLevel="2" x14ac:dyDescent="0.25">
      <c r="B847" s="17" t="s">
        <v>40</v>
      </c>
      <c r="C847" s="32">
        <f>+C501/[15]Result!$K$38</f>
        <v>-1.9060692123354046E-2</v>
      </c>
      <c r="D847" s="28">
        <f>+D501/[1]Result!$K$38</f>
        <v>2.5825504335115969E-2</v>
      </c>
      <c r="E847" s="38">
        <f>+E501/[5]Result!$K$38</f>
        <v>-2.6112357216033267E-2</v>
      </c>
      <c r="F847" s="28">
        <f>+F501/[6]Result!$K$38</f>
        <v>2.4446484024191622E-2</v>
      </c>
      <c r="G847" s="28">
        <f>+G501/[7]Result!$K$38</f>
        <v>-2.8979721111478313E-2</v>
      </c>
      <c r="H847" s="38">
        <f>+H501/[8]Result!$K$38</f>
        <v>2.003856417483978E-2</v>
      </c>
      <c r="I847" s="32">
        <f>+I501/[9]Result!$K$38</f>
        <v>-1.4005150120435761E-2</v>
      </c>
      <c r="J847" s="32">
        <f>+J501/[10]Result!$K$38</f>
        <v>-1.6904826182811802E-2</v>
      </c>
      <c r="K847" s="38">
        <f>+K501/[11]Result!$K$38</f>
        <v>4.8529600748885807E-2</v>
      </c>
      <c r="L847" s="32">
        <f>+L501/[12]Result!$K$38</f>
        <v>-3.2779077208617478E-4</v>
      </c>
      <c r="M847" s="32">
        <f>+M501/[13]Result!$K$38</f>
        <v>-3.3819803501069418E-2</v>
      </c>
      <c r="N847" s="42"/>
    </row>
    <row r="848" spans="2:14" hidden="1" outlineLevel="2" x14ac:dyDescent="0.25">
      <c r="B848" s="17" t="s">
        <v>41</v>
      </c>
      <c r="C848" s="32">
        <f>+C502/[15]Result!$K$39</f>
        <v>-1.9455485440784862E-2</v>
      </c>
      <c r="D848" s="28">
        <f>+D502/[1]Result!$K$39</f>
        <v>2.642906278850209E-2</v>
      </c>
      <c r="E848" s="38">
        <f>+E502/[5]Result!$K$39</f>
        <v>-5.1410781103252895E-2</v>
      </c>
      <c r="F848" s="28">
        <f>+F502/[6]Result!$K$39</f>
        <v>2.4487794205726304E-2</v>
      </c>
      <c r="G848" s="28">
        <f>+G502/[7]Result!$K$39</f>
        <v>-2.9170590384424946E-2</v>
      </c>
      <c r="H848" s="38">
        <f>+H502/[8]Result!$K$39</f>
        <v>7.7015519173174564E-3</v>
      </c>
      <c r="I848" s="32">
        <f>+I502/[9]Result!$K$39</f>
        <v>-1.4086802672784999E-2</v>
      </c>
      <c r="J848" s="32">
        <f>+J502/[10]Result!$K$39</f>
        <v>-1.7071031583881176E-2</v>
      </c>
      <c r="K848" s="38">
        <f>+K502/[11]Result!$K$39</f>
        <v>2.7390409296645494E-2</v>
      </c>
      <c r="L848" s="32">
        <f>+L502/[12]Result!$K$39</f>
        <v>-3.3754554513645439E-4</v>
      </c>
      <c r="M848" s="32">
        <f>+M502/[13]Result!$K$39</f>
        <v>-3.4157617605886065E-2</v>
      </c>
      <c r="N848" s="42"/>
    </row>
    <row r="849" spans="2:15" hidden="1" outlineLevel="2" x14ac:dyDescent="0.25">
      <c r="B849" s="17" t="s">
        <v>42</v>
      </c>
      <c r="C849" s="32">
        <f>+C503/[15]Result!$K$40</f>
        <v>-1.9668448078835277E-2</v>
      </c>
      <c r="D849" s="28">
        <f>+D503/[1]Result!$K$40</f>
        <v>2.6842606083722534E-2</v>
      </c>
      <c r="E849" s="38">
        <f>+E503/[5]Result!$K$40</f>
        <v>-4.411371104633359E-2</v>
      </c>
      <c r="F849" s="28">
        <f>+F503/[6]Result!$K$40</f>
        <v>2.4312075547221559E-2</v>
      </c>
      <c r="G849" s="28">
        <f>+G503/[7]Result!$K$40</f>
        <v>-2.9325023359099534E-2</v>
      </c>
      <c r="H849" s="38">
        <f>+H503/[8]Result!$K$40</f>
        <v>2.0586698580024935E-2</v>
      </c>
      <c r="I849" s="32">
        <f>+I503/[9]Result!$K$40</f>
        <v>-1.4490892416762064E-2</v>
      </c>
      <c r="J849" s="32">
        <f>+J503/[10]Result!$K$40</f>
        <v>-1.7219418307121717E-2</v>
      </c>
      <c r="K849" s="38">
        <f>+K503/[11]Result!$K$40</f>
        <v>5.8100595344299899E-2</v>
      </c>
      <c r="L849" s="32">
        <f>+L503/[12]Result!$K$40</f>
        <v>-5.212127141019893E-4</v>
      </c>
      <c r="M849" s="32">
        <f>+M503/[13]Result!$K$40</f>
        <v>-3.4457486313524792E-2</v>
      </c>
      <c r="N849" s="42"/>
    </row>
    <row r="850" spans="2:15" hidden="1" outlineLevel="2" x14ac:dyDescent="0.25">
      <c r="B850" s="17" t="s">
        <v>43</v>
      </c>
      <c r="C850" s="32">
        <f>+C504/[15]Result!$K$41</f>
        <v>-1.9863504175653864E-2</v>
      </c>
      <c r="D850" s="28">
        <f>+D504/[1]Result!$K$41</f>
        <v>2.7053143270927189E-2</v>
      </c>
      <c r="E850" s="38">
        <f>+E504/[5]Result!$K$41</f>
        <v>-2.8616316252332435E-2</v>
      </c>
      <c r="F850" s="28">
        <f>+F504/[6]Result!$K$41</f>
        <v>2.4269125281128279E-2</v>
      </c>
      <c r="G850" s="28">
        <f>+G504/[7]Result!$K$41</f>
        <v>-2.9613902802614722E-2</v>
      </c>
      <c r="H850" s="38">
        <f>+H504/[8]Result!$K$41</f>
        <v>3.1140953008726605E-2</v>
      </c>
      <c r="I850" s="32">
        <f>+I504/[9]Result!$K$41</f>
        <v>-1.4542172709886189E-2</v>
      </c>
      <c r="J850" s="32">
        <f>+J504/[10]Result!$K$41</f>
        <v>-1.7523072901042117E-2</v>
      </c>
      <c r="K850" s="38">
        <f>+K504/[11]Result!$K$41</f>
        <v>9.2201377670919571E-2</v>
      </c>
      <c r="L850" s="32">
        <f>+L504/[12]Result!$K$41</f>
        <v>-5.3529805407213612E-4</v>
      </c>
      <c r="M850" s="32">
        <f>+M504/[13]Result!$K$41</f>
        <v>-3.4892019852425557E-2</v>
      </c>
      <c r="N850" s="42"/>
    </row>
    <row r="851" spans="2:15" hidden="1" outlineLevel="2" x14ac:dyDescent="0.25">
      <c r="B851" s="17" t="s">
        <v>44</v>
      </c>
      <c r="C851" s="32">
        <f>+C505/[15]Result!$K$42</f>
        <v>-2.0038114224391793E-2</v>
      </c>
      <c r="D851" s="28">
        <f>+D505/[1]Result!$K$42</f>
        <v>2.7422245449376808E-2</v>
      </c>
      <c r="E851" s="38">
        <f>+E505/[5]Result!$K$42</f>
        <v>-2.5106950021046904E-3</v>
      </c>
      <c r="F851" s="28">
        <f>+F505/[6]Result!$K$42</f>
        <v>2.418600359728923E-2</v>
      </c>
      <c r="G851" s="28">
        <f>+G505/[7]Result!$K$42</f>
        <v>-2.9696190048978454E-2</v>
      </c>
      <c r="H851" s="38">
        <f>+H505/[8]Result!$K$42</f>
        <v>4.7770278716192723E-2</v>
      </c>
      <c r="I851" s="32">
        <f>+I505/[9]Result!$K$42</f>
        <v>-1.4575127321056629E-2</v>
      </c>
      <c r="J851" s="32">
        <f>+J505/[10]Result!$K$42</f>
        <v>-1.7637105846087076E-2</v>
      </c>
      <c r="K851" s="38">
        <f>+K505/[11]Result!$K$42</f>
        <v>0.12330928587449093</v>
      </c>
      <c r="L851" s="32">
        <f>+L505/[12]Result!$K$42</f>
        <v>-5.5031284912869494E-4</v>
      </c>
      <c r="M851" s="32">
        <f>+M505/[13]Result!$K$42</f>
        <v>-3.5297541389492051E-2</v>
      </c>
      <c r="N851" s="42"/>
    </row>
    <row r="852" spans="2:15" hidden="1" outlineLevel="2" x14ac:dyDescent="0.25">
      <c r="B852" s="17" t="s">
        <v>45</v>
      </c>
      <c r="C852" s="32">
        <f>+C506/[15]Result!$K$43</f>
        <v>-2.0009152955106215E-2</v>
      </c>
      <c r="D852" s="28">
        <f>+D506/[1]Result!$K$43</f>
        <v>2.7577028420623619E-2</v>
      </c>
      <c r="E852" s="38">
        <f>+E506/[5]Result!$K$43</f>
        <v>3.6888453719196002E-3</v>
      </c>
      <c r="F852" s="28">
        <f>+F506/[6]Result!$K$43</f>
        <v>2.4256237722968227E-2</v>
      </c>
      <c r="G852" s="28">
        <f>+G506/[7]Result!$K$43</f>
        <v>-2.9923663510247212E-2</v>
      </c>
      <c r="H852" s="38">
        <f>+H506/[8]Result!$K$43</f>
        <v>3.0366933032803047E-2</v>
      </c>
      <c r="I852" s="32">
        <f>+I506/[9]Result!$K$43</f>
        <v>-1.4773862467659738E-2</v>
      </c>
      <c r="J852" s="32">
        <f>+J506/[10]Result!$K$43</f>
        <v>-1.7916877170335348E-2</v>
      </c>
      <c r="K852" s="38">
        <f>+K506/[11]Result!$K$43</f>
        <v>3.768849319398835E-2</v>
      </c>
      <c r="L852" s="32">
        <f>+L506/[12]Result!$K$43</f>
        <v>-5.6469626100300323E-4</v>
      </c>
      <c r="M852" s="32">
        <f>+M506/[13]Result!$K$43</f>
        <v>-3.5493343241105438E-2</v>
      </c>
      <c r="N852" s="42"/>
    </row>
    <row r="853" spans="2:15" hidden="1" outlineLevel="2" x14ac:dyDescent="0.25">
      <c r="B853" s="17" t="s">
        <v>46</v>
      </c>
      <c r="C853" s="32">
        <f>+C507/[15]Result!$K$44</f>
        <v>-2.0141068425121481E-2</v>
      </c>
      <c r="D853" s="28">
        <f>+D507/[1]Result!$K$44</f>
        <v>2.7701862228041201E-2</v>
      </c>
      <c r="E853" s="38">
        <f>+E507/[5]Result!$K$44</f>
        <v>-8.5666883603792862E-2</v>
      </c>
      <c r="F853" s="28">
        <f>+F507/[6]Result!$K$44</f>
        <v>2.4494363869357865E-2</v>
      </c>
      <c r="G853" s="28">
        <f>+G507/[7]Result!$K$44</f>
        <v>-3.030996302259744E-2</v>
      </c>
      <c r="H853" s="38">
        <f>+H507/[8]Result!$K$44</f>
        <v>5.0767852279225825E-2</v>
      </c>
      <c r="I853" s="32">
        <f>+I507/[9]Result!$K$44</f>
        <v>-1.4772689708075853E-2</v>
      </c>
      <c r="J853" s="32">
        <f>+J507/[10]Result!$K$44</f>
        <v>-1.8186881487123396E-2</v>
      </c>
      <c r="K853" s="38">
        <f>+K507/[11]Result!$K$44</f>
        <v>-6.1529874815648956E-2</v>
      </c>
      <c r="L853" s="32">
        <f>+L507/[12]Result!$K$44</f>
        <v>-3.8630266662241139E-4</v>
      </c>
      <c r="M853" s="32">
        <f>+M507/[13]Result!$K$44</f>
        <v>-3.5837614617320726E-2</v>
      </c>
      <c r="N853" s="42"/>
    </row>
    <row r="854" spans="2:15" hidden="1" outlineLevel="2" x14ac:dyDescent="0.25">
      <c r="B854" s="17" t="s">
        <v>47</v>
      </c>
      <c r="C854" s="32">
        <f>+C508/[15]Result!$K$45</f>
        <v>-2.0253705581568329E-2</v>
      </c>
      <c r="D854" s="28">
        <f>+D508/[1]Result!$K$45</f>
        <v>2.8000545030735728E-2</v>
      </c>
      <c r="E854" s="38">
        <f>+E508/[5]Result!$K$45</f>
        <v>-6.7885899634172117E-2</v>
      </c>
      <c r="F854" s="28">
        <f>+F508/[6]Result!$K$45</f>
        <v>2.4509127541707372E-2</v>
      </c>
      <c r="G854" s="28">
        <f>+G508/[7]Result!$K$45</f>
        <v>-3.0484740014777696E-2</v>
      </c>
      <c r="H854" s="38">
        <f>+H508/[8]Result!$K$45</f>
        <v>5.5978212634545069E-2</v>
      </c>
      <c r="I854" s="32">
        <f>+I508/[9]Result!$K$45</f>
        <v>-1.4752237301604465E-2</v>
      </c>
      <c r="J854" s="32">
        <f>+J508/[10]Result!$K$45</f>
        <v>-1.8252818435072322E-2</v>
      </c>
      <c r="K854" s="38">
        <f>+K508/[11]Result!$K$45</f>
        <v>-6.4139541556117424E-2</v>
      </c>
      <c r="L854" s="32">
        <f>+L508/[12]Result!$K$45</f>
        <v>-5.9398568120361207E-4</v>
      </c>
      <c r="M854" s="32">
        <f>+M508/[13]Result!$K$45</f>
        <v>-3.6153461684237782E-2</v>
      </c>
      <c r="N854" s="42"/>
    </row>
    <row r="855" spans="2:15" hidden="1" outlineLevel="2" x14ac:dyDescent="0.25">
      <c r="B855" s="17" t="s">
        <v>48</v>
      </c>
      <c r="C855" s="32">
        <f>+C509/[15]Result!$K$46</f>
        <v>-2.0347185664107634E-2</v>
      </c>
      <c r="D855" s="28">
        <f>+D509/[1]Result!$K$46</f>
        <v>2.8279222281931526E-2</v>
      </c>
      <c r="E855" s="38">
        <f>+E509/[5]Result!$K$46</f>
        <v>-5.4450918442005794E-2</v>
      </c>
      <c r="F855" s="28">
        <f>+F509/[6]Result!$K$46</f>
        <v>2.4493859405239508E-2</v>
      </c>
      <c r="G855" s="28">
        <f>+G509/[7]Result!$K$46</f>
        <v>-3.0631051480793162E-2</v>
      </c>
      <c r="H855" s="38">
        <f>+H509/[8]Result!$K$46</f>
        <v>5.6645162214249201E-2</v>
      </c>
      <c r="I855" s="32">
        <f>+I509/[9]Result!$K$46</f>
        <v>-1.4712497151099896E-2</v>
      </c>
      <c r="J855" s="32">
        <f>+J509/[10]Result!$K$46</f>
        <v>-1.8299544555032146E-2</v>
      </c>
      <c r="K855" s="38">
        <f>+K509/[11]Result!$K$46</f>
        <v>-5.1436915760067245E-2</v>
      </c>
      <c r="L855" s="32">
        <f>+L509/[12]Result!$K$46</f>
        <v>-6.0878719204201864E-4</v>
      </c>
      <c r="M855" s="32">
        <f>+M509/[13]Result!$K$46</f>
        <v>-3.6245502334643E-2</v>
      </c>
      <c r="N855" s="42"/>
    </row>
    <row r="856" spans="2:15" hidden="1" outlineLevel="2" x14ac:dyDescent="0.25">
      <c r="B856" s="17" t="s">
        <v>49</v>
      </c>
      <c r="C856" s="32">
        <f>+C510/[15]Result!$K$47</f>
        <v>-2.0421506497929894E-2</v>
      </c>
      <c r="D856" s="28">
        <f>+D510/[1]Result!$K$47</f>
        <v>2.832357291313433E-2</v>
      </c>
      <c r="E856" s="38">
        <f>+E510/[5]Result!$K$47</f>
        <v>-3.6876150112787609E-2</v>
      </c>
      <c r="F856" s="28">
        <f>+F510/[6]Result!$K$47</f>
        <v>2.4448661047247001E-2</v>
      </c>
      <c r="G856" s="28">
        <f>+G510/[7]Result!$K$47</f>
        <v>-3.0748989270968849E-2</v>
      </c>
      <c r="H856" s="38">
        <f>+H510/[8]Result!$K$47</f>
        <v>4.6277459127454942E-2</v>
      </c>
      <c r="I856" s="32">
        <f>+I510/[9]Result!$K$47</f>
        <v>-1.4858164835859647E-2</v>
      </c>
      <c r="J856" s="32">
        <f>+J510/[10]Result!$K$47</f>
        <v>-1.8327052565895351E-2</v>
      </c>
      <c r="K856" s="38">
        <f>+K510/[11]Result!$K$47</f>
        <v>-4.069384031184143E-2</v>
      </c>
      <c r="L856" s="32">
        <f>+L510/[12]Result!$K$47</f>
        <v>-6.2306295896245748E-4</v>
      </c>
      <c r="M856" s="32">
        <f>+M510/[13]Result!$K$47</f>
        <v>-3.6499685818010746E-2</v>
      </c>
      <c r="N856" s="42"/>
    </row>
    <row r="857" spans="2:15" hidden="1" outlineLevel="2" x14ac:dyDescent="0.25">
      <c r="B857" s="17" t="s">
        <v>50</v>
      </c>
      <c r="C857" s="32">
        <f>+C511/[15]Result!$K$48</f>
        <v>-2.0476590896672742E-2</v>
      </c>
      <c r="D857" s="28">
        <f>+D511/[1]Result!$K$48</f>
        <v>2.8337329915510356E-2</v>
      </c>
      <c r="E857" s="38">
        <f>+E511/[5]Result!$K$48</f>
        <v>-4.8070155849110688E-2</v>
      </c>
      <c r="F857" s="28">
        <f>+F511/[6]Result!$K$48</f>
        <v>2.4373003727394302E-2</v>
      </c>
      <c r="G857" s="28">
        <f>+G511/[7]Result!$K$48</f>
        <v>-3.0631837741789816E-2</v>
      </c>
      <c r="H857" s="38">
        <f>+H511/[8]Result!$K$48</f>
        <v>3.6916460798804923E-2</v>
      </c>
      <c r="I857" s="32">
        <f>+I511/[9]Result!$K$48</f>
        <v>-1.4994546816016406E-2</v>
      </c>
      <c r="J857" s="32">
        <f>+J511/[10]Result!$K$48</f>
        <v>-1.8543816902897841E-2</v>
      </c>
      <c r="K857" s="38">
        <f>+K511/[11]Result!$K$48</f>
        <v>-4.1031108624108262E-2</v>
      </c>
      <c r="L857" s="32">
        <f>+L511/[12]Result!$K$48</f>
        <v>-6.3813041050902694E-4</v>
      </c>
      <c r="M857" s="32">
        <f>+M511/[13]Result!$K$48</f>
        <v>-3.6930568522080098E-2</v>
      </c>
      <c r="N857" s="42"/>
    </row>
    <row r="858" spans="2:15" hidden="1" outlineLevel="2" x14ac:dyDescent="0.25">
      <c r="B858" s="17" t="s">
        <v>51</v>
      </c>
      <c r="C858" s="32">
        <f>+C512/[15]Result!$K$49</f>
        <v>-2.0725858420606147E-2</v>
      </c>
      <c r="D858" s="28">
        <f>+D512/[1]Result!$K$49</f>
        <v>2.8545449434385362E-2</v>
      </c>
      <c r="E858" s="38">
        <f>+E512/[5]Result!$K$49</f>
        <v>-3.7369200935156638E-2</v>
      </c>
      <c r="F858" s="28">
        <f>+F512/[6]Result!$K$49</f>
        <v>2.4490794714045475E-2</v>
      </c>
      <c r="G858" s="28">
        <f>+G512/[7]Result!$K$49</f>
        <v>-3.0476867666349331E-2</v>
      </c>
      <c r="H858" s="38">
        <f>+H512/[8]Result!$K$49</f>
        <v>4.4197863709859189E-2</v>
      </c>
      <c r="I858" s="32">
        <f>+I512/[9]Result!$K$49</f>
        <v>-1.4906697257854788E-2</v>
      </c>
      <c r="J858" s="32">
        <f>+J512/[10]Result!$K$49</f>
        <v>-1.8538373010098974E-2</v>
      </c>
      <c r="K858" s="38">
        <f>+K512/[11]Result!$K$49</f>
        <v>-3.8715723444484235E-2</v>
      </c>
      <c r="L858" s="32">
        <f>+L512/[12]Result!$K$49</f>
        <v>-4.3503103068565546E-4</v>
      </c>
      <c r="M858" s="32">
        <f>+M512/[13]Result!$K$49</f>
        <v>-3.6924383805521738E-2</v>
      </c>
      <c r="N858" s="42"/>
    </row>
    <row r="859" spans="2:15" hidden="1" outlineLevel="2" x14ac:dyDescent="0.25">
      <c r="B859" s="17" t="s">
        <v>52</v>
      </c>
      <c r="C859" s="32">
        <f>+C513/[15]Result!$K$50</f>
        <v>-2.0966113217520503E-2</v>
      </c>
      <c r="D859" s="28">
        <f>+D513/[1]Result!$K$50</f>
        <v>2.8733544513002605E-2</v>
      </c>
      <c r="E859" s="38">
        <f>+E513/[5]Result!$K$50</f>
        <v>-4.0446570187197495E-2</v>
      </c>
      <c r="F859" s="28">
        <f>+F513/[6]Result!$K$50</f>
        <v>2.458862944472924E-2</v>
      </c>
      <c r="G859" s="28">
        <f>+G513/[7]Result!$K$50</f>
        <v>-3.0715207883172797E-2</v>
      </c>
      <c r="H859" s="38">
        <f>+H513/[8]Result!$K$50</f>
        <v>4.5485040988393045E-2</v>
      </c>
      <c r="I859" s="32">
        <f>+I513/[9]Result!$K$50</f>
        <v>-1.4799579656142814E-2</v>
      </c>
      <c r="J859" s="32">
        <f>+J513/[10]Result!$K$50</f>
        <v>-1.8512419761742612E-2</v>
      </c>
      <c r="K859" s="38">
        <f>+K513/[11]Result!$K$50</f>
        <v>-4.8661571563469584E-2</v>
      </c>
      <c r="L859" s="32">
        <f>+L513/[12]Result!$K$50</f>
        <v>-6.6666233542186004E-4</v>
      </c>
      <c r="M859" s="32">
        <f>+M513/[13]Result!$K$50</f>
        <v>-3.6879013463693079E-2</v>
      </c>
      <c r="N859" s="42"/>
    </row>
    <row r="860" spans="2:15" hidden="1" outlineLevel="2" x14ac:dyDescent="0.25">
      <c r="B860" s="17" t="s">
        <v>53</v>
      </c>
      <c r="C860" s="32">
        <f>+C514/[15]Result!$K$51</f>
        <v>-2.0973291279626216E-2</v>
      </c>
      <c r="D860" s="28">
        <f>+D514/[1]Result!$K$51</f>
        <v>2.8667504472673314E-2</v>
      </c>
      <c r="E860" s="38">
        <f>+E514/[5]Result!$K$51</f>
        <v>-3.8138321773085196E-2</v>
      </c>
      <c r="F860" s="28">
        <f>+F514/[6]Result!$K$51</f>
        <v>2.4666491026709973E-2</v>
      </c>
      <c r="G860" s="28">
        <f>+G514/[7]Result!$K$51</f>
        <v>-3.1156267949335598E-2</v>
      </c>
      <c r="H860" s="38">
        <f>+H514/[8]Result!$K$51</f>
        <v>5.7125490897767334E-2</v>
      </c>
      <c r="I860" s="32">
        <f>+I514/[9]Result!$K$51</f>
        <v>-1.4896791547893034E-2</v>
      </c>
      <c r="J860" s="32">
        <f>+J514/[10]Result!$K$51</f>
        <v>-1.8691494456175212E-2</v>
      </c>
      <c r="K860" s="38">
        <f>+K514/[11]Result!$K$51</f>
        <v>-6.3026502222645178E-2</v>
      </c>
      <c r="L860" s="32">
        <f>+L514/[12]Result!$K$51</f>
        <v>-6.821947754570921E-4</v>
      </c>
      <c r="M860" s="32">
        <f>+M514/[13]Result!$K$51</f>
        <v>-3.7234335565023702E-2</v>
      </c>
      <c r="N860" s="42"/>
    </row>
    <row r="861" spans="2:15" hidden="1" outlineLevel="2" x14ac:dyDescent="0.25">
      <c r="B861" s="17" t="s">
        <v>54</v>
      </c>
      <c r="C861" s="32">
        <f>+C515/[15]Result!$K$52</f>
        <v>-2.0961275327416276E-2</v>
      </c>
      <c r="D861" s="28">
        <f>+D515/[1]Result!$K$52</f>
        <v>2.8809276922893423E-2</v>
      </c>
      <c r="E861" s="38">
        <f>+E515/[5]Result!$K$52</f>
        <v>-6.8869015551159846E-2</v>
      </c>
      <c r="F861" s="28">
        <f>+F515/[6]Result!$K$52</f>
        <v>2.4962002202418357E-2</v>
      </c>
      <c r="G861" s="28">
        <f>+G515/[7]Result!$K$52</f>
        <v>-3.1361963921092799E-2</v>
      </c>
      <c r="H861" s="38">
        <f>+H515/[8]Result!$K$52</f>
        <v>9.0032417969425876E-2</v>
      </c>
      <c r="I861" s="32">
        <f>+I515/[9]Result!$K$52</f>
        <v>-1.4985306283315483E-2</v>
      </c>
      <c r="J861" s="32">
        <f>+J515/[10]Result!$K$52</f>
        <v>-1.863268987101642E-2</v>
      </c>
      <c r="K861" s="38">
        <f>+K515/[11]Result!$K$52</f>
        <v>-7.2646708419794634E-2</v>
      </c>
      <c r="L861" s="32">
        <f>+L515/[12]Result!$K$52</f>
        <v>-4.6425089824348798E-4</v>
      </c>
      <c r="M861" s="32">
        <f>+M515/[13]Result!$K$52</f>
        <v>-3.73478882415735E-2</v>
      </c>
      <c r="N861" s="42"/>
    </row>
    <row r="862" spans="2:15" hidden="1" outlineLevel="2" x14ac:dyDescent="0.25">
      <c r="B862" s="17" t="s">
        <v>55</v>
      </c>
      <c r="C862" s="32">
        <f>+C516/[15]Result!$K$53</f>
        <v>-2.0930166890007516E-2</v>
      </c>
      <c r="D862" s="28">
        <f>+D516/[1]Result!$K$53</f>
        <v>2.8933198059115945E-2</v>
      </c>
      <c r="E862" s="38">
        <f>+E516/[5]Result!$K$53</f>
        <v>-9.3287520446934988E-2</v>
      </c>
      <c r="F862" s="28">
        <f>+F516/[6]Result!$K$53</f>
        <v>2.5005904699683782E-2</v>
      </c>
      <c r="G862" s="28">
        <f>+G516/[7]Result!$K$53</f>
        <v>-3.1319290835792921E-2</v>
      </c>
      <c r="H862" s="38">
        <f>+H516/[8]Result!$K$53</f>
        <v>3.9382874807728167E-2</v>
      </c>
      <c r="I862" s="32">
        <f>+I516/[9]Result!$K$53</f>
        <v>-1.4830095069213733E-2</v>
      </c>
      <c r="J862" s="32">
        <f>+J516/[10]Result!$K$53</f>
        <v>-1.9018641112440393E-2</v>
      </c>
      <c r="K862" s="38">
        <f>+K516/[11]Result!$K$53</f>
        <v>-9.1782337766877331E-2</v>
      </c>
      <c r="L862" s="32">
        <f>+L516/[12]Result!$K$53</f>
        <v>-7.1029681757762053E-4</v>
      </c>
      <c r="M862" s="32">
        <f>+M516/[13]Result!$K$53</f>
        <v>-3.7432070304621742E-2</v>
      </c>
      <c r="N862" s="42"/>
    </row>
    <row r="863" spans="2:15" hidden="1" outlineLevel="2" x14ac:dyDescent="0.25">
      <c r="B863" s="17" t="s">
        <v>56</v>
      </c>
      <c r="C863" s="32">
        <f>+C517/[15]Result!$K$54</f>
        <v>-2.0879887973526481E-2</v>
      </c>
      <c r="D863" s="28">
        <f>+D517/[1]Result!$K$54</f>
        <v>2.8785498126992579E-2</v>
      </c>
      <c r="E863" s="38">
        <f>+E517/[5]Result!$K$54</f>
        <v>-0.15372818654308026</v>
      </c>
      <c r="F863" s="28">
        <f>+F517/[6]Result!$K$54</f>
        <v>2.45319764964223E-2</v>
      </c>
      <c r="G863" s="28">
        <f>+G517/[7]Result!$K$54</f>
        <v>-3.1012837220149199E-2</v>
      </c>
      <c r="H863" s="38">
        <f>+H517/[8]Result!$K$54</f>
        <v>9.5799013394746488E-2</v>
      </c>
      <c r="I863" s="32">
        <f>+I517/[9]Result!$K$54</f>
        <v>-1.489341020808249E-2</v>
      </c>
      <c r="J863" s="32">
        <f>+J517/[10]Result!$K$54</f>
        <v>-1.9170418649867113E-2</v>
      </c>
      <c r="K863" s="38">
        <f>+K517/[11]Result!$K$54</f>
        <v>-9.9889117027494395E-2</v>
      </c>
      <c r="L863" s="32">
        <f>+L517/[12]Result!$K$54</f>
        <v>-9.6722708819283235E-4</v>
      </c>
      <c r="M863" s="32">
        <f>+M517/[13]Result!$K$54</f>
        <v>-3.7489452379241624E-2</v>
      </c>
      <c r="N863" s="42"/>
    </row>
    <row r="864" spans="2:15" collapsed="1" x14ac:dyDescent="0.25">
      <c r="B864" s="13" t="s">
        <v>91</v>
      </c>
      <c r="C864" s="32">
        <f>+C518/SUM([15]Result!$L$5:$L$54)</f>
        <v>2.5138869966293449E-2</v>
      </c>
      <c r="D864" s="28">
        <f>+D518/SUM([1]Result!$L$5:$L$54)</f>
        <v>-4.8728356380165684E-2</v>
      </c>
      <c r="E864" s="38">
        <f>+E518/SUM([5]Result!$L$5:$L$54)</f>
        <v>8.2979478531636688E-2</v>
      </c>
      <c r="F864" s="28">
        <f>+F518/SUM([6]Result!$L$5:$L$54)</f>
        <v>-0.10677274936766737</v>
      </c>
      <c r="G864" s="28">
        <f>+G518/SUM([7]Result!$L$5:$L$54)</f>
        <v>2.5697784766463765E-2</v>
      </c>
      <c r="H864" s="38">
        <f>+H518/SUM([8]Result!$L$5:$L$54)</f>
        <v>2.5609010095174054E-2</v>
      </c>
      <c r="I864" s="33">
        <f>+I518/SUM([9]Result!$L$5:$L$54)</f>
        <v>3.5281530512566203E-2</v>
      </c>
      <c r="J864" s="33">
        <f>+J518/SUM([10]Result!$L$5:$L$54)</f>
        <v>-1.0611722027385391E-2</v>
      </c>
      <c r="K864" s="38">
        <f>+K518/SUM([11]Result!$L$5:$L$54)</f>
        <v>4.7399326912775382E-2</v>
      </c>
      <c r="L864" s="33">
        <f>+L518/SUM([12]Result!$L$5:$L$54)</f>
        <v>-1.1160419661458669E-2</v>
      </c>
      <c r="M864" s="33">
        <f>+M518/SUM([13]Result!$L$5:$L$54)</f>
        <v>2.4428404905221031E-2</v>
      </c>
      <c r="N864" s="42"/>
      <c r="O864" s="14"/>
    </row>
    <row r="865" spans="2:14" hidden="1" outlineLevel="1" x14ac:dyDescent="0.25">
      <c r="B865" s="16" t="s">
        <v>2</v>
      </c>
      <c r="C865" s="32">
        <f>+C519/'[15]Stat by Mat 2'!$G$3</f>
        <v>2.9386024152875303E-2</v>
      </c>
      <c r="D865" s="28">
        <f>+D519/'[1]Stat by Mat 2'!$G$3</f>
        <v>-6.0298129796446366E-2</v>
      </c>
      <c r="E865" s="38">
        <f>+E519/'[5]Stat by Mat 2'!$G$3</f>
        <v>9.9583191810874327E-2</v>
      </c>
      <c r="F865" s="28">
        <f>+F519/'[6]Stat by Mat 2'!$G$3</f>
        <v>-0.13223301781650526</v>
      </c>
      <c r="G865" s="28">
        <f>+G519/'[7]Stat by Mat 2'!$G$3</f>
        <v>2.4063137387506733E-2</v>
      </c>
      <c r="H865" s="38">
        <f>+H519/'[8]Stat by Mat 2'!$G$3</f>
        <v>1.8289354050494897E-2</v>
      </c>
      <c r="I865" s="32">
        <f>+I519/'[9]Stat by Mat 2'!$G$3</f>
        <v>4.4154693190492922E-2</v>
      </c>
      <c r="J865" s="32">
        <f>+J519/'[10]Stat by Mat 2'!$G$3</f>
        <v>-1.6659411963025519E-2</v>
      </c>
      <c r="K865" s="38">
        <f>+K519/'[11]Stat by Mat 2'!$G$3</f>
        <v>7.0070330226209177E-2</v>
      </c>
      <c r="L865" s="32">
        <f>+L519/'[12]Stat by Mat 2'!$G$3</f>
        <v>-1.1335110447718875E-2</v>
      </c>
      <c r="M865" s="32">
        <f>+M519/'[13]Stat by Mat 2'!$G$3</f>
        <v>1.8477837326375958E-2</v>
      </c>
      <c r="N865" s="42"/>
    </row>
    <row r="866" spans="2:14" ht="15" hidden="1" customHeight="1" outlineLevel="2" x14ac:dyDescent="0.25">
      <c r="B866" s="17" t="s">
        <v>3</v>
      </c>
      <c r="C866" s="32">
        <f>+C520/[15]Result!$L$5</f>
        <v>2.4926822889174985E-2</v>
      </c>
      <c r="D866" s="28">
        <f>+D520/[1]Result!$L$5</f>
        <v>-6.5682778883218843E-2</v>
      </c>
      <c r="E866" s="38">
        <f>+E520/[5]Result!$L$5</f>
        <v>4.9153397902343774E-3</v>
      </c>
      <c r="F866" s="28">
        <f>+F520/[6]Result!$L$5</f>
        <v>-0.13004458508135702</v>
      </c>
      <c r="G866" s="28">
        <f>+G520/[7]Result!$L$5</f>
        <v>8.4097644863110037E-3</v>
      </c>
      <c r="H866" s="38">
        <f>+H520/[8]Result!$L$5</f>
        <v>-7.8607645068259707E-2</v>
      </c>
      <c r="I866" s="32">
        <f>+I520/[9]Result!$L$5</f>
        <v>3.4898563858603474E-2</v>
      </c>
      <c r="J866" s="32">
        <f>+J520/[10]Result!$L$5</f>
        <v>-3.9446428859009003E-3</v>
      </c>
      <c r="K866" s="38">
        <f>+K520/[11]Result!$L$5</f>
        <v>-2.4487784329131405E-2</v>
      </c>
      <c r="L866" s="32">
        <f>+L520/[12]Result!$L$5</f>
        <v>2.5776724491282698E-3</v>
      </c>
      <c r="M866" s="32">
        <f>+M520/[13]Result!$L$5</f>
        <v>5.7688420994238369E-3</v>
      </c>
      <c r="N866" s="42"/>
    </row>
    <row r="867" spans="2:14" hidden="1" outlineLevel="2" x14ac:dyDescent="0.25">
      <c r="B867" s="17" t="s">
        <v>4</v>
      </c>
      <c r="C867" s="32">
        <f>+C521/[15]Result!$L$6</f>
        <v>2.9520644120864536E-2</v>
      </c>
      <c r="D867" s="28">
        <f>+D521/[1]Result!$L$6</f>
        <v>-6.0116348322069635E-2</v>
      </c>
      <c r="E867" s="38">
        <f>+E521/[5]Result!$L$6</f>
        <v>0.20282614051148837</v>
      </c>
      <c r="F867" s="28">
        <f>+F521/[6]Result!$L$6</f>
        <v>-0.13702346970781373</v>
      </c>
      <c r="G867" s="28">
        <f>+G521/[7]Result!$L$6</f>
        <v>2.1774691598398989E-2</v>
      </c>
      <c r="H867" s="38">
        <f>+H521/[8]Result!$L$6</f>
        <v>4.9917362706721417E-2</v>
      </c>
      <c r="I867" s="32">
        <f>+I521/[9]Result!$L$6</f>
        <v>4.4233212080490643E-2</v>
      </c>
      <c r="J867" s="32">
        <f>+J521/[10]Result!$L$6</f>
        <v>-1.3641530933834889E-2</v>
      </c>
      <c r="K867" s="38">
        <f>+K521/[11]Result!$L$6</f>
        <v>7.9563018613179839E-2</v>
      </c>
      <c r="L867" s="32">
        <f>+L521/[12]Result!$L$6</f>
        <v>-8.1501104678090037E-3</v>
      </c>
      <c r="M867" s="32">
        <f>+M521/[12]Result!$L$6</f>
        <v>1.4846374428247728E-2</v>
      </c>
      <c r="N867" s="42"/>
    </row>
    <row r="868" spans="2:14" hidden="1" outlineLevel="2" x14ac:dyDescent="0.25">
      <c r="B868" s="17" t="s">
        <v>5</v>
      </c>
      <c r="C868" s="32">
        <f>+C522/[15]Result!$L$7</f>
        <v>3.4442227038900063E-2</v>
      </c>
      <c r="D868" s="28">
        <f>+D522/[1]Result!$L$7</f>
        <v>-6.0507590452595045E-2</v>
      </c>
      <c r="E868" s="38">
        <f>+E522/[5]Result!$L$7</f>
        <v>5.5094478483897001E-2</v>
      </c>
      <c r="F868" s="28">
        <f>+F522/[6]Result!$L$7</f>
        <v>-0.13623979587142795</v>
      </c>
      <c r="G868" s="28">
        <f>+G522/[7]Result!$L$7</f>
        <v>3.1546790685213807E-2</v>
      </c>
      <c r="H868" s="38">
        <f>+H522/[8]Result!$L$7</f>
        <v>2.9907553754678906E-2</v>
      </c>
      <c r="I868" s="32">
        <f>+I522/[9]Result!$L$7</f>
        <v>5.017258930821171E-2</v>
      </c>
      <c r="J868" s="32">
        <f>+J522/[10]Result!$L$7</f>
        <v>-2.333259765608578E-2</v>
      </c>
      <c r="K868" s="38">
        <f>+K522/[11]Result!$L$7</f>
        <v>0.13058875938148606</v>
      </c>
      <c r="L868" s="32">
        <f>+L522/[12]Result!$L$7</f>
        <v>-1.6440895050717573E-2</v>
      </c>
      <c r="M868" s="32">
        <f>+M522/[13]Result!$L$7</f>
        <v>2.1943034339033773E-2</v>
      </c>
      <c r="N868" s="42"/>
    </row>
    <row r="869" spans="2:14" hidden="1" outlineLevel="2" x14ac:dyDescent="0.25">
      <c r="B869" s="17" t="s">
        <v>6</v>
      </c>
      <c r="C869" s="32">
        <f>+C523/[15]Result!$L$8</f>
        <v>3.1066738250675723E-2</v>
      </c>
      <c r="D869" s="28">
        <f>+D523/[1]Result!$L$8</f>
        <v>-5.801818047743066E-2</v>
      </c>
      <c r="E869" s="38">
        <f>+E523/[5]Result!$L$8</f>
        <v>9.7079364525515952E-2</v>
      </c>
      <c r="F869" s="28">
        <f>+F523/[6]Result!$L$8</f>
        <v>-0.12805981097635968</v>
      </c>
      <c r="G869" s="28">
        <f>+G523/[7]Result!$L$8</f>
        <v>3.3151624603374848E-2</v>
      </c>
      <c r="H869" s="38">
        <f>+H523/[8]Result!$L$8</f>
        <v>3.9093808689673375E-2</v>
      </c>
      <c r="I869" s="32">
        <f>+I523/[9]Result!$L$8</f>
        <v>4.7450934557415003E-2</v>
      </c>
      <c r="J869" s="32">
        <f>+J523/[10]Result!$L$8</f>
        <v>-2.4862993416361671E-2</v>
      </c>
      <c r="K869" s="38">
        <f>+K523/[11]Result!$L$8</f>
        <v>8.705198991737606E-2</v>
      </c>
      <c r="L869" s="32">
        <f>+L523/[12]Result!$L$8</f>
        <v>-1.9093783647667374E-2</v>
      </c>
      <c r="M869" s="32">
        <f>+M523/[13]Result!$L$8</f>
        <v>2.5756791166294774E-2</v>
      </c>
      <c r="N869" s="42"/>
    </row>
    <row r="870" spans="2:14" hidden="1" outlineLevel="2" x14ac:dyDescent="0.25">
      <c r="B870" s="17" t="s">
        <v>7</v>
      </c>
      <c r="C870" s="32">
        <f>+C524/[15]Result!$L$9</f>
        <v>2.6210111394515873E-2</v>
      </c>
      <c r="D870" s="28">
        <f>+D524/[1]Result!$L$9</f>
        <v>-5.3481766099159306E-2</v>
      </c>
      <c r="E870" s="38">
        <f>+E524/[5]Result!$L$9</f>
        <v>8.9297131876508853E-2</v>
      </c>
      <c r="F870" s="28">
        <f>+F524/[6]Result!$L$9</f>
        <v>-0.12079826598700387</v>
      </c>
      <c r="G870" s="28">
        <f>+G524/[7]Result!$L$9</f>
        <v>3.225599407510181E-2</v>
      </c>
      <c r="H870" s="38">
        <f>+H524/[8]Result!$L$9</f>
        <v>4.1987703369882293E-2</v>
      </c>
      <c r="I870" s="32">
        <f>+I524/[9]Result!$L$9</f>
        <v>4.304267690421152E-2</v>
      </c>
      <c r="J870" s="32">
        <f>+J524/[10]Result!$L$9</f>
        <v>-2.1588841919592885E-2</v>
      </c>
      <c r="K870" s="38">
        <f>+K524/[11]Result!$L$9</f>
        <v>5.7170720765929238E-2</v>
      </c>
      <c r="L870" s="32">
        <f>+L524/[12]Result!$L$9</f>
        <v>-1.9781681552296065E-2</v>
      </c>
      <c r="M870" s="32">
        <f>+M524/[13]Result!$L$9</f>
        <v>3.0210883124385919E-2</v>
      </c>
      <c r="N870" s="42"/>
    </row>
    <row r="871" spans="2:14" hidden="1" outlineLevel="1" collapsed="1" x14ac:dyDescent="0.25">
      <c r="B871" s="16" t="s">
        <v>8</v>
      </c>
      <c r="C871" s="32">
        <f>+C525/'[15]Stat by Mat 2'!$G$4</f>
        <v>2.1009444805958535E-2</v>
      </c>
      <c r="D871" s="28">
        <f>+D525/'[1]Stat by Mat 2'!$G$4</f>
        <v>-4.3808644802023192E-2</v>
      </c>
      <c r="E871" s="38">
        <f>+E525/'[5]Stat by Mat 2'!$G$4</f>
        <v>9.2033889099382052E-2</v>
      </c>
      <c r="F871" s="28">
        <f>+F525/'[6]Stat by Mat 2'!$G$4</f>
        <v>-9.4467414337861322E-2</v>
      </c>
      <c r="G871" s="28">
        <f>+G525/'[7]Stat by Mat 2'!$G$4</f>
        <v>2.8500109748476447E-2</v>
      </c>
      <c r="H871" s="38">
        <f>+H525/'[8]Stat by Mat 2'!$G$4</f>
        <v>4.1460865049574649E-2</v>
      </c>
      <c r="I871" s="32">
        <f>+I525/'[9]Stat by Mat 2'!$G$4</f>
        <v>3.1129689597573843E-2</v>
      </c>
      <c r="J871" s="32">
        <f>+J525/'[10]Stat by Mat 2'!$G$4</f>
        <v>-1.1638434424740983E-2</v>
      </c>
      <c r="K871" s="38">
        <f>+K525/'[11]Stat by Mat 2'!$G$4</f>
        <v>2.0155554430783994E-2</v>
      </c>
      <c r="L871" s="32">
        <f>+L525/'[12]Stat by Mat 2'!$G$4</f>
        <v>-1.6267360960288482E-2</v>
      </c>
      <c r="M871" s="32">
        <f>+M525/'[13]Stat by Mat 2'!$G$4</f>
        <v>3.4395877539344047E-2</v>
      </c>
      <c r="N871" s="42"/>
    </row>
    <row r="872" spans="2:14" hidden="1" outlineLevel="2" x14ac:dyDescent="0.25">
      <c r="B872" s="17" t="s">
        <v>9</v>
      </c>
      <c r="C872" s="32">
        <f>+C526/[15]Result!$L$10</f>
        <v>2.4915352952324315E-2</v>
      </c>
      <c r="D872" s="28">
        <f>+D526/[1]Result!$L$10</f>
        <v>-5.1821551280849379E-2</v>
      </c>
      <c r="E872" s="38">
        <f>+E526/[5]Result!$L$10</f>
        <v>9.5776367219247011E-2</v>
      </c>
      <c r="F872" s="28">
        <f>+F526/[6]Result!$L$10</f>
        <v>-0.11175979561097742</v>
      </c>
      <c r="G872" s="28">
        <f>+G526/[7]Result!$L$10</f>
        <v>3.0633413637425985E-2</v>
      </c>
      <c r="H872" s="38">
        <f>+H526/[8]Result!$L$10</f>
        <v>3.7230294084993378E-2</v>
      </c>
      <c r="I872" s="32">
        <f>+I526/[9]Result!$L$10</f>
        <v>3.8607343400230851E-2</v>
      </c>
      <c r="J872" s="32">
        <f>+J526/[10]Result!$L$10</f>
        <v>-1.7832065189161472E-2</v>
      </c>
      <c r="K872" s="38">
        <f>+K526/[11]Result!$L$10</f>
        <v>3.5244433182071586E-2</v>
      </c>
      <c r="L872" s="32">
        <f>+L526/[12]Result!$L$10</f>
        <v>-1.9056271528342425E-2</v>
      </c>
      <c r="M872" s="32">
        <f>+M526/[13]Result!$L$10</f>
        <v>3.3653176455850725E-2</v>
      </c>
      <c r="N872" s="42"/>
    </row>
    <row r="873" spans="2:14" hidden="1" outlineLevel="2" x14ac:dyDescent="0.25">
      <c r="B873" s="17" t="s">
        <v>10</v>
      </c>
      <c r="C873" s="32">
        <f>+C527/[15]Result!$L$11</f>
        <v>2.1574163319665735E-2</v>
      </c>
      <c r="D873" s="28">
        <f>+D527/[1]Result!$L$11</f>
        <v>-4.6722527944486864E-2</v>
      </c>
      <c r="E873" s="38">
        <f>+E527/[5]Result!$L$11</f>
        <v>0.10246228198238989</v>
      </c>
      <c r="F873" s="28">
        <f>+F527/[6]Result!$L$11</f>
        <v>-0.10005703200869466</v>
      </c>
      <c r="G873" s="28">
        <f>+G527/[7]Result!$L$11</f>
        <v>2.861846805025136E-2</v>
      </c>
      <c r="H873" s="38">
        <f>+H527/[8]Result!$L$11</f>
        <v>4.2171873194267365E-2</v>
      </c>
      <c r="I873" s="32">
        <f>+I527/[9]Result!$L$11</f>
        <v>3.278875329409308E-2</v>
      </c>
      <c r="J873" s="32">
        <f>+J527/[10]Result!$L$11</f>
        <v>-1.3708433611517514E-2</v>
      </c>
      <c r="K873" s="38">
        <f>+K527/[11]Result!$L$11</f>
        <v>2.6313695418576505E-2</v>
      </c>
      <c r="L873" s="32">
        <f>+L527/[12]Result!$L$11</f>
        <v>-1.7312963645445476E-2</v>
      </c>
      <c r="M873" s="32">
        <f>+M527/[13]Result!$L$11</f>
        <v>3.4750355984093623E-2</v>
      </c>
      <c r="N873" s="42"/>
    </row>
    <row r="874" spans="2:14" hidden="1" outlineLevel="2" x14ac:dyDescent="0.25">
      <c r="B874" s="17" t="s">
        <v>11</v>
      </c>
      <c r="C874" s="32">
        <f>+C528/[15]Result!$L$12</f>
        <v>1.8427575664338752E-2</v>
      </c>
      <c r="D874" s="28">
        <f>+D528/[1]Result!$L$12</f>
        <v>-4.1380287444108592E-2</v>
      </c>
      <c r="E874" s="38">
        <f>+E528/[5]Result!$L$12</f>
        <v>0.10482779912128667</v>
      </c>
      <c r="F874" s="28">
        <f>+F528/[6]Result!$L$12</f>
        <v>-8.9954206882423435E-2</v>
      </c>
      <c r="G874" s="28">
        <f>+G528/[7]Result!$L$12</f>
        <v>2.7672069607725929E-2</v>
      </c>
      <c r="H874" s="38">
        <f>+H528/[8]Result!$L$12</f>
        <v>4.5297758759669716E-2</v>
      </c>
      <c r="I874" s="32">
        <f>+I528/[9]Result!$L$12</f>
        <v>2.8704806740144605E-2</v>
      </c>
      <c r="J874" s="32">
        <f>+J528/[10]Result!$L$12</f>
        <v>-1.0410049808277269E-2</v>
      </c>
      <c r="K874" s="38">
        <f>+K528/[11]Result!$L$12</f>
        <v>1.8975817494299024E-2</v>
      </c>
      <c r="L874" s="32">
        <f>+L528/[12]Result!$L$12</f>
        <v>-1.5444781786023E-2</v>
      </c>
      <c r="M874" s="32">
        <f>+M528/[13]Result!$L$12</f>
        <v>3.4385136584011905E-2</v>
      </c>
      <c r="N874" s="42"/>
    </row>
    <row r="875" spans="2:14" hidden="1" outlineLevel="2" x14ac:dyDescent="0.25">
      <c r="B875" s="17" t="s">
        <v>12</v>
      </c>
      <c r="C875" s="32">
        <f>+C529/[15]Result!$L$13</f>
        <v>1.7659305278072166E-2</v>
      </c>
      <c r="D875" s="28">
        <f>+D529/[1]Result!$L$13</f>
        <v>-3.6354538560105232E-2</v>
      </c>
      <c r="E875" s="38">
        <f>+E529/[5]Result!$L$13</f>
        <v>6.6018001949526131E-2</v>
      </c>
      <c r="F875" s="28">
        <f>+F529/[6]Result!$L$13</f>
        <v>-8.1617972385158166E-2</v>
      </c>
      <c r="G875" s="28">
        <f>+G529/[7]Result!$L$13</f>
        <v>2.7304215116659137E-2</v>
      </c>
      <c r="H875" s="38">
        <f>+H529/[8]Result!$L$13</f>
        <v>3.6841444203440606E-2</v>
      </c>
      <c r="I875" s="32">
        <f>+I529/[9]Result!$L$13</f>
        <v>2.5422815361809251E-2</v>
      </c>
      <c r="J875" s="32">
        <f>+J529/[10]Result!$L$13</f>
        <v>-6.8807104148656982E-3</v>
      </c>
      <c r="K875" s="38">
        <f>+K529/[11]Result!$L$13</f>
        <v>8.0856848753639229E-3</v>
      </c>
      <c r="L875" s="32">
        <f>+L529/[12]Result!$L$13</f>
        <v>-1.4002344315682648E-2</v>
      </c>
      <c r="M875" s="32">
        <f>+M529/[13]Result!$L$13</f>
        <v>3.4272150393069842E-2</v>
      </c>
      <c r="N875" s="42"/>
    </row>
    <row r="876" spans="2:14" hidden="1" outlineLevel="2" x14ac:dyDescent="0.25">
      <c r="B876" s="17" t="s">
        <v>13</v>
      </c>
      <c r="C876" s="32">
        <f>+C530/[15]Result!$L$14</f>
        <v>1.9935915864257719E-2</v>
      </c>
      <c r="D876" s="28">
        <f>+D530/[1]Result!$L$14</f>
        <v>-3.5356924762266338E-2</v>
      </c>
      <c r="E876" s="38">
        <f>+E530/[5]Result!$L$14</f>
        <v>7.9958751028441105E-2</v>
      </c>
      <c r="F876" s="28">
        <f>+F530/[6]Result!$L$14</f>
        <v>-7.2637660325186051E-2</v>
      </c>
      <c r="G876" s="28">
        <f>+G530/[7]Result!$L$14</f>
        <v>2.6837696584411694E-2</v>
      </c>
      <c r="H876" s="38">
        <f>+H530/[8]Result!$L$14</f>
        <v>4.7953893621246066E-2</v>
      </c>
      <c r="I876" s="32">
        <f>+I530/[9]Result!$L$14</f>
        <v>2.4357440406153057E-2</v>
      </c>
      <c r="J876" s="32">
        <f>+J530/[10]Result!$L$14</f>
        <v>-3.7177566450741027E-3</v>
      </c>
      <c r="K876" s="38">
        <f>+K530/[11]Result!$L$14</f>
        <v>-2.4524961155945719E-3</v>
      </c>
      <c r="L876" s="32">
        <f>+L530/[12]Result!$L$14</f>
        <v>-1.2906050429455643E-2</v>
      </c>
      <c r="M876" s="32">
        <f>+M530/[13]Result!$L$14</f>
        <v>3.5367190850835235E-2</v>
      </c>
      <c r="N876" s="42"/>
    </row>
    <row r="877" spans="2:14" hidden="1" outlineLevel="1" collapsed="1" x14ac:dyDescent="0.25">
      <c r="B877" s="16" t="s">
        <v>14</v>
      </c>
      <c r="C877" s="32">
        <f>+C531/'[15]Stat by Mat 2'!$G$5</f>
        <v>1.7764172439165525E-2</v>
      </c>
      <c r="D877" s="28">
        <f>+D531/'[1]Stat by Mat 2'!$G$5</f>
        <v>-2.2941286497534193E-2</v>
      </c>
      <c r="E877" s="38">
        <f>+E531/'[5]Stat by Mat 2'!$G$5</f>
        <v>2.7592585677652739E-2</v>
      </c>
      <c r="F877" s="28">
        <f>+F531/'[6]Stat by Mat 2'!$G$5</f>
        <v>-5.5467750007083837E-2</v>
      </c>
      <c r="G877" s="28">
        <f>+G531/'[7]Stat by Mat 2'!$G$5</f>
        <v>2.7453322644166042E-2</v>
      </c>
      <c r="H877" s="38">
        <f>+H531/'[8]Stat by Mat 2'!$G$5</f>
        <v>2.695928409164668E-2</v>
      </c>
      <c r="I877" s="32">
        <f>+I531/'[9]Stat by Mat 2'!$G$5</f>
        <v>1.9157877429638401E-2</v>
      </c>
      <c r="J877" s="32">
        <f>+J531/'[10]Stat by Mat 2'!$G$5</f>
        <v>5.1398527233126575E-3</v>
      </c>
      <c r="K877" s="38">
        <f>+K531/'[11]Stat by Mat 2'!$G$5</f>
        <v>6.8588109217791633E-3</v>
      </c>
      <c r="L877" s="32">
        <f>+L531/'[12]Stat by Mat 2'!$G$5</f>
        <v>-6.8288501870044215E-3</v>
      </c>
      <c r="M877" s="32">
        <f>+M531/'[13]Stat by Mat 2'!$G$5</f>
        <v>3.2796466297486331E-2</v>
      </c>
      <c r="N877" s="42"/>
    </row>
    <row r="878" spans="2:14" hidden="1" outlineLevel="2" x14ac:dyDescent="0.25">
      <c r="B878" s="17" t="s">
        <v>15</v>
      </c>
      <c r="C878" s="32">
        <f>+C532/[15]Result!$L$15</f>
        <v>1.8745221186996092E-2</v>
      </c>
      <c r="D878" s="28">
        <f>+D532/[1]Result!$L$15</f>
        <v>-3.2247829788667026E-2</v>
      </c>
      <c r="E878" s="38">
        <f>+E532/[5]Result!$L$15</f>
        <v>5.4871943799324613E-2</v>
      </c>
      <c r="F878" s="28">
        <f>+F532/[6]Result!$L$15</f>
        <v>-6.6882335900915538E-2</v>
      </c>
      <c r="G878" s="28">
        <f>+G532/[7]Result!$L$15</f>
        <v>2.6741784369197136E-2</v>
      </c>
      <c r="H878" s="38">
        <f>+H532/[8]Result!$L$15</f>
        <v>4.2841669371850029E-2</v>
      </c>
      <c r="I878" s="32">
        <f>+I532/[9]Result!$L$15</f>
        <v>2.4287673968443661E-2</v>
      </c>
      <c r="J878" s="32">
        <f>+J532/[10]Result!$L$15</f>
        <v>-9.8436482883407055E-4</v>
      </c>
      <c r="K878" s="38">
        <f>+K532/[11]Result!$L$15</f>
        <v>1.4943487796344815E-3</v>
      </c>
      <c r="L878" s="32">
        <f>+L532/[12]Result!$L$15</f>
        <v>-1.1320677381659774E-2</v>
      </c>
      <c r="M878" s="32">
        <f>+M532/[13]Result!$L$15</f>
        <v>3.5469148701670103E-2</v>
      </c>
      <c r="N878" s="42"/>
    </row>
    <row r="879" spans="2:14" hidden="1" outlineLevel="2" x14ac:dyDescent="0.25">
      <c r="B879" s="17" t="s">
        <v>16</v>
      </c>
      <c r="C879" s="32">
        <f>+C533/[15]Result!$L$16</f>
        <v>1.4912574615152765E-2</v>
      </c>
      <c r="D879" s="28">
        <f>+D533/[1]Result!$L$16</f>
        <v>-2.6223347789907536E-2</v>
      </c>
      <c r="E879" s="38">
        <f>+E533/[5]Result!$L$16</f>
        <v>1.3652686759822489E-2</v>
      </c>
      <c r="F879" s="28">
        <f>+F533/[6]Result!$L$16</f>
        <v>-6.3361309673203747E-2</v>
      </c>
      <c r="G879" s="28">
        <f>+G533/[7]Result!$L$16</f>
        <v>2.6059316470739707E-2</v>
      </c>
      <c r="H879" s="38">
        <f>+H533/[8]Result!$L$16</f>
        <v>3.1858238057259507E-2</v>
      </c>
      <c r="I879" s="32">
        <f>+I533/[9]Result!$L$16</f>
        <v>2.0911274687426311E-2</v>
      </c>
      <c r="J879" s="32">
        <f>+J533/[10]Result!$L$16</f>
        <v>1.8215899193747918E-3</v>
      </c>
      <c r="K879" s="38">
        <f>+K533/[11]Result!$L$16</f>
        <v>7.2750060653923613E-3</v>
      </c>
      <c r="L879" s="32">
        <f>+L533/[12]Result!$L$16</f>
        <v>-9.0076359144231916E-3</v>
      </c>
      <c r="M879" s="32">
        <f>+M533/[13]Result!$L$16</f>
        <v>3.3805142356393113E-2</v>
      </c>
      <c r="N879" s="42"/>
    </row>
    <row r="880" spans="2:14" hidden="1" outlineLevel="2" x14ac:dyDescent="0.25">
      <c r="B880" s="17" t="s">
        <v>17</v>
      </c>
      <c r="C880" s="32">
        <f>+C534/[15]Result!$L$17</f>
        <v>1.3792164874789533E-2</v>
      </c>
      <c r="D880" s="28">
        <f>+D534/[1]Result!$L$17</f>
        <v>-2.3972515476197335E-2</v>
      </c>
      <c r="E880" s="38">
        <f>+E534/[5]Result!$L$17</f>
        <v>1.4016730117292707E-2</v>
      </c>
      <c r="F880" s="28">
        <f>+F534/[6]Result!$L$17</f>
        <v>-5.9344846238603498E-2</v>
      </c>
      <c r="G880" s="28">
        <f>+G534/[7]Result!$L$17</f>
        <v>2.6159405443568293E-2</v>
      </c>
      <c r="H880" s="38">
        <f>+H534/[8]Result!$L$17</f>
        <v>2.9444814526578808E-2</v>
      </c>
      <c r="I880" s="32">
        <f>+I534/[9]Result!$L$17</f>
        <v>1.756804967299572E-2</v>
      </c>
      <c r="J880" s="32">
        <f>+J534/[10]Result!$L$17</f>
        <v>4.0137973382942446E-3</v>
      </c>
      <c r="K880" s="38">
        <f>+K534/[11]Result!$L$17</f>
        <v>4.1700363491318877E-3</v>
      </c>
      <c r="L880" s="32">
        <f>+L534/[12]Result!$L$17</f>
        <v>-8.0848611160464889E-3</v>
      </c>
      <c r="M880" s="32">
        <f>+M534/[13]Result!$L$17</f>
        <v>3.2956562433262969E-2</v>
      </c>
      <c r="N880" s="42"/>
    </row>
    <row r="881" spans="2:14" hidden="1" outlineLevel="2" x14ac:dyDescent="0.25">
      <c r="B881" s="17" t="s">
        <v>18</v>
      </c>
      <c r="C881" s="32">
        <f>+C535/[15]Result!$L$18</f>
        <v>1.4454829029874357E-2</v>
      </c>
      <c r="D881" s="28">
        <f>+D535/[1]Result!$L$18</f>
        <v>-2.3596195815317009E-2</v>
      </c>
      <c r="E881" s="38">
        <f>+E535/[5]Result!$L$18</f>
        <v>1.7290754054745765E-2</v>
      </c>
      <c r="F881" s="28">
        <f>+F535/[6]Result!$L$18</f>
        <v>-5.5077725155272213E-2</v>
      </c>
      <c r="G881" s="28">
        <f>+G535/[7]Result!$L$18</f>
        <v>2.7021183367584967E-2</v>
      </c>
      <c r="H881" s="38">
        <f>+H535/[8]Result!$L$18</f>
        <v>3.3980583217271758E-2</v>
      </c>
      <c r="I881" s="32">
        <f>+I535/[9]Result!$L$18</f>
        <v>1.6364576072818514E-2</v>
      </c>
      <c r="J881" s="32">
        <f>+J535/[10]Result!$L$18</f>
        <v>5.9652117604253076E-3</v>
      </c>
      <c r="K881" s="38">
        <f>+K535/[11]Result!$L$18</f>
        <v>4.7947560724063056E-3</v>
      </c>
      <c r="L881" s="32">
        <f>+L535/[12]Result!$L$18</f>
        <v>-7.5064329047992559E-3</v>
      </c>
      <c r="M881" s="32">
        <f>+M535/[13]Result!$L$18</f>
        <v>3.279098427954534E-2</v>
      </c>
      <c r="N881" s="42"/>
    </row>
    <row r="882" spans="2:14" hidden="1" outlineLevel="2" x14ac:dyDescent="0.25">
      <c r="B882" s="17" t="s">
        <v>19</v>
      </c>
      <c r="C882" s="32">
        <f>+C536/[15]Result!$L$19</f>
        <v>1.8085386820494997E-2</v>
      </c>
      <c r="D882" s="28">
        <f>+D536/[1]Result!$L$19</f>
        <v>-2.4839451756680338E-2</v>
      </c>
      <c r="E882" s="38">
        <f>+E536/[5]Result!$L$19</f>
        <v>1.9879776857251664E-2</v>
      </c>
      <c r="F882" s="28">
        <f>+F536/[6]Result!$L$19</f>
        <v>-5.122581686317397E-2</v>
      </c>
      <c r="G882" s="28">
        <f>+G536/[7]Result!$L$19</f>
        <v>2.7218071217905825E-2</v>
      </c>
      <c r="H882" s="38">
        <f>+H536/[8]Result!$L$19</f>
        <v>2.5526718345893779E-2</v>
      </c>
      <c r="I882" s="32">
        <f>+I536/[9]Result!$L$19</f>
        <v>1.7076509490071824E-2</v>
      </c>
      <c r="J882" s="32">
        <f>+J536/[10]Result!$L$19</f>
        <v>6.4246392081546829E-3</v>
      </c>
      <c r="K882" s="38">
        <f>+K536/[11]Result!$L$19</f>
        <v>-3.4612765106711808E-3</v>
      </c>
      <c r="L882" s="32">
        <f>+L536/[12]Result!$L$19</f>
        <v>-6.3446113750170582E-3</v>
      </c>
      <c r="M882" s="32">
        <f>+M536/[13]Result!$L$19</f>
        <v>3.2568397718575511E-2</v>
      </c>
      <c r="N882" s="42"/>
    </row>
    <row r="883" spans="2:14" hidden="1" outlineLevel="2" x14ac:dyDescent="0.25">
      <c r="B883" s="17" t="s">
        <v>20</v>
      </c>
      <c r="C883" s="32">
        <f>+C537/[15]Result!$L$20</f>
        <v>2.0925197019723011E-2</v>
      </c>
      <c r="D883" s="28">
        <f>+D537/[1]Result!$L$20</f>
        <v>-2.3013317276139426E-2</v>
      </c>
      <c r="E883" s="38">
        <f>+E537/[5]Result!$L$20</f>
        <v>2.0146373461165171E-2</v>
      </c>
      <c r="F883" s="28">
        <f>+F537/[6]Result!$L$20</f>
        <v>-4.9407506228195223E-2</v>
      </c>
      <c r="G883" s="28">
        <f>+G537/[7]Result!$L$20</f>
        <v>2.7433601066615902E-2</v>
      </c>
      <c r="H883" s="38">
        <f>+H537/[8]Result!$L$20</f>
        <v>1.8160054093966021E-2</v>
      </c>
      <c r="I883" s="32">
        <f>+I537/[9]Result!$L$20</f>
        <v>1.8641797652638056E-2</v>
      </c>
      <c r="J883" s="32">
        <f>+J537/[10]Result!$L$20</f>
        <v>6.7088181981346711E-3</v>
      </c>
      <c r="K883" s="38">
        <f>+K537/[11]Result!$L$20</f>
        <v>7.4801576681408466E-4</v>
      </c>
      <c r="L883" s="32">
        <f>+L537/[12]Result!$L$20</f>
        <v>-5.2271258652100694E-3</v>
      </c>
      <c r="M883" s="32">
        <f>+M537/[13]Result!$L$20</f>
        <v>3.1915616685165141E-2</v>
      </c>
      <c r="N883" s="42"/>
    </row>
    <row r="884" spans="2:14" hidden="1" outlineLevel="2" x14ac:dyDescent="0.25">
      <c r="B884" s="17" t="s">
        <v>21</v>
      </c>
      <c r="C884" s="32">
        <f>+C538/[15]Result!$L$21</f>
        <v>2.1246464800949695E-2</v>
      </c>
      <c r="D884" s="28">
        <f>+D538/[1]Result!$L$21</f>
        <v>-1.8045733986937353E-2</v>
      </c>
      <c r="E884" s="38">
        <f>+E538/[5]Result!$L$21</f>
        <v>2.1764257992027244E-2</v>
      </c>
      <c r="F884" s="28">
        <f>+F538/[6]Result!$L$21</f>
        <v>-4.817826234521061E-2</v>
      </c>
      <c r="G884" s="28">
        <f>+G538/[7]Result!$L$21</f>
        <v>2.8212264504728232E-2</v>
      </c>
      <c r="H884" s="38">
        <f>+H538/[8]Result!$L$21</f>
        <v>1.4481799701749554E-2</v>
      </c>
      <c r="I884" s="32">
        <f>+I538/[9]Result!$L$21</f>
        <v>1.8698719356375276E-2</v>
      </c>
      <c r="J884" s="32">
        <f>+J538/[10]Result!$L$21</f>
        <v>8.4277364140604091E-3</v>
      </c>
      <c r="K884" s="38">
        <f>+K538/[11]Result!$L$21</f>
        <v>5.0427809525709268E-3</v>
      </c>
      <c r="L884" s="32">
        <f>+L538/[12]Result!$L$21</f>
        <v>-4.080701052122649E-3</v>
      </c>
      <c r="M884" s="32">
        <f>+M538/[13]Result!$L$21</f>
        <v>3.1304972015994068E-2</v>
      </c>
      <c r="N884" s="42"/>
    </row>
    <row r="885" spans="2:14" hidden="1" outlineLevel="2" x14ac:dyDescent="0.25">
      <c r="B885" s="17" t="s">
        <v>22</v>
      </c>
      <c r="C885" s="32">
        <f>+C539/[15]Result!$L$22</f>
        <v>2.0304877733248263E-2</v>
      </c>
      <c r="D885" s="28">
        <f>+D539/[1]Result!$L$22</f>
        <v>-1.3223364486523469E-2</v>
      </c>
      <c r="E885" s="38">
        <f>+E539/[5]Result!$L$22</f>
        <v>2.926562020527149E-2</v>
      </c>
      <c r="F885" s="28">
        <f>+F539/[6]Result!$L$22</f>
        <v>-4.7799645692190085E-2</v>
      </c>
      <c r="G885" s="28">
        <f>+G539/[7]Result!$L$22</f>
        <v>2.9083911114282469E-2</v>
      </c>
      <c r="H885" s="38">
        <f>+H539/[8]Result!$L$22</f>
        <v>1.2533213478954456E-2</v>
      </c>
      <c r="I885" s="32">
        <f>+I539/[9]Result!$L$22</f>
        <v>1.8268252377661148E-2</v>
      </c>
      <c r="J885" s="32">
        <f>+J539/[10]Result!$L$22</f>
        <v>9.4384222128968791E-3</v>
      </c>
      <c r="K885" s="38">
        <f>+K539/[11]Result!$L$22</f>
        <v>1.6294979629813276E-2</v>
      </c>
      <c r="L885" s="32">
        <f>+L539/[12]Result!$L$22</f>
        <v>-3.0856887343685166E-3</v>
      </c>
      <c r="M885" s="32">
        <f>+M539/[13]Result!$L$22</f>
        <v>3.1302988448469869E-2</v>
      </c>
      <c r="N885" s="42"/>
    </row>
    <row r="886" spans="2:14" hidden="1" outlineLevel="2" x14ac:dyDescent="0.25">
      <c r="B886" s="17" t="s">
        <v>23</v>
      </c>
      <c r="C886" s="32">
        <f>+C540/[15]Result!$L$23</f>
        <v>1.9440871715625713E-2</v>
      </c>
      <c r="D886" s="28">
        <f>+D540/[1]Result!$L$23</f>
        <v>-1.1418953502027908E-2</v>
      </c>
      <c r="E886" s="38">
        <f>+E540/[5]Result!$L$23</f>
        <v>4.3901463086192104E-2</v>
      </c>
      <c r="F886" s="28">
        <f>+F540/[6]Result!$L$23</f>
        <v>-4.7098864936197464E-2</v>
      </c>
      <c r="G886" s="28">
        <f>+G540/[7]Result!$L$23</f>
        <v>2.9774952526772192E-2</v>
      </c>
      <c r="H886" s="38">
        <f>+H540/[8]Result!$L$23</f>
        <v>1.8976566520873563E-2</v>
      </c>
      <c r="I886" s="32">
        <f>+I540/[9]Result!$L$23</f>
        <v>1.7594085660186078E-2</v>
      </c>
      <c r="J886" s="32">
        <f>+J540/[10]Result!$L$23</f>
        <v>1.0123386592962842E-2</v>
      </c>
      <c r="K886" s="38">
        <f>+K540/[11]Result!$L$23</f>
        <v>2.8846932753090797E-2</v>
      </c>
      <c r="L886" s="32">
        <f>+L540/[12]Result!$L$23</f>
        <v>-2.6535221041546907E-3</v>
      </c>
      <c r="M886" s="32">
        <f>+M540/[13]Result!$L$23</f>
        <v>3.1259922564880166E-2</v>
      </c>
      <c r="N886" s="42"/>
    </row>
    <row r="887" spans="2:14" hidden="1" outlineLevel="2" x14ac:dyDescent="0.25">
      <c r="B887" s="17" t="s">
        <v>24</v>
      </c>
      <c r="C887" s="32">
        <f>+C541/[15]Result!$L$24</f>
        <v>2.014614148085301E-2</v>
      </c>
      <c r="D887" s="28">
        <f>+D541/[1]Result!$L$24</f>
        <v>-1.3856404354518978E-2</v>
      </c>
      <c r="E887" s="38">
        <f>+E541/[5]Result!$L$24</f>
        <v>4.0135342456594336E-2</v>
      </c>
      <c r="F887" s="28">
        <f>+F541/[6]Result!$L$24</f>
        <v>-4.4192963553653208E-2</v>
      </c>
      <c r="G887" s="28">
        <f>+G541/[7]Result!$L$24</f>
        <v>3.0398399128789159E-2</v>
      </c>
      <c r="H887" s="38">
        <f>+H541/[8]Result!$L$24</f>
        <v>1.4654717884306945E-2</v>
      </c>
      <c r="I887" s="32">
        <f>+I541/[9]Result!$L$24</f>
        <v>1.659647476760822E-2</v>
      </c>
      <c r="J887" s="32">
        <f>+J541/[10]Result!$L$24</f>
        <v>1.0713073093560409E-2</v>
      </c>
      <c r="K887" s="38">
        <f>+K541/[11]Result!$L$24</f>
        <v>2.2982877929839333E-2</v>
      </c>
      <c r="L887" s="32">
        <f>+L541/[12]Result!$L$24</f>
        <v>-2.2780648880067604E-3</v>
      </c>
      <c r="M887" s="32">
        <f>+M541/[13]Result!$L$24</f>
        <v>3.0254611427218144E-2</v>
      </c>
      <c r="N887" s="42"/>
    </row>
    <row r="888" spans="2:14" hidden="1" outlineLevel="1" collapsed="1" x14ac:dyDescent="0.25">
      <c r="B888" s="16" t="s">
        <v>25</v>
      </c>
      <c r="C888" s="32">
        <f>+C542/'[15]Stat by Mat 2'!$G$6</f>
        <v>1.955584145705749E-2</v>
      </c>
      <c r="D888" s="28">
        <f>+D542/'[1]Stat by Mat 2'!$G$6</f>
        <v>-2.0612082878941011E-2</v>
      </c>
      <c r="E888" s="38">
        <f>+E542/'[5]Stat by Mat 2'!$G$6</f>
        <v>3.3891560658826515E-2</v>
      </c>
      <c r="F888" s="28">
        <f>+F542/'[6]Stat by Mat 2'!$G$6</f>
        <v>-2.9291432188429806E-2</v>
      </c>
      <c r="G888" s="28">
        <f>+G542/'[7]Stat by Mat 2'!$G$6</f>
        <v>2.6582575632485908E-2</v>
      </c>
      <c r="H888" s="38">
        <f>+H542/'[8]Stat by Mat 2'!$G$6</f>
        <v>2.5662236532323558E-2</v>
      </c>
      <c r="I888" s="32">
        <f>+I542/'[9]Stat by Mat 2'!$G$6</f>
        <v>1.2017345556499345E-2</v>
      </c>
      <c r="J888" s="32">
        <f>+J542/'[10]Stat by Mat 2'!$G$6</f>
        <v>1.0205592215274274E-2</v>
      </c>
      <c r="K888" s="38">
        <f>+K542/'[11]Stat by Mat 2'!$G$6</f>
        <v>5.6498565451238797E-2</v>
      </c>
      <c r="L888" s="32">
        <f>+L542/'[12]Stat by Mat 2'!$G$6</f>
        <v>-6.6259201895458664E-4</v>
      </c>
      <c r="M888" s="32">
        <f>+M542/'[13]Stat by Mat 2'!$G$6</f>
        <v>2.2080279088938556E-2</v>
      </c>
      <c r="N888" s="42"/>
    </row>
    <row r="889" spans="2:14" hidden="1" outlineLevel="2" x14ac:dyDescent="0.25">
      <c r="B889" s="17" t="s">
        <v>26</v>
      </c>
      <c r="C889" s="32">
        <f>+C543/[15]Result!$L$25</f>
        <v>2.0886886000393599E-2</v>
      </c>
      <c r="D889" s="28">
        <f>+D543/[1]Result!$L$25</f>
        <v>-1.7335487116381006E-2</v>
      </c>
      <c r="E889" s="38">
        <f>+E543/[5]Result!$L$25</f>
        <v>3.3611834685118337E-2</v>
      </c>
      <c r="F889" s="28">
        <f>+F543/[6]Result!$L$25</f>
        <v>-3.9792741226573038E-2</v>
      </c>
      <c r="G889" s="28">
        <f>+G543/[7]Result!$L$25</f>
        <v>3.0826345388917677E-2</v>
      </c>
      <c r="H889" s="38">
        <f>+H543/[8]Result!$L$25</f>
        <v>1.2700188202285937E-2</v>
      </c>
      <c r="I889" s="32">
        <f>+I543/[9]Result!$L$25</f>
        <v>1.5648848416371725E-2</v>
      </c>
      <c r="J889" s="32">
        <f>+J543/[10]Result!$L$25</f>
        <v>1.1157876396294619E-2</v>
      </c>
      <c r="K889" s="38">
        <f>+K543/[11]Result!$L$25</f>
        <v>2.931681132730524E-2</v>
      </c>
      <c r="L889" s="32">
        <f>+L543/[12]Result!$L$25</f>
        <v>-2.0546232301096525E-3</v>
      </c>
      <c r="M889" s="32">
        <f>+M543/[13]Result!$L$25</f>
        <v>2.8638148980793001E-2</v>
      </c>
      <c r="N889" s="42"/>
    </row>
    <row r="890" spans="2:14" hidden="1" outlineLevel="2" x14ac:dyDescent="0.25">
      <c r="B890" s="17" t="s">
        <v>27</v>
      </c>
      <c r="C890" s="32">
        <f>+C544/[15]Result!$L$26</f>
        <v>2.0947330242096319E-2</v>
      </c>
      <c r="D890" s="28">
        <f>+D544/[1]Result!$L$26</f>
        <v>-1.9546746986271957E-2</v>
      </c>
      <c r="E890" s="38">
        <f>+E544/[5]Result!$L$26</f>
        <v>2.6975473773858661E-2</v>
      </c>
      <c r="F890" s="28">
        <f>+F544/[6]Result!$L$26</f>
        <v>-3.5256671225541304E-2</v>
      </c>
      <c r="G890" s="28">
        <f>+G544/[7]Result!$L$26</f>
        <v>3.0005577193878089E-2</v>
      </c>
      <c r="H890" s="38">
        <f>+H544/[8]Result!$L$26</f>
        <v>1.1654017349921853E-2</v>
      </c>
      <c r="I890" s="32">
        <f>+I544/[9]Result!$L$26</f>
        <v>1.398943962463654E-2</v>
      </c>
      <c r="J890" s="32">
        <f>+J544/[10]Result!$L$26</f>
        <v>1.1207262439536484E-2</v>
      </c>
      <c r="K890" s="38">
        <f>+K544/[11]Result!$L$26</f>
        <v>3.7526824834452487E-2</v>
      </c>
      <c r="L890" s="32">
        <f>+L544/[12]Result!$L$26</f>
        <v>-1.0920319903272772E-3</v>
      </c>
      <c r="M890" s="32">
        <f>+M544/[13]Result!$L$26</f>
        <v>2.5939150622174053E-2</v>
      </c>
      <c r="N890" s="42"/>
    </row>
    <row r="891" spans="2:14" hidden="1" outlineLevel="2" x14ac:dyDescent="0.25">
      <c r="B891" s="17" t="s">
        <v>28</v>
      </c>
      <c r="C891" s="32">
        <f>+C545/[15]Result!$L$27</f>
        <v>2.0501128289215131E-2</v>
      </c>
      <c r="D891" s="28">
        <f>+D545/[1]Result!$L$27</f>
        <v>-2.1516595008562175E-2</v>
      </c>
      <c r="E891" s="38">
        <f>+E545/[5]Result!$L$27</f>
        <v>2.5889345101310714E-2</v>
      </c>
      <c r="F891" s="28">
        <f>+F545/[6]Result!$L$27</f>
        <v>-3.1795680900501666E-2</v>
      </c>
      <c r="G891" s="28">
        <f>+G545/[7]Result!$L$27</f>
        <v>2.8692764098475827E-2</v>
      </c>
      <c r="H891" s="38">
        <f>+H545/[8]Result!$L$27</f>
        <v>1.3593200222720895E-2</v>
      </c>
      <c r="I891" s="32">
        <f>+I545/[9]Result!$L$27</f>
        <v>1.3042730985591477E-2</v>
      </c>
      <c r="J891" s="32">
        <f>+J545/[10]Result!$L$27</f>
        <v>1.0781968630132404E-2</v>
      </c>
      <c r="K891" s="38">
        <f>+K545/[11]Result!$L$27</f>
        <v>5.1276538689974956E-2</v>
      </c>
      <c r="L891" s="32">
        <f>+L545/[12]Result!$L$27</f>
        <v>-7.3849468262648292E-4</v>
      </c>
      <c r="M891" s="32">
        <f>+M545/[13]Result!$L$27</f>
        <v>2.4058951870294738E-2</v>
      </c>
      <c r="N891" s="42"/>
    </row>
    <row r="892" spans="2:14" hidden="1" outlineLevel="2" x14ac:dyDescent="0.25">
      <c r="B892" s="17" t="s">
        <v>29</v>
      </c>
      <c r="C892" s="32">
        <f>+C546/[15]Result!$L$28</f>
        <v>2.0206134054647405E-2</v>
      </c>
      <c r="D892" s="28">
        <f>+D546/[1]Result!$L$28</f>
        <v>-2.315511120686126E-2</v>
      </c>
      <c r="E892" s="38">
        <f>+E546/[5]Result!$L$28</f>
        <v>3.1654501375132212E-2</v>
      </c>
      <c r="F892" s="28">
        <f>+F546/[6]Result!$L$28</f>
        <v>-2.8716467272812556E-2</v>
      </c>
      <c r="G892" s="28">
        <f>+G546/[7]Result!$L$28</f>
        <v>2.6871551975140535E-2</v>
      </c>
      <c r="H892" s="38">
        <f>+H546/[8]Result!$L$28</f>
        <v>3.044939184863275E-2</v>
      </c>
      <c r="I892" s="32">
        <f>+I546/[9]Result!$L$28</f>
        <v>1.2345322211436045E-2</v>
      </c>
      <c r="J892" s="32">
        <f>+J546/[10]Result!$L$28</f>
        <v>1.096887902697314E-2</v>
      </c>
      <c r="K892" s="38">
        <f>+K546/[11]Result!$L$28</f>
        <v>6.2108284834505589E-2</v>
      </c>
      <c r="L892" s="32">
        <f>+L546/[12]Result!$L$28</f>
        <v>-3.704822303093502E-4</v>
      </c>
      <c r="M892" s="32">
        <f>+M546/[13]Result!$L$28</f>
        <v>2.2400967003575793E-2</v>
      </c>
      <c r="N892" s="42"/>
    </row>
    <row r="893" spans="2:14" hidden="1" outlineLevel="2" x14ac:dyDescent="0.25">
      <c r="B893" s="17" t="s">
        <v>30</v>
      </c>
      <c r="C893" s="32">
        <f>+C547/[15]Result!$L$29</f>
        <v>1.9976222700137571E-2</v>
      </c>
      <c r="D893" s="28">
        <f>+D547/[1]Result!$L$29</f>
        <v>-2.3385277320249812E-2</v>
      </c>
      <c r="E893" s="38">
        <f>+E547/[5]Result!$L$29</f>
        <v>2.9438053016103638E-2</v>
      </c>
      <c r="F893" s="28">
        <f>+F547/[6]Result!$L$29</f>
        <v>-2.603932743619411E-2</v>
      </c>
      <c r="G893" s="28">
        <f>+G547/[7]Result!$L$29</f>
        <v>2.5117985630947762E-2</v>
      </c>
      <c r="H893" s="38">
        <f>+H547/[8]Result!$L$29</f>
        <v>2.6015620727607689E-2</v>
      </c>
      <c r="I893" s="32">
        <f>+I547/[9]Result!$L$29</f>
        <v>1.1551295940770626E-2</v>
      </c>
      <c r="J893" s="32">
        <f>+J547/[10]Result!$L$29</f>
        <v>1.0016691696452763E-2</v>
      </c>
      <c r="K893" s="38">
        <f>+K547/[11]Result!$L$29</f>
        <v>5.0074925484610074E-2</v>
      </c>
      <c r="L893" s="32">
        <f>+L547/[12]Result!$L$29</f>
        <v>-5.7284680368133213E-5</v>
      </c>
      <c r="M893" s="32">
        <f>+M547/[13]Result!$L$29</f>
        <v>2.0262177598286486E-2</v>
      </c>
      <c r="N893" s="42"/>
    </row>
    <row r="894" spans="2:14" hidden="1" outlineLevel="2" x14ac:dyDescent="0.25">
      <c r="B894" s="17" t="s">
        <v>31</v>
      </c>
      <c r="C894" s="32">
        <f>+C548/[15]Result!$L$30</f>
        <v>1.8289600207733084E-2</v>
      </c>
      <c r="D894" s="28">
        <f>+D548/[1]Result!$L$30</f>
        <v>-2.2398470771455004E-2</v>
      </c>
      <c r="E894" s="38">
        <f>+E548/[5]Result!$L$30</f>
        <v>2.1388994226603602E-2</v>
      </c>
      <c r="F894" s="28">
        <f>+F548/[6]Result!$L$30</f>
        <v>-2.3167591004177646E-2</v>
      </c>
      <c r="G894" s="28">
        <f>+G548/[7]Result!$L$30</f>
        <v>2.420942415119566E-2</v>
      </c>
      <c r="H894" s="38">
        <f>+H548/[8]Result!$L$30</f>
        <v>1.6913180855195609E-2</v>
      </c>
      <c r="I894" s="32">
        <f>+I548/[9]Result!$L$30</f>
        <v>1.0657032183571051E-2</v>
      </c>
      <c r="J894" s="32">
        <f>+J548/[10]Result!$L$30</f>
        <v>9.3086947952950704E-3</v>
      </c>
      <c r="K894" s="38">
        <f>+K548/[11]Result!$L$30</f>
        <v>6.4499747989152353E-2</v>
      </c>
      <c r="L894" s="32">
        <f>+L548/[12]Result!$L$30</f>
        <v>-2.8380751563223988E-4</v>
      </c>
      <c r="M894" s="32">
        <f>+M548/[13]Result!$L$30</f>
        <v>1.8699465780695635E-2</v>
      </c>
      <c r="N894" s="42"/>
    </row>
    <row r="895" spans="2:14" hidden="1" outlineLevel="2" x14ac:dyDescent="0.25">
      <c r="B895" s="17" t="s">
        <v>32</v>
      </c>
      <c r="C895" s="32">
        <f>+C549/[15]Result!$L$31</f>
        <v>1.7447114463649577E-2</v>
      </c>
      <c r="D895" s="28">
        <f>+D549/[1]Result!$L$31</f>
        <v>-2.0882868498494186E-2</v>
      </c>
      <c r="E895" s="38">
        <f>+E549/[5]Result!$L$31</f>
        <v>2.1949726115892743E-2</v>
      </c>
      <c r="F895" s="28">
        <f>+F549/[6]Result!$L$31</f>
        <v>-2.0842153138937603E-2</v>
      </c>
      <c r="G895" s="28">
        <f>+G549/[7]Result!$L$31</f>
        <v>2.251966125479804E-2</v>
      </c>
      <c r="H895" s="38">
        <f>+H549/[8]Result!$L$31</f>
        <v>1.5481662898998355E-2</v>
      </c>
      <c r="I895" s="32">
        <f>+I549/[9]Result!$L$31</f>
        <v>9.2309426735576305E-3</v>
      </c>
      <c r="J895" s="32">
        <f>+J549/[10]Result!$L$31</f>
        <v>9.4132411623852729E-3</v>
      </c>
      <c r="K895" s="38">
        <f>+K549/[11]Result!$L$31</f>
        <v>8.4657318213533533E-2</v>
      </c>
      <c r="L895" s="32">
        <f>+L549/[12]Result!$L$31</f>
        <v>4.0564852568939223E-4</v>
      </c>
      <c r="M895" s="32">
        <f>+M549/[13]Result!$L$31</f>
        <v>1.6611854403337758E-2</v>
      </c>
      <c r="N895" s="42"/>
    </row>
    <row r="896" spans="2:14" hidden="1" outlineLevel="2" x14ac:dyDescent="0.25">
      <c r="B896" s="17" t="s">
        <v>33</v>
      </c>
      <c r="C896" s="32">
        <f>+C550/[15]Result!$L$32</f>
        <v>1.755031178054808E-2</v>
      </c>
      <c r="D896" s="28">
        <f>+D550/[1]Result!$L$32</f>
        <v>-2.0266137147946391E-2</v>
      </c>
      <c r="E896" s="38">
        <f>+E550/[5]Result!$L$32</f>
        <v>2.4040761341359067E-2</v>
      </c>
      <c r="F896" s="28">
        <f>+F550/[6]Result!$L$32</f>
        <v>-1.9190022681727776E-2</v>
      </c>
      <c r="G896" s="28">
        <f>+G550/[7]Result!$L$32</f>
        <v>2.1005462815351237E-2</v>
      </c>
      <c r="H896" s="38">
        <f>+H550/[8]Result!$L$32</f>
        <v>1.7766325729475826E-2</v>
      </c>
      <c r="I896" s="32">
        <f>+I550/[9]Result!$L$32</f>
        <v>7.8157412608650719E-3</v>
      </c>
      <c r="J896" s="32">
        <f>+J550/[10]Result!$L$32</f>
        <v>8.2791890256039228E-3</v>
      </c>
      <c r="K896" s="38">
        <f>+K550/[11]Result!$L$32</f>
        <v>0.13543006610987246</v>
      </c>
      <c r="L896" s="32">
        <f>+L550/[12]Result!$L$32</f>
        <v>2.7229775963527722E-4</v>
      </c>
      <c r="M896" s="32">
        <f>+M550/[13]Result!$L$32</f>
        <v>1.5393913991209681E-2</v>
      </c>
      <c r="N896" s="42"/>
    </row>
    <row r="897" spans="2:14" hidden="1" outlineLevel="2" x14ac:dyDescent="0.25">
      <c r="B897" s="17" t="s">
        <v>34</v>
      </c>
      <c r="C897" s="32">
        <f>+C551/[15]Result!$L$33</f>
        <v>1.6111284731534153E-2</v>
      </c>
      <c r="D897" s="28">
        <f>+D551/[1]Result!$L$33</f>
        <v>-1.9893383697035878E-2</v>
      </c>
      <c r="E897" s="38">
        <f>+E551/[5]Result!$L$33</f>
        <v>0.10792998940817153</v>
      </c>
      <c r="F897" s="28">
        <f>+F551/[6]Result!$L$33</f>
        <v>-1.672160392869702E-2</v>
      </c>
      <c r="G897" s="28">
        <f>+G551/[7]Result!$L$33</f>
        <v>1.9763777720338663E-2</v>
      </c>
      <c r="H897" s="38">
        <f>+H551/[8]Result!$L$33</f>
        <v>0.1178565288240265</v>
      </c>
      <c r="I897" s="32">
        <f>+I551/[9]Result!$L$33</f>
        <v>6.2808546876561002E-3</v>
      </c>
      <c r="J897" s="32">
        <f>+J551/[10]Result!$L$33</f>
        <v>7.7043225370351139E-3</v>
      </c>
      <c r="K897" s="38">
        <f>+K551/[11]Result!$L$33</f>
        <v>0.1566372535705382</v>
      </c>
      <c r="L897" s="32">
        <f>+L551/[12]Result!$L$33</f>
        <v>0</v>
      </c>
      <c r="M897" s="32">
        <f>+M551/[13]Result!$L$33</f>
        <v>1.420534242021201E-2</v>
      </c>
      <c r="N897" s="42"/>
    </row>
    <row r="898" spans="2:14" hidden="1" outlineLevel="2" x14ac:dyDescent="0.25">
      <c r="B898" s="17" t="s">
        <v>35</v>
      </c>
      <c r="C898" s="32">
        <f>+C552/[15]Result!$L$34</f>
        <v>1.403772832974145E-2</v>
      </c>
      <c r="D898" s="28">
        <f>+D552/[1]Result!$L$34</f>
        <v>-1.8188795573879635E-2</v>
      </c>
      <c r="E898" s="38">
        <f>+E552/[5]Result!$L$34</f>
        <v>9.759066221276759E-2</v>
      </c>
      <c r="F898" s="28">
        <f>+F552/[6]Result!$L$34</f>
        <v>-1.4305277062019294E-2</v>
      </c>
      <c r="G898" s="28">
        <f>+G552/[7]Result!$L$34</f>
        <v>1.7155354673629671E-2</v>
      </c>
      <c r="H898" s="38">
        <f>+H552/[8]Result!$L$34</f>
        <v>0.10947309647114173</v>
      </c>
      <c r="I898" s="32">
        <f>+I552/[9]Result!$L$34</f>
        <v>5.4903387042216029E-3</v>
      </c>
      <c r="J898" s="32">
        <f>+J552/[10]Result!$L$34</f>
        <v>7.2669329960899946E-3</v>
      </c>
      <c r="K898" s="38">
        <f>+K552/[11]Result!$L$34</f>
        <v>3.5050071458223864E-3</v>
      </c>
      <c r="L898" s="32">
        <f>+L552/[12]Result!$L$34</f>
        <v>0</v>
      </c>
      <c r="M898" s="32">
        <f>+M552/[13]Result!$L$34</f>
        <v>1.2404798395564539E-2</v>
      </c>
      <c r="N898" s="42"/>
    </row>
    <row r="899" spans="2:14" hidden="1" outlineLevel="1" collapsed="1" x14ac:dyDescent="0.25">
      <c r="B899" s="16" t="s">
        <v>36</v>
      </c>
      <c r="C899" s="32">
        <f>+C553/'[15]Stat by Mat 2'!$G$7</f>
        <v>9.9232313673760213E-3</v>
      </c>
      <c r="D899" s="28">
        <f>+D553/'[1]Stat by Mat 2'!$G$7</f>
        <v>-1.2893589295359177E-2</v>
      </c>
      <c r="E899" s="38">
        <f>+E553/'[5]Stat by Mat 2'!$G$7</f>
        <v>6.4549004194440054E-2</v>
      </c>
      <c r="F899" s="28">
        <f>+F553/'[6]Stat by Mat 2'!$G$7</f>
        <v>-9.7312480880145762E-3</v>
      </c>
      <c r="G899" s="28">
        <f>+G553/'[7]Stat by Mat 2'!$G$7</f>
        <v>1.1470833632102308E-2</v>
      </c>
      <c r="H899" s="38">
        <f>+H553/'[8]Stat by Mat 2'!$G$7</f>
        <v>7.3616561904268657E-2</v>
      </c>
      <c r="I899" s="32">
        <f>+I553/'[9]Stat by Mat 2'!$G$7</f>
        <v>3.4872109848531102E-3</v>
      </c>
      <c r="J899" s="32">
        <f>+J553/'[10]Stat by Mat 2'!$G$7</f>
        <v>4.1259182792583267E-3</v>
      </c>
      <c r="K899" s="38">
        <f>+K553/'[11]Stat by Mat 2'!$G$7</f>
        <v>3.4643485783763021E-2</v>
      </c>
      <c r="L899" s="32">
        <f>+L553/'[12]Stat by Mat 2'!$G$7</f>
        <v>4.7356539921395853E-5</v>
      </c>
      <c r="M899" s="32">
        <f>+M553/'[13]Stat by Mat 2'!$G$7</f>
        <v>6.5133077425353885E-3</v>
      </c>
      <c r="N899" s="42"/>
    </row>
    <row r="900" spans="2:14" hidden="1" outlineLevel="2" x14ac:dyDescent="0.25">
      <c r="B900" s="17" t="s">
        <v>37</v>
      </c>
      <c r="C900" s="32">
        <f>+C554/[15]Result!$L$35</f>
        <v>1.2840080795124156E-2</v>
      </c>
      <c r="D900" s="28">
        <f>+D554/[1]Result!$L$35</f>
        <v>-1.6648675998851573E-2</v>
      </c>
      <c r="E900" s="38">
        <f>+E554/[5]Result!$L$35</f>
        <v>8.3865736341604671E-2</v>
      </c>
      <c r="F900" s="28">
        <f>+F554/[6]Result!$L$35</f>
        <v>-1.3187854773770675E-2</v>
      </c>
      <c r="G900" s="28">
        <f>+G554/[7]Result!$L$35</f>
        <v>1.5251916374765547E-2</v>
      </c>
      <c r="H900" s="38">
        <f>+H554/[8]Result!$L$35</f>
        <v>8.6095614061709083E-2</v>
      </c>
      <c r="I900" s="32">
        <f>+I554/[9]Result!$L$35</f>
        <v>4.8671777848124289E-3</v>
      </c>
      <c r="J900" s="32">
        <f>+J554/[10]Result!$L$35</f>
        <v>6.311661995069366E-3</v>
      </c>
      <c r="K900" s="38">
        <f>+K554/[11]Result!$L$35</f>
        <v>1.1080741213176837E-2</v>
      </c>
      <c r="L900" s="32">
        <f>+L554/[12]Result!$L$35</f>
        <v>5.3957858497849032E-4</v>
      </c>
      <c r="M900" s="32">
        <f>+M554/[13]Result!$L$35</f>
        <v>1.0120984637223345E-2</v>
      </c>
      <c r="N900" s="42"/>
    </row>
    <row r="901" spans="2:14" hidden="1" outlineLevel="2" x14ac:dyDescent="0.25">
      <c r="B901" s="17" t="s">
        <v>38</v>
      </c>
      <c r="C901" s="32">
        <f>+C555/[15]Result!$L$36</f>
        <v>1.1671090121123079E-2</v>
      </c>
      <c r="D901" s="28">
        <f>+D555/[1]Result!$L$36</f>
        <v>-1.5117036011669159E-2</v>
      </c>
      <c r="E901" s="38">
        <f>+E555/[5]Result!$L$36</f>
        <v>6.4163731551859754E-2</v>
      </c>
      <c r="F901" s="28">
        <f>+F555/[6]Result!$L$36</f>
        <v>-1.1988062022041626E-2</v>
      </c>
      <c r="G901" s="28">
        <f>+G555/[7]Result!$L$36</f>
        <v>1.4152391186834196E-2</v>
      </c>
      <c r="H901" s="38">
        <f>+H555/[8]Result!$L$36</f>
        <v>6.7092120886661291E-2</v>
      </c>
      <c r="I901" s="32">
        <f>+I555/[9]Result!$L$36</f>
        <v>4.1210129503566513E-3</v>
      </c>
      <c r="J901" s="32">
        <f>+J555/[10]Result!$L$36</f>
        <v>5.3630525815653576E-3</v>
      </c>
      <c r="K901" s="38">
        <f>+K555/[11]Result!$L$36</f>
        <v>3.9414328769793332E-2</v>
      </c>
      <c r="L901" s="32">
        <f>+L555/[12]Result!$L$36</f>
        <v>3.7693192544770426E-4</v>
      </c>
      <c r="M901" s="32">
        <f>+M555/[13]Result!$L$36</f>
        <v>8.5579461240435205E-3</v>
      </c>
      <c r="N901" s="42"/>
    </row>
    <row r="902" spans="2:14" hidden="1" outlineLevel="2" x14ac:dyDescent="0.25">
      <c r="B902" s="17" t="s">
        <v>39</v>
      </c>
      <c r="C902" s="32">
        <f>+C556/[15]Result!$L$37</f>
        <v>1.0702293786012739E-2</v>
      </c>
      <c r="D902" s="28">
        <f>+D556/[1]Result!$L$37</f>
        <v>-1.3774028232317501E-2</v>
      </c>
      <c r="E902" s="38">
        <f>+E556/[5]Result!$L$37</f>
        <v>6.5068764835900364E-2</v>
      </c>
      <c r="F902" s="28">
        <f>+F556/[6]Result!$L$37</f>
        <v>-1.0234566193871135E-2</v>
      </c>
      <c r="G902" s="28">
        <f>+G556/[7]Result!$L$37</f>
        <v>1.2463897950001317E-2</v>
      </c>
      <c r="H902" s="38">
        <f>+H556/[8]Result!$L$37</f>
        <v>6.5267182833466275E-2</v>
      </c>
      <c r="I902" s="32">
        <f>+I556/[9]Result!$L$37</f>
        <v>3.5640943525176456E-3</v>
      </c>
      <c r="J902" s="32">
        <f>+J556/[10]Result!$L$37</f>
        <v>4.4329044262222768E-3</v>
      </c>
      <c r="K902" s="38">
        <f>+K556/[11]Result!$L$37</f>
        <v>7.4943638013121497E-2</v>
      </c>
      <c r="L902" s="32">
        <f>+L556/[12]Result!$L$37</f>
        <v>-3.266400810539299E-4</v>
      </c>
      <c r="M902" s="32">
        <f>+M556/[13]Result!$L$37</f>
        <v>7.5713658737159868E-3</v>
      </c>
      <c r="N902" s="42"/>
    </row>
    <row r="903" spans="2:14" hidden="1" outlineLevel="2" x14ac:dyDescent="0.25">
      <c r="B903" s="17" t="s">
        <v>40</v>
      </c>
      <c r="C903" s="32">
        <f>+C557/[15]Result!$L$38</f>
        <v>9.7670446267977985E-3</v>
      </c>
      <c r="D903" s="28">
        <f>+D557/[1]Result!$L$38</f>
        <v>-1.2615581213484434E-2</v>
      </c>
      <c r="E903" s="38">
        <f>+E557/[5]Result!$L$38</f>
        <v>6.944404403663243E-2</v>
      </c>
      <c r="F903" s="28">
        <f>+F557/[6]Result!$L$38</f>
        <v>-8.8044072755387361E-3</v>
      </c>
      <c r="G903" s="28">
        <f>+G557/[7]Result!$L$38</f>
        <v>1.0655872579867803E-2</v>
      </c>
      <c r="H903" s="38">
        <f>+H557/[8]Result!$L$38</f>
        <v>6.7133109490030721E-2</v>
      </c>
      <c r="I903" s="32">
        <f>+I557/[9]Result!$L$38</f>
        <v>3.765827660274803E-3</v>
      </c>
      <c r="J903" s="32">
        <f>+J557/[10]Result!$L$38</f>
        <v>3.5109568385893971E-3</v>
      </c>
      <c r="K903" s="38">
        <f>+K557/[11]Result!$L$38</f>
        <v>4.0884491274334904E-2</v>
      </c>
      <c r="L903" s="32">
        <f>+L557/[12]Result!$L$38</f>
        <v>-3.3636144281061031E-4</v>
      </c>
      <c r="M903" s="32">
        <f>+M557/[13]Result!$L$38</f>
        <v>5.9543037737777886E-3</v>
      </c>
      <c r="N903" s="42"/>
    </row>
    <row r="904" spans="2:14" hidden="1" outlineLevel="2" x14ac:dyDescent="0.25">
      <c r="B904" s="17" t="s">
        <v>41</v>
      </c>
      <c r="C904" s="32">
        <f>+C558/[15]Result!$L$39</f>
        <v>7.8762826238856845E-3</v>
      </c>
      <c r="D904" s="28">
        <f>+D558/[1]Result!$L$39</f>
        <v>-1.0518026198637623E-2</v>
      </c>
      <c r="E904" s="38">
        <f>+E558/[5]Result!$L$39</f>
        <v>3.7946653251132029E-2</v>
      </c>
      <c r="F904" s="28">
        <f>+F558/[6]Result!$L$39</f>
        <v>-7.4581667480812259E-3</v>
      </c>
      <c r="G904" s="28">
        <f>+G558/[7]Result!$L$39</f>
        <v>9.1065468847888794E-3</v>
      </c>
      <c r="H904" s="38">
        <f>+H558/[8]Result!$L$39</f>
        <v>5.2919702007589768E-2</v>
      </c>
      <c r="I904" s="32">
        <f>+I558/[9]Result!$L$39</f>
        <v>3.6563531248993285E-3</v>
      </c>
      <c r="J904" s="32">
        <f>+J558/[10]Result!$L$39</f>
        <v>2.7817657101514132E-3</v>
      </c>
      <c r="K904" s="38">
        <f>+K558/[11]Result!$L$39</f>
        <v>1.9902503048175601E-2</v>
      </c>
      <c r="L904" s="32">
        <f>+L558/[12]Result!$L$39</f>
        <v>-3.4608138901637725E-4</v>
      </c>
      <c r="M904" s="32">
        <f>+M558/[13]Result!$L$39</f>
        <v>4.5434475090998846E-3</v>
      </c>
      <c r="N904" s="42"/>
    </row>
    <row r="905" spans="2:14" hidden="1" outlineLevel="2" x14ac:dyDescent="0.25">
      <c r="B905" s="17" t="s">
        <v>42</v>
      </c>
      <c r="C905" s="32">
        <f>+C559/[15]Result!$L$40</f>
        <v>6.842494423606231E-3</v>
      </c>
      <c r="D905" s="28">
        <f>+D559/[1]Result!$L$40</f>
        <v>-9.2568414445505787E-3</v>
      </c>
      <c r="E905" s="38">
        <f>+E559/[5]Result!$L$40</f>
        <v>4.2235579125224437E-2</v>
      </c>
      <c r="F905" s="28">
        <f>+F559/[6]Result!$L$40</f>
        <v>-6.3274026355447854E-3</v>
      </c>
      <c r="G905" s="28">
        <f>+G559/[7]Result!$L$40</f>
        <v>7.5976917562738085E-3</v>
      </c>
      <c r="H905" s="38">
        <f>+H559/[8]Result!$L$40</f>
        <v>6.5671521520426906E-2</v>
      </c>
      <c r="I905" s="32">
        <f>+I559/[9]Result!$L$40</f>
        <v>2.1095452620327523E-3</v>
      </c>
      <c r="J905" s="32">
        <f>+J559/[10]Result!$L$40</f>
        <v>2.0811966086770584E-3</v>
      </c>
      <c r="K905" s="38">
        <f>+K559/[11]Result!$L$40</f>
        <v>5.0958102358007552E-2</v>
      </c>
      <c r="L905" s="32">
        <f>+L559/[12]Result!$L$40</f>
        <v>-5.3587744626369563E-4</v>
      </c>
      <c r="M905" s="32">
        <f>+M559/[13]Result!$L$40</f>
        <v>3.1765119953537824E-3</v>
      </c>
      <c r="N905" s="42"/>
    </row>
    <row r="906" spans="2:14" hidden="1" outlineLevel="2" x14ac:dyDescent="0.25">
      <c r="B906" s="17" t="s">
        <v>43</v>
      </c>
      <c r="C906" s="32">
        <f>+C560/[15]Result!$L$41</f>
        <v>5.8515054230837684E-3</v>
      </c>
      <c r="D906" s="28">
        <f>+D560/[1]Result!$L$41</f>
        <v>-8.227941822726334E-3</v>
      </c>
      <c r="E906" s="38">
        <f>+E560/[5]Result!$L$41</f>
        <v>5.6125703321331086E-2</v>
      </c>
      <c r="F906" s="28">
        <f>+F560/[6]Result!$L$41</f>
        <v>-5.0733226677733773E-3</v>
      </c>
      <c r="G906" s="28">
        <f>+G560/[7]Result!$L$41</f>
        <v>5.9632028807703819E-3</v>
      </c>
      <c r="H906" s="38">
        <f>+H560/[8]Result!$L$41</f>
        <v>7.5368299686966608E-2</v>
      </c>
      <c r="I906" s="32">
        <f>+I560/[9]Result!$L$41</f>
        <v>1.4950779145987566E-3</v>
      </c>
      <c r="J906" s="32">
        <f>+J560/[10]Result!$L$41</f>
        <v>1.2237727090596065E-3</v>
      </c>
      <c r="K906" s="38">
        <f>+K560/[11]Result!$L$41</f>
        <v>8.5409197098529427E-2</v>
      </c>
      <c r="L906" s="32">
        <f>+L560/[12]Result!$L$41</f>
        <v>-5.460971510362916E-4</v>
      </c>
      <c r="M906" s="32">
        <f>+M560/[13]Result!$L$41</f>
        <v>1.6679728987032329E-3</v>
      </c>
      <c r="N906" s="42"/>
    </row>
    <row r="907" spans="2:14" hidden="1" outlineLevel="2" x14ac:dyDescent="0.25">
      <c r="B907" s="17" t="s">
        <v>44</v>
      </c>
      <c r="C907" s="32">
        <f>+C561/[15]Result!$L$42</f>
        <v>4.9177086118416683E-3</v>
      </c>
      <c r="D907" s="28">
        <f>+D561/[1]Result!$L$42</f>
        <v>-6.4235008153578702E-3</v>
      </c>
      <c r="E907" s="38">
        <f>+E561/[5]Result!$L$42</f>
        <v>8.1446622337613281E-2</v>
      </c>
      <c r="F907" s="28">
        <f>+F561/[6]Result!$L$42</f>
        <v>-4.4759057942642105E-3</v>
      </c>
      <c r="G907" s="28">
        <f>+G561/[7]Result!$L$42</f>
        <v>5.1720902293584826E-3</v>
      </c>
      <c r="H907" s="38">
        <f>+H561/[8]Result!$L$42</f>
        <v>9.1375384014241307E-2</v>
      </c>
      <c r="I907" s="32">
        <f>+I561/[9]Result!$L$42</f>
        <v>8.9596513625254026E-4</v>
      </c>
      <c r="J907" s="32">
        <f>+J561/[10]Result!$L$42</f>
        <v>1.0945606521889904E-3</v>
      </c>
      <c r="K907" s="38">
        <f>+K561/[11]Result!$L$42</f>
        <v>0.11632928058794396</v>
      </c>
      <c r="L907" s="32">
        <f>+L561/[12]Result!$L$42</f>
        <v>-5.6484590127485967E-4</v>
      </c>
      <c r="M907" s="32">
        <f>+M561/[13]Result!$L$42</f>
        <v>1.9786566252326152E-4</v>
      </c>
      <c r="N907" s="42"/>
    </row>
    <row r="908" spans="2:14" hidden="1" outlineLevel="2" x14ac:dyDescent="0.25">
      <c r="B908" s="17" t="s">
        <v>45</v>
      </c>
      <c r="C908" s="32">
        <f>+C562/[15]Result!$L$43</f>
        <v>4.8283261858580572E-3</v>
      </c>
      <c r="D908" s="28">
        <f>+D562/[1]Result!$L$43</f>
        <v>-5.4659373046755553E-3</v>
      </c>
      <c r="E908" s="38">
        <f>+E562/[5]Result!$L$43</f>
        <v>8.5118336012179469E-2</v>
      </c>
      <c r="F908" s="28">
        <f>+F562/[6]Result!$L$43</f>
        <v>-3.729450063833707E-3</v>
      </c>
      <c r="G908" s="28">
        <f>+G562/[7]Result!$L$43</f>
        <v>4.2319639734184388E-3</v>
      </c>
      <c r="H908" s="38">
        <f>+H562/[8]Result!$L$43</f>
        <v>7.194498621573972E-2</v>
      </c>
      <c r="I908" s="32">
        <f>+I562/[9]Result!$L$43</f>
        <v>1.2955857819564506E-4</v>
      </c>
      <c r="J908" s="32">
        <f>+J562/[10]Result!$L$43</f>
        <v>2.6355010180080383E-4</v>
      </c>
      <c r="K908" s="38">
        <f>+K562/[11]Result!$L$43</f>
        <v>3.1243183991879985E-2</v>
      </c>
      <c r="L908" s="32">
        <f>+L562/[12]Result!$L$43</f>
        <v>-4.400870886960256E-5</v>
      </c>
      <c r="M908" s="32">
        <f>+M562/[13]Result!$L$43</f>
        <v>-1.0484994907478964E-3</v>
      </c>
      <c r="N908" s="42"/>
    </row>
    <row r="909" spans="2:14" hidden="1" outlineLevel="2" x14ac:dyDescent="0.25">
      <c r="B909" s="17" t="s">
        <v>46</v>
      </c>
      <c r="C909" s="32">
        <f>+C563/[15]Result!$L$44</f>
        <v>3.9477901052268347E-3</v>
      </c>
      <c r="D909" s="28">
        <f>+D563/[1]Result!$L$44</f>
        <v>-4.5698333662012062E-3</v>
      </c>
      <c r="E909" s="38">
        <f>+E563/[5]Result!$L$44</f>
        <v>-1.4179790934305738E-2</v>
      </c>
      <c r="F909" s="28">
        <f>+F563/[6]Result!$L$44</f>
        <v>-2.2327274432173785E-3</v>
      </c>
      <c r="G909" s="28">
        <f>+G563/[7]Result!$L$44</f>
        <v>2.5444363677718184E-3</v>
      </c>
      <c r="H909" s="38">
        <f>+H563/[8]Result!$L$44</f>
        <v>9.248966649221331E-2</v>
      </c>
      <c r="I909" s="32">
        <f>+I563/[9]Result!$L$44</f>
        <v>-4.2627744322215876E-4</v>
      </c>
      <c r="J909" s="32">
        <f>+J563/[10]Result!$L$44</f>
        <v>-5.5522345058371572E-4</v>
      </c>
      <c r="K909" s="38">
        <f>+K563/[11]Result!$L$44</f>
        <v>-6.7362234677896565E-2</v>
      </c>
      <c r="L909" s="32">
        <f>+L563/[12]Result!$L$44</f>
        <v>6.7105413555916093E-4</v>
      </c>
      <c r="M909" s="32">
        <f>+M563/[13]Result!$L$44</f>
        <v>-2.4505254434208056E-3</v>
      </c>
      <c r="N909" s="42"/>
    </row>
    <row r="910" spans="2:14" hidden="1" outlineLevel="2" x14ac:dyDescent="0.25">
      <c r="B910" s="17" t="s">
        <v>47</v>
      </c>
      <c r="C910" s="32">
        <f>+C564/[15]Result!$L$45</f>
        <v>2.4690013680638799E-3</v>
      </c>
      <c r="D910" s="28">
        <f>+D564/[1]Result!$L$45</f>
        <v>-2.8874100733546743E-3</v>
      </c>
      <c r="E910" s="38">
        <f>+E564/[5]Result!$L$45</f>
        <v>2.2762301880871693E-3</v>
      </c>
      <c r="F910" s="28">
        <f>+F564/[6]Result!$L$45</f>
        <v>-9.6492299051639178E-4</v>
      </c>
      <c r="G910" s="28">
        <f>+G564/[7]Result!$L$45</f>
        <v>1.0914072901576917E-3</v>
      </c>
      <c r="H910" s="38">
        <f>+H564/[8]Result!$L$45</f>
        <v>9.7220404652623105E-2</v>
      </c>
      <c r="I910" s="32">
        <f>+I564/[9]Result!$L$45</f>
        <v>-9.6404292534275915E-4</v>
      </c>
      <c r="J910" s="32">
        <f>+J564/[10]Result!$L$45</f>
        <v>-1.1585454095831183E-3</v>
      </c>
      <c r="K910" s="38">
        <f>+K564/[11]Result!$L$45</f>
        <v>-6.9456345088554278E-2</v>
      </c>
      <c r="L910" s="32">
        <f>+L564/[12]Result!$L$45</f>
        <v>-7.4202543982906875E-5</v>
      </c>
      <c r="M910" s="32">
        <f>+M564/[13]Result!$L$45</f>
        <v>-3.287479820823184E-3</v>
      </c>
      <c r="N910" s="42"/>
    </row>
    <row r="911" spans="2:14" hidden="1" outlineLevel="2" x14ac:dyDescent="0.25">
      <c r="B911" s="17" t="s">
        <v>48</v>
      </c>
      <c r="C911" s="32">
        <f>+C565/[15]Result!$L$46</f>
        <v>1.6407466544217178E-3</v>
      </c>
      <c r="D911" s="28">
        <f>+D565/[1]Result!$L$46</f>
        <v>-1.8487614712920364E-3</v>
      </c>
      <c r="E911" s="38">
        <f>+E565/[5]Result!$L$46</f>
        <v>1.4581823835312639E-2</v>
      </c>
      <c r="F911" s="28">
        <f>+F565/[6]Result!$L$46</f>
        <v>-3.113378155545878E-4</v>
      </c>
      <c r="G911" s="28">
        <f>+G565/[7]Result!$L$46</f>
        <v>-3.2715657016517424E-4</v>
      </c>
      <c r="H911" s="38">
        <f>+H565/[8]Result!$L$46</f>
        <v>9.6624896113395795E-2</v>
      </c>
      <c r="I911" s="32">
        <f>+I565/[9]Result!$L$46</f>
        <v>-9.2801166371618256E-4</v>
      </c>
      <c r="J911" s="32">
        <f>+J565/[10]Result!$L$46</f>
        <v>-1.7447066726917278E-3</v>
      </c>
      <c r="K911" s="38">
        <f>+K565/[11]Result!$L$46</f>
        <v>-5.6829271137289541E-2</v>
      </c>
      <c r="L911" s="32">
        <f>+L565/[12]Result!$L$46</f>
        <v>-8.9663836559798429E-5</v>
      </c>
      <c r="M911" s="32">
        <f>+M565/[13]Result!$L$46</f>
        <v>-3.8849974068165291E-3</v>
      </c>
      <c r="N911" s="42"/>
    </row>
    <row r="912" spans="2:14" hidden="1" outlineLevel="2" x14ac:dyDescent="0.25">
      <c r="B912" s="17" t="s">
        <v>49</v>
      </c>
      <c r="C912" s="32">
        <f>+C566/[15]Result!$L$47</f>
        <v>1.4769011836830927E-3</v>
      </c>
      <c r="D912" s="28">
        <f>+D566/[1]Result!$L$47</f>
        <v>-1.6922764758956546E-3</v>
      </c>
      <c r="E912" s="38">
        <f>+E566/[5]Result!$L$47</f>
        <v>3.19478727048296E-2</v>
      </c>
      <c r="F912" s="28">
        <f>+F566/[6]Result!$L$47</f>
        <v>-3.0037703093031132E-4</v>
      </c>
      <c r="G912" s="28">
        <f>+G566/[7]Result!$L$47</f>
        <v>-1.1030177077003551E-3</v>
      </c>
      <c r="H912" s="38">
        <f>+H566/[8]Result!$L$47</f>
        <v>8.4597468871101991E-2</v>
      </c>
      <c r="I912" s="32">
        <f>+I566/[9]Result!$L$47</f>
        <v>-1.6229689845888213E-3</v>
      </c>
      <c r="J912" s="32">
        <f>+J566/[10]Result!$L$47</f>
        <v>-1.7685975812386583E-3</v>
      </c>
      <c r="K912" s="38">
        <f>+K566/[11]Result!$L$47</f>
        <v>-4.6148731572920383E-2</v>
      </c>
      <c r="L912" s="32">
        <f>+L566/[12]Result!$L$47</f>
        <v>-1.0320076186220675E-4</v>
      </c>
      <c r="M912" s="32">
        <f>+M566/[13]Result!$L$47</f>
        <v>-5.1614393146345271E-3</v>
      </c>
      <c r="N912" s="42"/>
    </row>
    <row r="913" spans="2:15" hidden="1" outlineLevel="2" x14ac:dyDescent="0.25">
      <c r="B913" s="17" t="s">
        <v>50</v>
      </c>
      <c r="C913" s="32">
        <f>+C567/[15]Result!$L$48</f>
        <v>7.2118867433026155E-4</v>
      </c>
      <c r="D913" s="28">
        <f>+D567/[1]Result!$L$48</f>
        <v>-9.5108708701631503E-4</v>
      </c>
      <c r="E913" s="38">
        <f>+E567/[5]Result!$L$48</f>
        <v>1.7306188746251509E-2</v>
      </c>
      <c r="F913" s="28">
        <f>+F567/[6]Result!$L$48</f>
        <v>8.4496512427386478E-4</v>
      </c>
      <c r="G913" s="28">
        <f>+G567/[7]Result!$L$48</f>
        <v>-1.6258605141261735E-3</v>
      </c>
      <c r="H913" s="38">
        <f>+H567/[8]Result!$L$48</f>
        <v>7.3636682214488422E-2</v>
      </c>
      <c r="I913" s="32">
        <f>+I567/[9]Result!$L$48</f>
        <v>-2.3081592365604754E-3</v>
      </c>
      <c r="J913" s="32">
        <f>+J567/[10]Result!$L$48</f>
        <v>-2.5145316018450152E-3</v>
      </c>
      <c r="K913" s="38">
        <f>+K567/[11]Result!$L$48</f>
        <v>-4.5974768612548775E-2</v>
      </c>
      <c r="L913" s="32">
        <f>+L567/[12]Result!$L$48</f>
        <v>-1.1955275009140306E-4</v>
      </c>
      <c r="M913" s="32">
        <f>+M567/[13]Result!$L$48</f>
        <v>-6.6203116951186218E-3</v>
      </c>
      <c r="N913" s="42"/>
    </row>
    <row r="914" spans="2:15" hidden="1" outlineLevel="2" x14ac:dyDescent="0.25">
      <c r="B914" s="17" t="s">
        <v>51</v>
      </c>
      <c r="C914" s="32">
        <f>+C568/[15]Result!$L$49</f>
        <v>-8.482456694171984E-4</v>
      </c>
      <c r="D914" s="28">
        <f>+D568/[1]Result!$L$49</f>
        <v>5.9186954120340975E-4</v>
      </c>
      <c r="E914" s="38">
        <f>+E568/[5]Result!$L$49</f>
        <v>2.6072727255430701E-2</v>
      </c>
      <c r="F914" s="28">
        <f>+F568/[6]Result!$L$49</f>
        <v>2.1885119124241785E-3</v>
      </c>
      <c r="G914" s="28">
        <f>+G568/[7]Result!$L$49</f>
        <v>-2.1117654723444169E-3</v>
      </c>
      <c r="H914" s="38">
        <f>+H568/[8]Result!$L$49</f>
        <v>7.9913510919857961E-2</v>
      </c>
      <c r="I914" s="32">
        <f>+I568/[9]Result!$L$49</f>
        <v>-2.2215569844599146E-3</v>
      </c>
      <c r="J914" s="32">
        <f>+J568/[10]Result!$L$49</f>
        <v>-3.0413394951216912E-3</v>
      </c>
      <c r="K914" s="38">
        <f>+K568/[11]Result!$L$49</f>
        <v>-4.4187622907753826E-2</v>
      </c>
      <c r="L914" s="32">
        <f>+L568/[12]Result!$L$49</f>
        <v>6.2056787267504923E-4</v>
      </c>
      <c r="M914" s="32">
        <f>+M568/[13]Result!$L$49</f>
        <v>-7.1123585329163751E-3</v>
      </c>
      <c r="N914" s="42"/>
    </row>
    <row r="915" spans="2:15" hidden="1" outlineLevel="2" x14ac:dyDescent="0.25">
      <c r="B915" s="17" t="s">
        <v>52</v>
      </c>
      <c r="C915" s="32">
        <f>+C569/[15]Result!$L$50</f>
        <v>-1.7700848789763382E-3</v>
      </c>
      <c r="D915" s="28">
        <f>+D569/[1]Result!$L$50</f>
        <v>1.4768480767369282E-3</v>
      </c>
      <c r="E915" s="38">
        <f>+E569/[5]Result!$L$50</f>
        <v>2.1398757375780241E-2</v>
      </c>
      <c r="F915" s="28">
        <f>+F569/[6]Result!$L$50</f>
        <v>2.9177550332364819E-3</v>
      </c>
      <c r="G915" s="28">
        <f>+G569/[7]Result!$L$50</f>
        <v>-3.5762747369081651E-3</v>
      </c>
      <c r="H915" s="38">
        <f>+H569/[8]Result!$L$50</f>
        <v>8.0611754772621863E-2</v>
      </c>
      <c r="I915" s="32">
        <f>+I569/[9]Result!$L$50</f>
        <v>-2.650818346456548E-3</v>
      </c>
      <c r="J915" s="32">
        <f>+J569/[10]Result!$L$50</f>
        <v>-3.0126689140474619E-3</v>
      </c>
      <c r="K915" s="38">
        <f>+K569/[11]Result!$L$50</f>
        <v>-5.4079738353203441E-2</v>
      </c>
      <c r="L915" s="32">
        <f>+L569/[12]Result!$L$50</f>
        <v>-1.4620943328096347E-4</v>
      </c>
      <c r="M915" s="32">
        <f>+M569/[13]Result!$L$50</f>
        <v>-7.5416861445121797E-3</v>
      </c>
      <c r="N915" s="42"/>
    </row>
    <row r="916" spans="2:15" hidden="1" outlineLevel="2" x14ac:dyDescent="0.25">
      <c r="B916" s="17" t="s">
        <v>53</v>
      </c>
      <c r="C916" s="32">
        <f>+C570/[15]Result!$L$51</f>
        <v>-2.4413970043466989E-3</v>
      </c>
      <c r="D916" s="28">
        <f>+D570/[1]Result!$L$51</f>
        <v>2.0985103902306681E-3</v>
      </c>
      <c r="E916" s="38">
        <f>+E570/[5]Result!$L$51</f>
        <v>2.2474367739456984E-2</v>
      </c>
      <c r="F916" s="28">
        <f>+F570/[6]Result!$L$51</f>
        <v>3.630851411745877E-3</v>
      </c>
      <c r="G916" s="28">
        <f>+G570/[7]Result!$L$51</f>
        <v>-5.2519837584931537E-3</v>
      </c>
      <c r="H916" s="38">
        <f>+H570/[8]Result!$L$51</f>
        <v>9.2014426552012238E-2</v>
      </c>
      <c r="I916" s="32">
        <f>+I570/[9]Result!$L$51</f>
        <v>-3.2971373787845336E-3</v>
      </c>
      <c r="J916" s="32">
        <f>+J570/[10]Result!$L$51</f>
        <v>-3.7138542681427454E-3</v>
      </c>
      <c r="K916" s="38">
        <f>+K570/[11]Result!$L$51</f>
        <v>-6.7870682728238554E-2</v>
      </c>
      <c r="L916" s="32">
        <f>+L570/[12]Result!$L$51</f>
        <v>-1.6402452479597889E-4</v>
      </c>
      <c r="M916" s="32">
        <f>+M570/[13]Result!$L$51</f>
        <v>-8.9175464167863868E-3</v>
      </c>
      <c r="N916" s="42"/>
    </row>
    <row r="917" spans="2:15" hidden="1" outlineLevel="2" x14ac:dyDescent="0.25">
      <c r="B917" s="17" t="s">
        <v>54</v>
      </c>
      <c r="C917" s="32">
        <f>+C571/[15]Result!$L$52</f>
        <v>-3.0796624069462145E-3</v>
      </c>
      <c r="D917" s="28">
        <f>+D571/[1]Result!$L$52</f>
        <v>3.5424152759400986E-3</v>
      </c>
      <c r="E917" s="38">
        <f>+E571/[5]Result!$L$52</f>
        <v>-1.210628423340644E-2</v>
      </c>
      <c r="F917" s="28">
        <f>+F571/[6]Result!$L$52</f>
        <v>4.5374760418280397E-3</v>
      </c>
      <c r="G917" s="28">
        <f>+G571/[7]Result!$L$52</f>
        <v>-6.0753042278559781E-3</v>
      </c>
      <c r="H917" s="38">
        <f>+H571/[8]Result!$L$52</f>
        <v>0.12473389357711655</v>
      </c>
      <c r="I917" s="32">
        <f>+I571/[9]Result!$L$52</f>
        <v>-3.3804646289939525E-3</v>
      </c>
      <c r="J917" s="32">
        <f>+J571/[10]Result!$L$52</f>
        <v>-4.176233327766757E-3</v>
      </c>
      <c r="K917" s="38">
        <f>+K571/[11]Result!$L$52</f>
        <v>-7.7451746252001255E-2</v>
      </c>
      <c r="L917" s="32">
        <f>+L571/[12]Result!$L$52</f>
        <v>5.9151993305275581E-4</v>
      </c>
      <c r="M917" s="32">
        <f>+M571/[13]Result!$L$52</f>
        <v>-1.0037129178111032E-2</v>
      </c>
      <c r="N917" s="42"/>
    </row>
    <row r="918" spans="2:15" hidden="1" outlineLevel="2" x14ac:dyDescent="0.25">
      <c r="B918" s="17" t="s">
        <v>55</v>
      </c>
      <c r="C918" s="32">
        <f>+C572/[15]Result!$L$53</f>
        <v>-3.0872276806263089E-3</v>
      </c>
      <c r="D918" s="28">
        <f>+D572/[1]Result!$L$53</f>
        <v>4.3500406481477251E-3</v>
      </c>
      <c r="E918" s="38">
        <f>+E572/[5]Result!$L$53</f>
        <v>-3.9859405210690216E-2</v>
      </c>
      <c r="F918" s="28">
        <f>+F572/[6]Result!$L$53</f>
        <v>5.1927577142467244E-3</v>
      </c>
      <c r="G918" s="28">
        <f>+G572/[7]Result!$L$53</f>
        <v>-6.6415005462059718E-3</v>
      </c>
      <c r="H918" s="38">
        <f>+H572/[8]Result!$L$53</f>
        <v>7.1258802529635581E-2</v>
      </c>
      <c r="I918" s="32">
        <f>+I572/[9]Result!$L$53</f>
        <v>-3.2144085773507633E-3</v>
      </c>
      <c r="J918" s="32">
        <f>+J572/[10]Result!$L$53</f>
        <v>-5.09457125352244E-3</v>
      </c>
      <c r="K918" s="38">
        <f>+K572/[11]Result!$L$53</f>
        <v>-9.6004909217923012E-2</v>
      </c>
      <c r="L918" s="32">
        <f>+L572/[12]Result!$L$53</f>
        <v>-1.8926820908571885E-4</v>
      </c>
      <c r="M918" s="32">
        <f>+M572/[13]Result!$L$53</f>
        <v>-1.0605371123291685E-2</v>
      </c>
      <c r="N918" s="42"/>
    </row>
    <row r="919" spans="2:15" hidden="1" outlineLevel="2" x14ac:dyDescent="0.25">
      <c r="B919" s="17" t="s">
        <v>56</v>
      </c>
      <c r="C919" s="32">
        <f>+C573/[15]Result!$L$54</f>
        <v>-3.075270430426812E-3</v>
      </c>
      <c r="D919" s="28">
        <f>+D573/[1]Result!$L$54</f>
        <v>4.2590326110733788E-3</v>
      </c>
      <c r="E919" s="38">
        <f>+E573/[5]Result!$L$54</f>
        <v>-0.10501021221770922</v>
      </c>
      <c r="F919" s="28">
        <f>+F573/[6]Result!$L$54</f>
        <v>4.7336468288777488E-3</v>
      </c>
      <c r="G919" s="28">
        <f>+G573/[7]Result!$L$54</f>
        <v>-6.3395954594629121E-3</v>
      </c>
      <c r="H919" s="38">
        <f>+H573/[8]Result!$L$54</f>
        <v>0.12875208748158973</v>
      </c>
      <c r="I919" s="32">
        <f>+I573/[9]Result!$L$54</f>
        <v>-3.8185829514293533E-3</v>
      </c>
      <c r="J919" s="32">
        <f>+J573/[10]Result!$L$54</f>
        <v>-5.7687019329538142E-3</v>
      </c>
      <c r="K919" s="38">
        <f>+K573/[11]Result!$L$54</f>
        <v>-0.10359800250395163</v>
      </c>
      <c r="L919" s="32">
        <f>+L573/[12]Result!$L$54</f>
        <v>-9.8335311240197181E-4</v>
      </c>
      <c r="M919" s="32">
        <f>+M573/[13]Result!$L$54</f>
        <v>-1.0634098603461047E-2</v>
      </c>
      <c r="N919" s="42"/>
    </row>
    <row r="920" spans="2:15" collapsed="1" x14ac:dyDescent="0.25">
      <c r="B920" s="13" t="s">
        <v>92</v>
      </c>
      <c r="C920" s="32">
        <f>+C574/SUM([15]Result!$G$5:$G$54)</f>
        <v>-2.2398655479553098E-3</v>
      </c>
      <c r="D920" s="28">
        <f>+D574/SUM([1]Result!$G$5:$G$54)</f>
        <v>4.3041299421305232E-3</v>
      </c>
      <c r="E920" s="38">
        <f>+E574/SUM([5]Result!$G$5:$G$54)</f>
        <v>3.0595823112856982E-2</v>
      </c>
      <c r="F920" s="28">
        <f>+F574/SUM([6]Result!$G$5:$G$54)</f>
        <v>9.6194203173825404E-3</v>
      </c>
      <c r="G920" s="28">
        <f>+G574/SUM([7]Result!$G$5:$G$54)</f>
        <v>-2.3218274944265091E-3</v>
      </c>
      <c r="H920" s="38">
        <f>+H574/SUM([8]Result!$G$5:$G$54)</f>
        <v>-3.3832624066766244E-2</v>
      </c>
      <c r="I920" s="32">
        <f>+I574/SUM([9]Result!$G$5:$G$54)</f>
        <v>-3.1694256159126568E-3</v>
      </c>
      <c r="J920" s="32">
        <f>+J574/SUM([10]Result!$G$5:$G$54)</f>
        <v>8.4974319877440018E-4</v>
      </c>
      <c r="K920" s="38">
        <f>+K574/SUM([11]Result!$G$5:$G$54)</f>
        <v>4.5067593606233712E-4</v>
      </c>
      <c r="L920" s="32">
        <f>+L574/SUM([12]Result!$G$5:$G$54)</f>
        <v>1.166935982591992E-3</v>
      </c>
      <c r="M920" s="32">
        <f>+M574/SUM([13]Result!$G$5:$G$54)</f>
        <v>-2.8178216499150023E-3</v>
      </c>
      <c r="N920" s="42"/>
      <c r="O920" s="14"/>
    </row>
    <row r="921" spans="2:15" hidden="1" outlineLevel="1" x14ac:dyDescent="0.25">
      <c r="B921" s="16" t="s">
        <v>2</v>
      </c>
      <c r="C921" s="32">
        <f>+C575/'[15]Stat by Mat'!$J$3</f>
        <v>-1.4832850505729514E-3</v>
      </c>
      <c r="D921" s="28">
        <f>+D575/'[1]Stat by Mat'!$J$3</f>
        <v>3.1051172328543527E-3</v>
      </c>
      <c r="E921" s="38">
        <f>+E575/'[5]Stat by Mat'!$J$3</f>
        <v>4.9094400661680741E-2</v>
      </c>
      <c r="F921" s="28">
        <f>+F575/'[6]Stat by Mat'!$J$3</f>
        <v>6.7364213988711473E-3</v>
      </c>
      <c r="G921" s="28">
        <f>+G575/'[7]Stat by Mat'!$J$3</f>
        <v>-1.1100932749172009E-3</v>
      </c>
      <c r="H921" s="38">
        <f>+H575/'[8]Stat by Mat'!$J$3</f>
        <v>-3.8008366952277883E-2</v>
      </c>
      <c r="I921" s="32">
        <f>+I575/'[9]Stat by Mat'!$J$3</f>
        <v>-2.1361000865733519E-3</v>
      </c>
      <c r="J921" s="32">
        <f>+J575/'[10]Stat by Mat'!$J$3</f>
        <v>8.8052116865058362E-4</v>
      </c>
      <c r="K921" s="38">
        <f>+K575/'[11]Stat by Mat'!$J$3</f>
        <v>-3.3079742050542765E-4</v>
      </c>
      <c r="L921" s="32">
        <f>+L575/'[12]Stat by Mat'!$J$3</f>
        <v>6.5884180636848811E-4</v>
      </c>
      <c r="M921" s="32">
        <f>+M575/'[13]Stat by Mat'!$J$3</f>
        <v>-1.0240541785747446E-3</v>
      </c>
      <c r="N921" s="42"/>
    </row>
    <row r="922" spans="2:15" ht="15" hidden="1" customHeight="1" outlineLevel="2" x14ac:dyDescent="0.25">
      <c r="B922" s="17" t="s">
        <v>3</v>
      </c>
      <c r="C922" s="32">
        <f>+C576/[15]Result!$G$5</f>
        <v>-4.58097831538929E-4</v>
      </c>
      <c r="D922" s="28">
        <f>+D576/[1]Result!$G$5</f>
        <v>1.2398743714461689E-3</v>
      </c>
      <c r="E922" s="38">
        <f>+E576/[5]Result!$G$5</f>
        <v>2.4318451118660205E-3</v>
      </c>
      <c r="F922" s="28">
        <f>+F576/[6]Result!$G$5</f>
        <v>2.3086423259096852E-3</v>
      </c>
      <c r="G922" s="28">
        <f>+G576/[7]Result!$G$5</f>
        <v>-1.3356437375016734E-4</v>
      </c>
      <c r="H922" s="38">
        <f>+H576/[8]Result!$G$5</f>
        <v>-9.1421276648842101E-2</v>
      </c>
      <c r="I922" s="32">
        <f>+I576/[9]Result!$G$5</f>
        <v>-5.5227766812010535E-4</v>
      </c>
      <c r="J922" s="32">
        <f>+J576/[10]Result!$G$5</f>
        <v>7.138483779327141E-5</v>
      </c>
      <c r="K922" s="38">
        <f>+K576/[11]Result!$G$5</f>
        <v>-5.3814940014785359E-2</v>
      </c>
      <c r="L922" s="32">
        <f>+L576/[12]Result!$G$5</f>
        <v>-4.2764775682573429E-5</v>
      </c>
      <c r="M922" s="32">
        <f>+M576/[13]Result!$G$5</f>
        <v>-9.5010262149647611E-5</v>
      </c>
      <c r="N922" s="42"/>
    </row>
    <row r="923" spans="2:15" hidden="1" outlineLevel="2" x14ac:dyDescent="0.25">
      <c r="B923" s="17" t="s">
        <v>4</v>
      </c>
      <c r="C923" s="32">
        <f>+C577/[15]Result!$G$6</f>
        <v>-1.6028462919979649E-3</v>
      </c>
      <c r="D923" s="28">
        <f>+D577/[1]Result!$G$6</f>
        <v>3.339931350358206E-3</v>
      </c>
      <c r="E923" s="38">
        <f>+E577/[5]Result!$G$6</f>
        <v>0.18151522030929843</v>
      </c>
      <c r="F923" s="28">
        <f>+F577/[6]Result!$G$6</f>
        <v>7.3641487578757509E-3</v>
      </c>
      <c r="G923" s="28">
        <f>+G577/[7]Result!$G$6</f>
        <v>-1.0260781492298083E-3</v>
      </c>
      <c r="H923" s="38">
        <f>+H577/[8]Result!$G$6</f>
        <v>2.2187310612185818E-2</v>
      </c>
      <c r="I923" s="32">
        <f>+I577/[9]Result!$G$6</f>
        <v>-2.15819270009055E-3</v>
      </c>
      <c r="J923" s="32">
        <f>+J577/[10]Result!$G$6</f>
        <v>7.1138539754183553E-4</v>
      </c>
      <c r="K923" s="38">
        <f>+K577/[11]Result!$G$6</f>
        <v>3.4241684711543562E-2</v>
      </c>
      <c r="L923" s="32">
        <f>+L577/[12]Result!$G$6</f>
        <v>4.5922431457252546E-4</v>
      </c>
      <c r="M923" s="32">
        <f>+M577/[13]Result!$G$6</f>
        <v>-7.9124904868446266E-4</v>
      </c>
      <c r="N923" s="42"/>
    </row>
    <row r="924" spans="2:15" hidden="1" outlineLevel="2" x14ac:dyDescent="0.25">
      <c r="B924" s="17" t="s">
        <v>5</v>
      </c>
      <c r="C924" s="32">
        <f>+C578/[15]Result!$G$7</f>
        <v>-3.0303982044036699E-3</v>
      </c>
      <c r="D924" s="28">
        <f>+D578/[1]Result!$G$7</f>
        <v>5.5591838007132566E-3</v>
      </c>
      <c r="E924" s="38">
        <f>+E578/[5]Result!$G$7</f>
        <v>4.9185881990486801E-3</v>
      </c>
      <c r="F924" s="28">
        <f>+F578/[6]Result!$G$7</f>
        <v>1.2247598536777021E-2</v>
      </c>
      <c r="G924" s="28">
        <f>+G578/[7]Result!$G$7</f>
        <v>-2.3887117635351179E-3</v>
      </c>
      <c r="H924" s="38">
        <f>+H578/[8]Result!$G$7</f>
        <v>-7.3742784145626036E-3</v>
      </c>
      <c r="I924" s="32">
        <f>+I578/[9]Result!$G$7</f>
        <v>-4.1318624948663207E-3</v>
      </c>
      <c r="J924" s="32">
        <f>+J578/[10]Result!$G$7</f>
        <v>2.0302273510594041E-3</v>
      </c>
      <c r="K924" s="38">
        <f>+K578/[11]Result!$G$7</f>
        <v>7.6161388384289166E-2</v>
      </c>
      <c r="L924" s="32">
        <f>+L578/[12]Result!$G$7</f>
        <v>1.4766596248238513E-3</v>
      </c>
      <c r="M924" s="32">
        <f>+M578/[13]Result!$G$7</f>
        <v>-1.9265712003553451E-3</v>
      </c>
      <c r="N924" s="42"/>
    </row>
    <row r="925" spans="2:15" hidden="1" outlineLevel="2" x14ac:dyDescent="0.25">
      <c r="B925" s="17" t="s">
        <v>6</v>
      </c>
      <c r="C925" s="32">
        <f>+C579/[15]Result!$G$8</f>
        <v>-3.8245361785565549E-3</v>
      </c>
      <c r="D925" s="28">
        <f>+D579/[1]Result!$G$8</f>
        <v>7.4091146432718078E-3</v>
      </c>
      <c r="E925" s="38">
        <f>+E579/[5]Result!$G$8</f>
        <v>1.443219397267897E-2</v>
      </c>
      <c r="F925" s="28">
        <f>+F579/[6]Result!$G$8</f>
        <v>1.6507342637050389E-2</v>
      </c>
      <c r="G925" s="28">
        <f>+G579/[7]Result!$G$8</f>
        <v>-3.6339112807576871E-3</v>
      </c>
      <c r="H925" s="38">
        <f>+H579/[8]Result!$G$8</f>
        <v>-2.1810820276382892E-3</v>
      </c>
      <c r="I925" s="32">
        <f>+I579/[9]Result!$G$8</f>
        <v>-5.6088638112213847E-3</v>
      </c>
      <c r="J925" s="32">
        <f>+J579/[10]Result!$G$8</f>
        <v>3.0744153363867145E-3</v>
      </c>
      <c r="K925" s="38">
        <f>+K579/[11]Result!$G$8</f>
        <v>4.0465014277004316E-2</v>
      </c>
      <c r="L925" s="32">
        <f>+L579/[12]Result!$G$8</f>
        <v>2.415276831803015E-3</v>
      </c>
      <c r="M925" s="32">
        <f>+M579/[13]Result!$G$8</f>
        <v>-3.2417463381871356E-3</v>
      </c>
      <c r="N925" s="42"/>
    </row>
    <row r="926" spans="2:15" hidden="1" outlineLevel="2" x14ac:dyDescent="0.25">
      <c r="B926" s="17" t="s">
        <v>7</v>
      </c>
      <c r="C926" s="32">
        <f>+C580/[15]Result!$G$9</f>
        <v>-4.1695157073940899E-3</v>
      </c>
      <c r="D926" s="28">
        <f>+D580/[1]Result!$G$9</f>
        <v>8.8442864339701339E-3</v>
      </c>
      <c r="E926" s="38">
        <f>+E580/[5]Result!$G$9</f>
        <v>-1.8834243324528242E-2</v>
      </c>
      <c r="F926" s="28">
        <f>+F580/[6]Result!$G$9</f>
        <v>2.0656837209804157E-2</v>
      </c>
      <c r="G926" s="28">
        <f>+G580/[7]Result!$G$9</f>
        <v>-4.7740822024753748E-3</v>
      </c>
      <c r="H926" s="38">
        <f>+H580/[8]Result!$G$9</f>
        <v>-1.0585857694757664E-3</v>
      </c>
      <c r="I926" s="32">
        <f>+I580/[9]Result!$G$9</f>
        <v>-6.7588485902487019E-3</v>
      </c>
      <c r="J926" s="32">
        <f>+J580/[10]Result!$G$9</f>
        <v>3.5216734385859227E-3</v>
      </c>
      <c r="K926" s="38">
        <f>+K580/[11]Result!$G$9</f>
        <v>1.973517759958009E-2</v>
      </c>
      <c r="L926" s="32">
        <f>+L580/[12]Result!$G$9</f>
        <v>3.3311409174885493E-3</v>
      </c>
      <c r="M926" s="32">
        <f>+M580/[13]Result!$G$9</f>
        <v>-4.9932650194148016E-3</v>
      </c>
      <c r="N926" s="42"/>
    </row>
    <row r="927" spans="2:15" hidden="1" outlineLevel="1" collapsed="1" x14ac:dyDescent="0.25">
      <c r="B927" s="16" t="s">
        <v>8</v>
      </c>
      <c r="C927" s="32">
        <f>+C581/'[15]Stat by Mat'!$J$4</f>
        <v>-5.0612792647424729E-3</v>
      </c>
      <c r="D927" s="28">
        <f>+D581/'[1]Stat by Mat'!$J$4</f>
        <v>1.0845400628189767E-2</v>
      </c>
      <c r="E927" s="38">
        <f>+E581/'[5]Stat by Mat'!$J$4</f>
        <v>-5.0726507146957818E-2</v>
      </c>
      <c r="F927" s="28">
        <f>+F581/'[6]Stat by Mat'!$J$4</f>
        <v>2.7026181668285253E-2</v>
      </c>
      <c r="G927" s="28">
        <f>+G581/'[7]Stat by Mat'!$J$4</f>
        <v>-7.2545028261275886E-3</v>
      </c>
      <c r="H927" s="38">
        <f>+H581/'[8]Stat by Mat'!$J$4</f>
        <v>-2.7072701397624853E-3</v>
      </c>
      <c r="I927" s="32">
        <f>+I581/'[9]Stat by Mat'!$J$4</f>
        <v>-8.500682562173829E-3</v>
      </c>
      <c r="J927" s="32">
        <f>+J581/'[10]Stat by Mat'!$J$4</f>
        <v>3.2473809912910386E-3</v>
      </c>
      <c r="K927" s="38">
        <f>+K581/'[11]Stat by Mat'!$J$4</f>
        <v>6.842025275274968E-4</v>
      </c>
      <c r="L927" s="32">
        <f>+L581/'[12]Stat by Mat'!$J$4</f>
        <v>4.6126951112934363E-3</v>
      </c>
      <c r="M927" s="32">
        <f>+M581/'[13]Stat by Mat'!$J$4</f>
        <v>-9.8720359114092583E-3</v>
      </c>
      <c r="N927" s="42"/>
    </row>
    <row r="928" spans="2:15" hidden="1" outlineLevel="2" x14ac:dyDescent="0.25">
      <c r="B928" s="17" t="s">
        <v>9</v>
      </c>
      <c r="C928" s="32">
        <f>+C582/[15]Result!$G$10</f>
        <v>-4.8159837872038787E-3</v>
      </c>
      <c r="D928" s="28">
        <f>+D582/[1]Result!$G$10</f>
        <v>1.0533477901853302E-2</v>
      </c>
      <c r="E928" s="38">
        <f>+E582/[5]Result!$G$10</f>
        <v>-3.3682882963198962E-2</v>
      </c>
      <c r="F928" s="28">
        <f>+F582/[6]Result!$G$10</f>
        <v>2.4130870057691028E-2</v>
      </c>
      <c r="G928" s="28">
        <f>+G582/[7]Result!$G$10</f>
        <v>-5.811058242106322E-3</v>
      </c>
      <c r="H928" s="38">
        <f>+H582/[8]Result!$G$10</f>
        <v>-6.045872092494727E-3</v>
      </c>
      <c r="I928" s="32">
        <f>+I582/[9]Result!$G$10</f>
        <v>-7.6911259948700666E-3</v>
      </c>
      <c r="J928" s="32">
        <f>+J582/[10]Result!$G$10</f>
        <v>3.725647405474672E-3</v>
      </c>
      <c r="K928" s="38">
        <f>+K582/[11]Result!$G$10</f>
        <v>5.0914388323571574E-3</v>
      </c>
      <c r="L928" s="32">
        <f>+L582/[12]Result!$G$10</f>
        <v>4.0882421166340477E-3</v>
      </c>
      <c r="M928" s="32">
        <f>+M582/[13]Result!$G$10</f>
        <v>-7.0327346111518129E-3</v>
      </c>
      <c r="N928" s="42"/>
    </row>
    <row r="929" spans="2:14" hidden="1" outlineLevel="2" x14ac:dyDescent="0.25">
      <c r="B929" s="17" t="s">
        <v>10</v>
      </c>
      <c r="C929" s="32">
        <f>+C583/[15]Result!$G$11</f>
        <v>-5.0124938792171217E-3</v>
      </c>
      <c r="D929" s="28">
        <f>+D583/[1]Result!$G$11</f>
        <v>1.1298834343940443E-2</v>
      </c>
      <c r="E929" s="38">
        <f>+E583/[5]Result!$G$11</f>
        <v>-4.0120547497519581E-2</v>
      </c>
      <c r="F929" s="28">
        <f>+F583/[6]Result!$G$11</f>
        <v>2.6519273338898065E-2</v>
      </c>
      <c r="G929" s="28">
        <f>+G583/[7]Result!$G$11</f>
        <v>-6.7587609634072038E-3</v>
      </c>
      <c r="H929" s="38">
        <f>+H583/[8]Result!$G$11</f>
        <v>-2.0653753477505019E-3</v>
      </c>
      <c r="I929" s="32">
        <f>+I583/[9]Result!$G$11</f>
        <v>-8.1843292299011768E-3</v>
      </c>
      <c r="J929" s="32">
        <f>+J583/[10]Result!$G$11</f>
        <v>3.6497364372240831E-3</v>
      </c>
      <c r="K929" s="38">
        <f>+K583/[11]Result!$G$11</f>
        <v>2.3872110972678654E-3</v>
      </c>
      <c r="L929" s="32">
        <f>+L583/[12]Result!$G$11</f>
        <v>4.5079994401084917E-3</v>
      </c>
      <c r="M929" s="32">
        <f>+M583/[13]Result!$G$11</f>
        <v>-8.9589998457893921E-3</v>
      </c>
      <c r="N929" s="42"/>
    </row>
    <row r="930" spans="2:14" hidden="1" outlineLevel="2" x14ac:dyDescent="0.25">
      <c r="B930" s="17" t="s">
        <v>11</v>
      </c>
      <c r="C930" s="32">
        <f>+C584/[15]Result!$G$12</f>
        <v>-5.0943402465824725E-3</v>
      </c>
      <c r="D930" s="28">
        <f>+D584/[1]Result!$G$12</f>
        <v>1.1611665557992314E-2</v>
      </c>
      <c r="E930" s="38">
        <f>+E584/[5]Result!$G$12</f>
        <v>-4.8410155945659242E-2</v>
      </c>
      <c r="F930" s="28">
        <f>+F584/[6]Result!$G$12</f>
        <v>2.8445717932170531E-2</v>
      </c>
      <c r="G930" s="28">
        <f>+G584/[7]Result!$G$12</f>
        <v>-7.7692121025804252E-3</v>
      </c>
      <c r="H930" s="38">
        <f>+H584/[8]Result!$G$12</f>
        <v>1.0663437705398396E-3</v>
      </c>
      <c r="I930" s="32">
        <f>+I584/[9]Result!$G$12</f>
        <v>-8.6654853669930511E-3</v>
      </c>
      <c r="J930" s="32">
        <f>+J584/[10]Result!$G$12</f>
        <v>3.3109057956489277E-3</v>
      </c>
      <c r="K930" s="38">
        <f>+K584/[11]Result!$G$12</f>
        <v>9.9774418782869038E-4</v>
      </c>
      <c r="L930" s="32">
        <f>+L584/[12]Result!$G$12</f>
        <v>4.7762371473794273E-3</v>
      </c>
      <c r="M930" s="32">
        <f>+M584/[13]Result!$G$12</f>
        <v>-1.0757475008335489E-2</v>
      </c>
      <c r="N930" s="42"/>
    </row>
    <row r="931" spans="2:14" hidden="1" outlineLevel="2" x14ac:dyDescent="0.25">
      <c r="B931" s="17" t="s">
        <v>12</v>
      </c>
      <c r="C931" s="32">
        <f>+C585/[15]Result!$G$13</f>
        <v>-5.1450952984222276E-3</v>
      </c>
      <c r="D931" s="28">
        <f>+D585/[1]Result!$G$13</f>
        <v>1.049667321012247E-2</v>
      </c>
      <c r="E931" s="38">
        <f>+E585/[5]Result!$G$13</f>
        <v>-8.7678167621073916E-2</v>
      </c>
      <c r="F931" s="28">
        <f>+F585/[6]Result!$G$13</f>
        <v>3.0061327067348095E-2</v>
      </c>
      <c r="G931" s="28">
        <f>+G585/[7]Result!$G$13</f>
        <v>-8.9153458176306072E-3</v>
      </c>
      <c r="H931" s="38">
        <f>+H585/[8]Result!$G$13</f>
        <v>-7.2397211360022964E-3</v>
      </c>
      <c r="I931" s="32">
        <f>+I585/[9]Result!$G$13</f>
        <v>-9.1208567972432594E-3</v>
      </c>
      <c r="J931" s="32">
        <f>+J585/[10]Result!$G$13</f>
        <v>2.6414212579819194E-3</v>
      </c>
      <c r="K931" s="38">
        <f>+K585/[11]Result!$G$13</f>
        <v>-4.0234955145638041E-3</v>
      </c>
      <c r="L931" s="32">
        <f>+L585/[12]Result!$G$13</f>
        <v>5.1288416649393253E-3</v>
      </c>
      <c r="M931" s="32">
        <f>+M585/[13]Result!$G$13</f>
        <v>-1.2619600927175928E-2</v>
      </c>
      <c r="N931" s="42"/>
    </row>
    <row r="932" spans="2:14" hidden="1" outlineLevel="2" x14ac:dyDescent="0.25">
      <c r="B932" s="17" t="s">
        <v>13</v>
      </c>
      <c r="C932" s="32">
        <f>+C586/[15]Result!$G$14</f>
        <v>-5.6498816975714076E-3</v>
      </c>
      <c r="D932" s="28">
        <f>+D586/[1]Result!$G$14</f>
        <v>9.9891855881603982E-3</v>
      </c>
      <c r="E932" s="38">
        <f>+E586/[5]Result!$G$14</f>
        <v>-7.608865317525397E-2</v>
      </c>
      <c r="F932" s="28">
        <f>+F586/[6]Result!$G$14</f>
        <v>3.0178541114779169E-2</v>
      </c>
      <c r="G932" s="28">
        <f>+G586/[7]Result!$G$14</f>
        <v>-9.43964286189093E-3</v>
      </c>
      <c r="H932" s="38">
        <f>+H586/[8]Result!$G$14</f>
        <v>4.4304862633170886E-3</v>
      </c>
      <c r="I932" s="32">
        <f>+I586/[9]Result!$G$14</f>
        <v>-1.0360773360251371E-2</v>
      </c>
      <c r="J932" s="32">
        <f>+J586/[10]Result!$G$14</f>
        <v>1.722876242995653E-3</v>
      </c>
      <c r="K932" s="38">
        <f>+K586/[11]Result!$G$14</f>
        <v>-9.8311271607620654E-3</v>
      </c>
      <c r="L932" s="32">
        <f>+L586/[12]Result!$G$14</f>
        <v>5.4103139643561097E-3</v>
      </c>
      <c r="M932" s="32">
        <f>+M586/[13]Result!$G$14</f>
        <v>-1.4961973759636336E-2</v>
      </c>
      <c r="N932" s="42"/>
    </row>
    <row r="933" spans="2:14" hidden="1" outlineLevel="1" collapsed="1" x14ac:dyDescent="0.25">
      <c r="B933" s="16" t="s">
        <v>14</v>
      </c>
      <c r="C933" s="32">
        <f>+C587/'[15]Stat by Mat'!$J$5</f>
        <v>-7.8389954561073425E-3</v>
      </c>
      <c r="D933" s="28">
        <f>+D587/'[1]Stat by Mat'!$J$5</f>
        <v>1.0183574142928109E-2</v>
      </c>
      <c r="E933" s="38">
        <f>+E587/'[5]Stat by Mat'!$J$5</f>
        <v>-0.12309042796676203</v>
      </c>
      <c r="F933" s="28">
        <f>+F587/'[6]Stat by Mat'!$J$5</f>
        <v>2.972227102669869E-2</v>
      </c>
      <c r="G933" s="28">
        <f>+G587/'[7]Stat by Mat'!$J$5</f>
        <v>-1.3181031210690053E-2</v>
      </c>
      <c r="H933" s="38">
        <f>+H587/'[8]Stat by Mat'!$J$5</f>
        <v>-1.4453650575415377E-2</v>
      </c>
      <c r="I933" s="32">
        <f>+I587/'[9]Stat by Mat'!$J$5</f>
        <v>-1.0942896669808019E-2</v>
      </c>
      <c r="J933" s="32">
        <f>+J587/'[10]Stat by Mat'!$J$5</f>
        <v>-3.262927500351699E-3</v>
      </c>
      <c r="K933" s="38">
        <f>+K587/'[11]Stat by Mat'!$J$5</f>
        <v>8.1321193420782999E-3</v>
      </c>
      <c r="L933" s="32">
        <f>+L587/'[12]Stat by Mat'!$J$5</f>
        <v>4.0650781214990085E-3</v>
      </c>
      <c r="M933" s="32">
        <f>+M587/'[13]Stat by Mat'!$J$5</f>
        <v>-2.0200647730330312E-2</v>
      </c>
      <c r="N933" s="42"/>
    </row>
    <row r="934" spans="2:14" hidden="1" outlineLevel="2" x14ac:dyDescent="0.25">
      <c r="B934" s="17" t="s">
        <v>15</v>
      </c>
      <c r="C934" s="32">
        <f>+C588/[15]Result!$G$15</f>
        <v>-5.7961954290065617E-3</v>
      </c>
      <c r="D934" s="28">
        <f>+D588/[1]Result!$G$15</f>
        <v>1.0013283911338421E-2</v>
      </c>
      <c r="E934" s="38">
        <f>+E588/[5]Result!$G$15</f>
        <v>-9.7653243366891435E-2</v>
      </c>
      <c r="F934" s="28">
        <f>+F588/[6]Result!$G$15</f>
        <v>2.8073835455175892E-2</v>
      </c>
      <c r="G934" s="28">
        <f>+G588/[7]Result!$G$15</f>
        <v>-9.0648681642901338E-3</v>
      </c>
      <c r="H934" s="38">
        <f>+H588/[8]Result!$G$15</f>
        <v>2.6413360188698993E-3</v>
      </c>
      <c r="I934" s="32">
        <f>+I588/[9]Result!$G$15</f>
        <v>-1.1456290113605577E-2</v>
      </c>
      <c r="J934" s="32">
        <f>+J588/[10]Result!$G$15</f>
        <v>3.2544359247348815E-4</v>
      </c>
      <c r="K934" s="38">
        <f>+K588/[11]Result!$G$15</f>
        <v>-1.9273157772809759E-3</v>
      </c>
      <c r="L934" s="32">
        <f>+L588/[12]Result!$G$15</f>
        <v>5.5228964476332397E-3</v>
      </c>
      <c r="M934" s="32">
        <f>+M588/[13]Result!$G$15</f>
        <v>-1.7040793051760539E-2</v>
      </c>
      <c r="N934" s="42"/>
    </row>
    <row r="935" spans="2:14" hidden="1" outlineLevel="2" x14ac:dyDescent="0.25">
      <c r="B935" s="17" t="s">
        <v>16</v>
      </c>
      <c r="C935" s="32">
        <f>+C589/[15]Result!$G$16</f>
        <v>-5.2079317569662638E-3</v>
      </c>
      <c r="D935" s="28">
        <f>+D589/[1]Result!$G$16</f>
        <v>9.3273930686062212E-3</v>
      </c>
      <c r="E935" s="38">
        <f>+E589/[5]Result!$G$16</f>
        <v>-0.13363670792323901</v>
      </c>
      <c r="F935" s="28">
        <f>+F589/[6]Result!$G$16</f>
        <v>2.6219561728316469E-2</v>
      </c>
      <c r="G935" s="28">
        <f>+G589/[7]Result!$G$16</f>
        <v>-9.3478572968583133E-3</v>
      </c>
      <c r="H935" s="38">
        <f>+H589/[8]Result!$G$16</f>
        <v>-9.4200825808339259E-3</v>
      </c>
      <c r="I935" s="32">
        <f>+I589/[9]Result!$G$16</f>
        <v>-9.656587110445378E-3</v>
      </c>
      <c r="J935" s="32">
        <f>+J589/[10]Result!$G$16</f>
        <v>-1.0048626035954133E-3</v>
      </c>
      <c r="K935" s="38">
        <f>+K589/[11]Result!$G$16</f>
        <v>7.3135131953504396E-3</v>
      </c>
      <c r="L935" s="32">
        <f>+L589/[12]Result!$G$16</f>
        <v>4.6955610697731664E-3</v>
      </c>
      <c r="M935" s="32">
        <f>+M589/[13]Result!$G$16</f>
        <v>-1.8323937634206932E-2</v>
      </c>
      <c r="N935" s="42"/>
    </row>
    <row r="936" spans="2:14" hidden="1" outlineLevel="2" x14ac:dyDescent="0.25">
      <c r="B936" s="17" t="s">
        <v>17</v>
      </c>
      <c r="C936" s="32">
        <f>+C590/[15]Result!$G$17</f>
        <v>-5.3632278981930025E-3</v>
      </c>
      <c r="D936" s="28">
        <f>+D590/[1]Result!$G$17</f>
        <v>9.5883807385370636E-3</v>
      </c>
      <c r="E936" s="38">
        <f>+E590/[5]Result!$G$17</f>
        <v>-0.13403667418341858</v>
      </c>
      <c r="F936" s="28">
        <f>+F590/[6]Result!$G$17</f>
        <v>2.6698496243999253E-2</v>
      </c>
      <c r="G936" s="28">
        <f>+G590/[7]Result!$G$17</f>
        <v>-1.0749905317606849E-2</v>
      </c>
      <c r="H936" s="38">
        <f>+H590/[8]Result!$G$17</f>
        <v>-1.5056956874116125E-2</v>
      </c>
      <c r="I936" s="32">
        <f>+I590/[9]Result!$G$17</f>
        <v>-7.9144221327619533E-3</v>
      </c>
      <c r="J936" s="32">
        <f>+J590/[10]Result!$G$17</f>
        <v>-2.0564847357552396E-3</v>
      </c>
      <c r="K936" s="38">
        <f>+K590/[11]Result!$G$17</f>
        <v>6.2809426665276207E-3</v>
      </c>
      <c r="L936" s="32">
        <f>+L590/[12]Result!$G$17</f>
        <v>3.7972569091392736E-3</v>
      </c>
      <c r="M936" s="32">
        <f>+M590/[13]Result!$G$17</f>
        <v>-1.7614121803151528E-2</v>
      </c>
      <c r="N936" s="42"/>
    </row>
    <row r="937" spans="2:14" hidden="1" outlineLevel="2" x14ac:dyDescent="0.25">
      <c r="B937" s="17" t="s">
        <v>18</v>
      </c>
      <c r="C937" s="32">
        <f>+C591/[15]Result!$G$18</f>
        <v>-6.5206062676893212E-3</v>
      </c>
      <c r="D937" s="28">
        <f>+D591/[1]Result!$G$18</f>
        <v>1.044187499690984E-2</v>
      </c>
      <c r="E937" s="38">
        <f>+E591/[5]Result!$G$18</f>
        <v>-0.13105067766394782</v>
      </c>
      <c r="F937" s="28">
        <f>+F591/[6]Result!$G$18</f>
        <v>2.798729394631912E-2</v>
      </c>
      <c r="G937" s="28">
        <f>+G591/[7]Result!$G$18</f>
        <v>-1.2376470086845497E-2</v>
      </c>
      <c r="H937" s="38">
        <f>+H591/[8]Result!$G$18</f>
        <v>-1.1023797944412743E-2</v>
      </c>
      <c r="I937" s="32">
        <f>+I591/[9]Result!$G$18</f>
        <v>-8.6174854263532004E-3</v>
      </c>
      <c r="J937" s="32">
        <f>+J591/[10]Result!$G$18</f>
        <v>-3.3169066142495732E-3</v>
      </c>
      <c r="K937" s="38">
        <f>+K591/[11]Result!$G$18</f>
        <v>8.1180717551107024E-3</v>
      </c>
      <c r="L937" s="32">
        <f>+L591/[12]Result!$G$18</f>
        <v>3.7755959484839967E-3</v>
      </c>
      <c r="M937" s="32">
        <f>+M591/[13]Result!$G$18</f>
        <v>-1.7205791096183372E-2</v>
      </c>
      <c r="N937" s="42"/>
    </row>
    <row r="938" spans="2:14" hidden="1" outlineLevel="2" x14ac:dyDescent="0.25">
      <c r="B938" s="17" t="s">
        <v>19</v>
      </c>
      <c r="C938" s="32">
        <f>+C592/[15]Result!$G$19</f>
        <v>-8.8107083385977648E-3</v>
      </c>
      <c r="D938" s="28">
        <f>+D592/[1]Result!$G$19</f>
        <v>1.2066443891743628E-2</v>
      </c>
      <c r="E938" s="38">
        <f>+E592/[5]Result!$G$19</f>
        <v>-0.12850280585740512</v>
      </c>
      <c r="F938" s="28">
        <f>+F592/[6]Result!$G$19</f>
        <v>2.9084221442087537E-2</v>
      </c>
      <c r="G938" s="28">
        <f>+G592/[7]Result!$G$19</f>
        <v>-1.411016538172177E-2</v>
      </c>
      <c r="H938" s="38">
        <f>+H592/[8]Result!$G$19</f>
        <v>-1.9654707544099679E-2</v>
      </c>
      <c r="I938" s="32">
        <f>+I592/[9]Result!$G$19</f>
        <v>-1.0222131181444535E-2</v>
      </c>
      <c r="J938" s="32">
        <f>+J592/[10]Result!$G$19</f>
        <v>-4.2514917613072729E-3</v>
      </c>
      <c r="K938" s="38">
        <f>+K592/[11]Result!$G$19</f>
        <v>1.1909039124058099E-3</v>
      </c>
      <c r="L938" s="32">
        <f>+L592/[12]Result!$G$19</f>
        <v>3.7037374204588061E-3</v>
      </c>
      <c r="M938" s="32">
        <f>+M592/[13]Result!$G$19</f>
        <v>-1.9696697137291407E-2</v>
      </c>
      <c r="N938" s="42"/>
    </row>
    <row r="939" spans="2:14" hidden="1" outlineLevel="2" x14ac:dyDescent="0.25">
      <c r="B939" s="17" t="s">
        <v>20</v>
      </c>
      <c r="C939" s="32">
        <f>+C593/[15]Result!$G$20</f>
        <v>-1.0813814273135991E-2</v>
      </c>
      <c r="D939" s="28">
        <f>+D593/[1]Result!$G$20</f>
        <v>1.2352045814042652E-2</v>
      </c>
      <c r="E939" s="38">
        <f>+E593/[5]Result!$G$20</f>
        <v>-0.13019635290784481</v>
      </c>
      <c r="F939" s="28">
        <f>+F593/[6]Result!$G$20</f>
        <v>3.0976902288422453E-2</v>
      </c>
      <c r="G939" s="28">
        <f>+G593/[7]Result!$G$20</f>
        <v>-1.595986469174886E-2</v>
      </c>
      <c r="H939" s="38">
        <f>+H593/[8]Result!$G$20</f>
        <v>-2.6526068329629511E-2</v>
      </c>
      <c r="I939" s="32">
        <f>+I593/[9]Result!$G$20</f>
        <v>-1.1950001269829025E-2</v>
      </c>
      <c r="J939" s="32">
        <f>+J593/[10]Result!$G$20</f>
        <v>-5.2135492630430071E-3</v>
      </c>
      <c r="K939" s="38">
        <f>+K593/[11]Result!$G$20</f>
        <v>6.6988541883753168E-3</v>
      </c>
      <c r="L939" s="32">
        <f>+L593/[12]Result!$G$20</f>
        <v>3.4342725410625983E-3</v>
      </c>
      <c r="M939" s="32">
        <f>+M593/[13]Result!$G$20</f>
        <v>-2.2417362439459198E-2</v>
      </c>
      <c r="N939" s="42"/>
    </row>
    <row r="940" spans="2:14" hidden="1" outlineLevel="2" x14ac:dyDescent="0.25">
      <c r="B940" s="17" t="s">
        <v>21</v>
      </c>
      <c r="C940" s="32">
        <f>+C594/[15]Result!$G$21</f>
        <v>-1.1817371726662347E-2</v>
      </c>
      <c r="D940" s="28">
        <f>+D594/[1]Result!$G$21</f>
        <v>1.0727536196384195E-2</v>
      </c>
      <c r="E940" s="38">
        <f>+E594/[5]Result!$G$21</f>
        <v>-0.13114773804216459</v>
      </c>
      <c r="F940" s="28">
        <f>+F594/[6]Result!$G$21</f>
        <v>3.3914904699526474E-2</v>
      </c>
      <c r="G940" s="28">
        <f>+G594/[7]Result!$G$21</f>
        <v>-1.8074814365514794E-2</v>
      </c>
      <c r="H940" s="38">
        <f>+H594/[8]Result!$G$21</f>
        <v>-2.930854324474845E-2</v>
      </c>
      <c r="I940" s="32">
        <f>+I594/[9]Result!$G$21</f>
        <v>-1.3340252418395626E-2</v>
      </c>
      <c r="J940" s="32">
        <f>+J594/[10]Result!$G$21</f>
        <v>-6.574417629764938E-3</v>
      </c>
      <c r="K940" s="38">
        <f>+K594/[11]Result!$G$21</f>
        <v>1.2221491071592122E-2</v>
      </c>
      <c r="L940" s="32">
        <f>+L594/[12]Result!$G$21</f>
        <v>3.0993438761799433E-3</v>
      </c>
      <c r="M940" s="32">
        <f>+M594/[13]Result!$G$21</f>
        <v>-2.5001538384266216E-2</v>
      </c>
      <c r="N940" s="42"/>
    </row>
    <row r="941" spans="2:14" hidden="1" outlineLevel="2" x14ac:dyDescent="0.25">
      <c r="B941" s="17" t="s">
        <v>22</v>
      </c>
      <c r="C941" s="32">
        <f>+C595/[15]Result!$G$22</f>
        <v>-1.2279907929758103E-2</v>
      </c>
      <c r="D941" s="28">
        <f>+D595/[1]Result!$G$22</f>
        <v>8.7407515460905423E-3</v>
      </c>
      <c r="E941" s="38">
        <f>+E595/[5]Result!$G$22</f>
        <v>-0.12722017917989181</v>
      </c>
      <c r="F941" s="28">
        <f>+F595/[6]Result!$G$22</f>
        <v>3.6878969879984569E-2</v>
      </c>
      <c r="G941" s="28">
        <f>+G595/[7]Result!$G$22</f>
        <v>-2.0234945788800484E-2</v>
      </c>
      <c r="H941" s="38">
        <f>+H595/[8]Result!$G$22</f>
        <v>-3.1926345968775117E-2</v>
      </c>
      <c r="I941" s="32">
        <f>+I595/[9]Result!$G$22</f>
        <v>-1.4472987487639246E-2</v>
      </c>
      <c r="J941" s="32">
        <f>+J595/[10]Result!$G$22</f>
        <v>-8.140239133046118E-3</v>
      </c>
      <c r="K941" s="38">
        <f>+K595/[11]Result!$G$22</f>
        <v>2.4893734968334882E-2</v>
      </c>
      <c r="L941" s="32">
        <f>+L595/[12]Result!$G$22</f>
        <v>2.7807575721936939E-3</v>
      </c>
      <c r="M941" s="32">
        <f>+M595/[13]Result!$G$22</f>
        <v>-2.7391180708664351E-2</v>
      </c>
      <c r="N941" s="42"/>
    </row>
    <row r="942" spans="2:14" hidden="1" outlineLevel="2" x14ac:dyDescent="0.25">
      <c r="B942" s="17" t="s">
        <v>23</v>
      </c>
      <c r="C942" s="32">
        <f>+C596/[15]Result!$G$23</f>
        <v>-1.2894529733812693E-2</v>
      </c>
      <c r="D942" s="28">
        <f>+D596/[1]Result!$G$23</f>
        <v>8.0862992917099964E-3</v>
      </c>
      <c r="E942" s="38">
        <f>+E596/[5]Result!$G$23</f>
        <v>-0.11724821909664415</v>
      </c>
      <c r="F942" s="28">
        <f>+F596/[6]Result!$G$23</f>
        <v>3.893242622237976E-2</v>
      </c>
      <c r="G942" s="28">
        <f>+G596/[7]Result!$G$23</f>
        <v>-2.2516201472200948E-2</v>
      </c>
      <c r="H942" s="38">
        <f>+H596/[8]Result!$G$23</f>
        <v>-2.8501647846316997E-2</v>
      </c>
      <c r="I942" s="32">
        <f>+I596/[9]Result!$G$23</f>
        <v>-1.5291983677528152E-2</v>
      </c>
      <c r="J942" s="32">
        <f>+J596/[10]Result!$G$23</f>
        <v>-9.7481786007808779E-3</v>
      </c>
      <c r="K942" s="38">
        <f>+K596/[11]Result!$G$23</f>
        <v>3.8756844683555731E-2</v>
      </c>
      <c r="L942" s="32">
        <f>+L596/[12]Result!$G$23</f>
        <v>2.494413127550383E-3</v>
      </c>
      <c r="M942" s="32">
        <f>+M596/[13]Result!$G$23</f>
        <v>-2.9534371369728224E-2</v>
      </c>
      <c r="N942" s="42"/>
    </row>
    <row r="943" spans="2:14" hidden="1" outlineLevel="2" x14ac:dyDescent="0.25">
      <c r="B943" s="17" t="s">
        <v>24</v>
      </c>
      <c r="C943" s="32">
        <f>+C597/[15]Result!$G$24</f>
        <v>-1.4243838579411751E-2</v>
      </c>
      <c r="D943" s="28">
        <f>+D597/[1]Result!$G$24</f>
        <v>1.0162161607491629E-2</v>
      </c>
      <c r="E943" s="38">
        <f>+E597/[5]Result!$G$24</f>
        <v>-0.12089988183180637</v>
      </c>
      <c r="F943" s="28">
        <f>+F597/[6]Result!$G$24</f>
        <v>3.931675694702895E-2</v>
      </c>
      <c r="G943" s="28">
        <f>+G597/[7]Result!$G$24</f>
        <v>-2.4913741589908181E-2</v>
      </c>
      <c r="H943" s="38">
        <f>+H597/[8]Result!$G$24</f>
        <v>-3.6615656828307176E-2</v>
      </c>
      <c r="I943" s="32">
        <f>+I597/[9]Result!$G$24</f>
        <v>-1.5834125981811869E-2</v>
      </c>
      <c r="J943" s="32">
        <f>+J597/[10]Result!$G$24</f>
        <v>-1.1385124921999033E-2</v>
      </c>
      <c r="K943" s="38">
        <f>+K597/[11]Result!$G$24</f>
        <v>3.3335436032021493E-2</v>
      </c>
      <c r="L943" s="32">
        <f>+L597/[12]Result!$G$24</f>
        <v>2.1587229712708403E-3</v>
      </c>
      <c r="M943" s="32">
        <f>+M597/[13]Result!$G$24</f>
        <v>-3.1374122785349248E-2</v>
      </c>
      <c r="N943" s="42"/>
    </row>
    <row r="944" spans="2:14" hidden="1" outlineLevel="1" collapsed="1" x14ac:dyDescent="0.25">
      <c r="B944" s="16" t="s">
        <v>25</v>
      </c>
      <c r="C944" s="32">
        <f>+C598/'[15]Stat by Mat'!$J$6</f>
        <v>-1.9557004149971306E-2</v>
      </c>
      <c r="D944" s="28">
        <f>+D598/'[1]Stat by Mat'!$J$6</f>
        <v>2.1421662376286576E-2</v>
      </c>
      <c r="E944" s="38">
        <f>+E598/'[5]Stat by Mat'!$J$6</f>
        <v>-0.11657292357720274</v>
      </c>
      <c r="F944" s="28">
        <f>+F598/'[6]Stat by Mat'!$J$6</f>
        <v>3.6596335687320007E-2</v>
      </c>
      <c r="G944" s="28">
        <f>+G598/'[7]Stat by Mat'!$J$6</f>
        <v>-3.1185355352086983E-2</v>
      </c>
      <c r="H944" s="38">
        <f>+H598/'[8]Stat by Mat'!$J$6</f>
        <v>-3.6631575777445767E-2</v>
      </c>
      <c r="I944" s="32">
        <f>+I598/'[9]Stat by Mat'!$J$6</f>
        <v>-1.7257789051451755E-2</v>
      </c>
      <c r="J944" s="32">
        <f>+J598/'[10]Stat by Mat'!$J$6</f>
        <v>-1.6132388061601572E-2</v>
      </c>
      <c r="K944" s="38">
        <f>+K598/'[11]Stat by Mat'!$J$6</f>
        <v>6.4894725297454173E-2</v>
      </c>
      <c r="L944" s="32">
        <f>+L598/'[12]Stat by Mat'!$J$6</f>
        <v>1.0229420461097423E-3</v>
      </c>
      <c r="M944" s="32">
        <f>+M598/'[13]Stat by Mat'!$J$6</f>
        <v>-3.6861635430216012E-2</v>
      </c>
      <c r="N944" s="42"/>
    </row>
    <row r="945" spans="2:14" hidden="1" outlineLevel="2" x14ac:dyDescent="0.25">
      <c r="B945" s="17" t="s">
        <v>26</v>
      </c>
      <c r="C945" s="32">
        <f>+C599/[15]Result!$G$25</f>
        <v>-1.6041508470385654E-2</v>
      </c>
      <c r="D945" s="28">
        <f>+D599/[1]Result!$G$25</f>
        <v>1.3894856885370283E-2</v>
      </c>
      <c r="E945" s="38">
        <f>+E599/[5]Result!$G$25</f>
        <v>-0.12446978672626947</v>
      </c>
      <c r="F945" s="28">
        <f>+F599/[6]Result!$G$25</f>
        <v>3.8503183556465002E-2</v>
      </c>
      <c r="G945" s="28">
        <f>+G599/[7]Result!$G$25</f>
        <v>-2.7040504538522123E-2</v>
      </c>
      <c r="H945" s="38">
        <f>+H599/[8]Result!$G$25</f>
        <v>-4.1974662342366589E-2</v>
      </c>
      <c r="I945" s="32">
        <f>+I599/[9]Result!$G$25</f>
        <v>-1.6250952027923638E-2</v>
      </c>
      <c r="J945" s="32">
        <f>+J599/[10]Result!$G$25</f>
        <v>-1.2937407443287348E-2</v>
      </c>
      <c r="K945" s="38">
        <f>+K599/[11]Result!$G$25</f>
        <v>3.9754304202947094E-2</v>
      </c>
      <c r="L945" s="32">
        <f>+L599/[12]Result!$G$25</f>
        <v>1.7760897147135865E-3</v>
      </c>
      <c r="M945" s="32">
        <f>+M599/[13]Result!$G$25</f>
        <v>-3.3049688649589258E-2</v>
      </c>
      <c r="N945" s="42"/>
    </row>
    <row r="946" spans="2:14" hidden="1" outlineLevel="2" x14ac:dyDescent="0.25">
      <c r="B946" s="17" t="s">
        <v>27</v>
      </c>
      <c r="C946" s="32">
        <f>+C600/[15]Result!$G$26</f>
        <v>-1.7735443156215048E-2</v>
      </c>
      <c r="D946" s="28">
        <f>+D600/[1]Result!$G$26</f>
        <v>1.7426305601265235E-2</v>
      </c>
      <c r="E946" s="38">
        <f>+E600/[5]Result!$G$26</f>
        <v>-0.12731080355975852</v>
      </c>
      <c r="F946" s="28">
        <f>+F600/[6]Result!$G$26</f>
        <v>3.7624154249657316E-2</v>
      </c>
      <c r="G946" s="28">
        <f>+G600/[7]Result!$G$26</f>
        <v>-2.8946099204361812E-2</v>
      </c>
      <c r="H946" s="38">
        <f>+H600/[8]Result!$G$26</f>
        <v>-4.5923118962455607E-2</v>
      </c>
      <c r="I946" s="32">
        <f>+I600/[9]Result!$G$26</f>
        <v>-1.6731709697583214E-2</v>
      </c>
      <c r="J946" s="32">
        <f>+J600/[10]Result!$G$26</f>
        <v>-1.4276806570321184E-2</v>
      </c>
      <c r="K946" s="38">
        <f>+K600/[11]Result!$G$26</f>
        <v>4.8101918450819077E-2</v>
      </c>
      <c r="L946" s="32">
        <f>+L600/[12]Result!$G$26</f>
        <v>1.4485223453588386E-3</v>
      </c>
      <c r="M946" s="32">
        <f>+M600/[13]Result!$G$26</f>
        <v>-3.4630549903168481E-2</v>
      </c>
      <c r="N946" s="42"/>
    </row>
    <row r="947" spans="2:14" hidden="1" outlineLevel="2" x14ac:dyDescent="0.25">
      <c r="B947" s="17" t="s">
        <v>28</v>
      </c>
      <c r="C947" s="32">
        <f>+C601/[15]Result!$G$27</f>
        <v>-1.9083235742497557E-2</v>
      </c>
      <c r="D947" s="28">
        <f>+D601/[1]Result!$G$27</f>
        <v>2.045850213238868E-2</v>
      </c>
      <c r="E947" s="38">
        <f>+E601/[5]Result!$G$27</f>
        <v>-0.12570294177608338</v>
      </c>
      <c r="F947" s="28">
        <f>+F601/[6]Result!$G$27</f>
        <v>3.6820081494463204E-2</v>
      </c>
      <c r="G947" s="28">
        <f>+G601/[7]Result!$G$27</f>
        <v>-3.0585813441878815E-2</v>
      </c>
      <c r="H947" s="38">
        <f>+H601/[8]Result!$G$27</f>
        <v>-4.6401787003414664E-2</v>
      </c>
      <c r="I947" s="32">
        <f>+I601/[9]Result!$G$27</f>
        <v>-1.7182782548144534E-2</v>
      </c>
      <c r="J947" s="32">
        <f>+J601/[10]Result!$G$27</f>
        <v>-1.546755521899598E-2</v>
      </c>
      <c r="K947" s="38">
        <f>+K601/[11]Result!$G$27</f>
        <v>6.2050126791960841E-2</v>
      </c>
      <c r="L947" s="32">
        <f>+L601/[12]Result!$G$27</f>
        <v>1.1911482765726174E-3</v>
      </c>
      <c r="M947" s="32">
        <f>+M601/[13]Result!$G$27</f>
        <v>-3.6105367032538804E-2</v>
      </c>
      <c r="N947" s="42"/>
    </row>
    <row r="948" spans="2:14" hidden="1" outlineLevel="2" x14ac:dyDescent="0.25">
      <c r="B948" s="17" t="s">
        <v>29</v>
      </c>
      <c r="C948" s="32">
        <f>+C602/[15]Result!$G$28</f>
        <v>-2.0255421558505533E-2</v>
      </c>
      <c r="D948" s="28">
        <f>+D602/[1]Result!$G$28</f>
        <v>2.3000523658751243E-2</v>
      </c>
      <c r="E948" s="38">
        <f>+E602/[5]Result!$G$28</f>
        <v>-0.11788893596415585</v>
      </c>
      <c r="F948" s="28">
        <f>+F602/[6]Result!$G$28</f>
        <v>3.6137519975592426E-2</v>
      </c>
      <c r="G948" s="28">
        <f>+G602/[7]Result!$G$28</f>
        <v>-3.1922164103797605E-2</v>
      </c>
      <c r="H948" s="38">
        <f>+H602/[8]Result!$G$28</f>
        <v>-3.2227277732418805E-2</v>
      </c>
      <c r="I948" s="32">
        <f>+I602/[9]Result!$G$28</f>
        <v>-1.7382961172014034E-2</v>
      </c>
      <c r="J948" s="32">
        <f>+J602/[10]Result!$G$28</f>
        <v>-1.6704456431236251E-2</v>
      </c>
      <c r="K948" s="38">
        <f>+K602/[11]Result!$G$28</f>
        <v>7.3757726475875293E-2</v>
      </c>
      <c r="L948" s="32">
        <f>+L602/[12]Result!$G$28</f>
        <v>9.0452936797673681E-4</v>
      </c>
      <c r="M948" s="32">
        <f>+M602/[13]Result!$G$28</f>
        <v>-3.7350611890709602E-2</v>
      </c>
      <c r="N948" s="42"/>
    </row>
    <row r="949" spans="2:14" hidden="1" outlineLevel="2" x14ac:dyDescent="0.25">
      <c r="B949" s="17" t="s">
        <v>30</v>
      </c>
      <c r="C949" s="32">
        <f>+C603/[15]Result!$G$29</f>
        <v>-2.1336743828068563E-2</v>
      </c>
      <c r="D949" s="28">
        <f>+D603/[1]Result!$G$29</f>
        <v>2.5322992400843947E-2</v>
      </c>
      <c r="E949" s="38">
        <f>+E603/[5]Result!$G$29</f>
        <v>-0.11654120457618669</v>
      </c>
      <c r="F949" s="28">
        <f>+F603/[6]Result!$G$29</f>
        <v>3.5620692237527285E-2</v>
      </c>
      <c r="G949" s="28">
        <f>+G603/[7]Result!$G$29</f>
        <v>-3.3141150692871338E-2</v>
      </c>
      <c r="H949" s="38">
        <f>+H603/[8]Result!$G$29</f>
        <v>-3.7354924011648083E-2</v>
      </c>
      <c r="I949" s="32">
        <f>+I603/[9]Result!$G$29</f>
        <v>-1.7651945372838412E-2</v>
      </c>
      <c r="J949" s="32">
        <f>+J603/[10]Result!$G$29</f>
        <v>-1.7754925411027276E-2</v>
      </c>
      <c r="K949" s="38">
        <f>+K603/[11]Result!$G$29</f>
        <v>6.1638154831076937E-2</v>
      </c>
      <c r="L949" s="32">
        <f>+L603/[12]Result!$G$29</f>
        <v>5.8939311950054977E-4</v>
      </c>
      <c r="M949" s="32">
        <f>+M603/[13]Result!$G$29</f>
        <v>-3.8453658050504699E-2</v>
      </c>
      <c r="N949" s="42"/>
    </row>
    <row r="950" spans="2:14" hidden="1" outlineLevel="2" x14ac:dyDescent="0.25">
      <c r="B950" s="17" t="s">
        <v>31</v>
      </c>
      <c r="C950" s="32">
        <f>+C604/[15]Result!$G$30</f>
        <v>-2.2194807004000189E-2</v>
      </c>
      <c r="D950" s="28">
        <f>+D604/[1]Result!$G$30</f>
        <v>2.7251914407548646E-2</v>
      </c>
      <c r="E950" s="38">
        <f>+E604/[5]Result!$G$30</f>
        <v>-0.11935499396707401</v>
      </c>
      <c r="F950" s="28">
        <f>+F604/[6]Result!$G$30</f>
        <v>3.5187901160568288E-2</v>
      </c>
      <c r="G950" s="28">
        <f>+G604/[7]Result!$G$30</f>
        <v>-3.4230117752859369E-2</v>
      </c>
      <c r="H950" s="38">
        <f>+H604/[8]Result!$G$30</f>
        <v>-4.5463133844215707E-2</v>
      </c>
      <c r="I950" s="32">
        <f>+I604/[9]Result!$G$30</f>
        <v>-1.800317742029876E-2</v>
      </c>
      <c r="J950" s="32">
        <f>+J604/[10]Result!$G$30</f>
        <v>-1.8592134920849757E-2</v>
      </c>
      <c r="K950" s="38">
        <f>+K604/[11]Result!$G$30</f>
        <v>7.6297533019859032E-2</v>
      </c>
      <c r="L950" s="32">
        <f>+L604/[12]Result!$G$30</f>
        <v>3.6810195595734515E-4</v>
      </c>
      <c r="M950" s="32">
        <f>+M604/[13]Result!$G$30</f>
        <v>-3.9636103662073999E-2</v>
      </c>
      <c r="N950" s="42"/>
    </row>
    <row r="951" spans="2:14" hidden="1" outlineLevel="2" x14ac:dyDescent="0.25">
      <c r="B951" s="17" t="s">
        <v>32</v>
      </c>
      <c r="C951" s="32">
        <f>+C605/[15]Result!$G$31</f>
        <v>-2.3051634509629479E-2</v>
      </c>
      <c r="D951" s="28">
        <f>+D605/[1]Result!$G$31</f>
        <v>2.8858552623303075E-2</v>
      </c>
      <c r="E951" s="38">
        <f>+E605/[5]Result!$G$31</f>
        <v>-0.11454171165763487</v>
      </c>
      <c r="F951" s="28">
        <f>+F605/[6]Result!$G$31</f>
        <v>3.4869282881043941E-2</v>
      </c>
      <c r="G951" s="28">
        <f>+G605/[7]Result!$G$31</f>
        <v>-3.5298466344360888E-2</v>
      </c>
      <c r="H951" s="38">
        <f>+H605/[8]Result!$G$31</f>
        <v>-4.6394967195217796E-2</v>
      </c>
      <c r="I951" s="32">
        <f>+I605/[9]Result!$G$31</f>
        <v>-1.8200653821151446E-2</v>
      </c>
      <c r="J951" s="32">
        <f>+J605/[10]Result!$G$31</f>
        <v>-1.9313255318818879E-2</v>
      </c>
      <c r="K951" s="38">
        <f>+K605/[11]Result!$G$31</f>
        <v>9.6754062280493505E-2</v>
      </c>
      <c r="L951" s="32">
        <f>+L605/[12]Result!$G$31</f>
        <v>3.8224039274512201E-4</v>
      </c>
      <c r="M951" s="32">
        <f>+M605/[13]Result!$G$31</f>
        <v>-4.0667378292208338E-2</v>
      </c>
      <c r="N951" s="42"/>
    </row>
    <row r="952" spans="2:14" hidden="1" outlineLevel="2" x14ac:dyDescent="0.25">
      <c r="B952" s="17" t="s">
        <v>33</v>
      </c>
      <c r="C952" s="32">
        <f>+C606/[15]Result!$G$32</f>
        <v>-2.37776174112856E-2</v>
      </c>
      <c r="D952" s="28">
        <f>+D606/[1]Result!$G$32</f>
        <v>3.0369981406690266E-2</v>
      </c>
      <c r="E952" s="38">
        <f>+E606/[5]Result!$G$32</f>
        <v>-0.10899473689844418</v>
      </c>
      <c r="F952" s="28">
        <f>+F606/[6]Result!$G$32</f>
        <v>3.4557508113270775E-2</v>
      </c>
      <c r="G952" s="28">
        <f>+G606/[7]Result!$G$32</f>
        <v>-3.6218725801610771E-2</v>
      </c>
      <c r="H952" s="38">
        <f>+H606/[8]Result!$G$32</f>
        <v>-4.4503138678768608E-2</v>
      </c>
      <c r="I952" s="32">
        <f>+I606/[9]Result!$G$32</f>
        <v>-1.8360174837826919E-2</v>
      </c>
      <c r="J952" s="32">
        <f>+J606/[10]Result!$G$32</f>
        <v>-1.9903659890513247E-2</v>
      </c>
      <c r="K952" s="38">
        <f>+K606/[11]Result!$G$32</f>
        <v>0.14738872140470433</v>
      </c>
      <c r="L952" s="32">
        <f>+L606/[12]Result!$G$32</f>
        <v>2.6511824333220129E-4</v>
      </c>
      <c r="M952" s="32">
        <f>+M606/[13]Result!$G$32</f>
        <v>-4.1534210998610495E-2</v>
      </c>
      <c r="N952" s="42"/>
    </row>
    <row r="953" spans="2:14" hidden="1" outlineLevel="2" x14ac:dyDescent="0.25">
      <c r="B953" s="17" t="s">
        <v>34</v>
      </c>
      <c r="C953" s="32">
        <f>+C607/[15]Result!$G$33</f>
        <v>-2.4358796761741013E-2</v>
      </c>
      <c r="D953" s="28">
        <f>+D607/[1]Result!$G$33</f>
        <v>3.1628625466708755E-2</v>
      </c>
      <c r="E953" s="38">
        <f>+E607/[5]Result!$G$33</f>
        <v>-3.1917744177736955E-2</v>
      </c>
      <c r="F953" s="28">
        <f>+F607/[6]Result!$G$33</f>
        <v>3.4267688406651349E-2</v>
      </c>
      <c r="G953" s="28">
        <f>+G607/[7]Result!$G$33</f>
        <v>-3.684521654835806E-2</v>
      </c>
      <c r="H953" s="38">
        <f>+H607/[8]Result!$G$33</f>
        <v>4.9962224261635671E-2</v>
      </c>
      <c r="I953" s="32">
        <f>+I607/[9]Result!$G$33</f>
        <v>-1.8616161691859694E-2</v>
      </c>
      <c r="J953" s="32">
        <f>+J607/[10]Result!$G$33</f>
        <v>-2.0618582682716564E-2</v>
      </c>
      <c r="K953" s="38">
        <f>+K607/[11]Result!$G$33</f>
        <v>0.168880352466939</v>
      </c>
      <c r="L953" s="32">
        <f>+L607/[12]Result!$G$33</f>
        <v>0</v>
      </c>
      <c r="M953" s="32">
        <f>+M607/[13]Result!$G$33</f>
        <v>-4.2353540674051678E-2</v>
      </c>
      <c r="N953" s="42"/>
    </row>
    <row r="954" spans="2:14" hidden="1" outlineLevel="2" x14ac:dyDescent="0.25">
      <c r="B954" s="17" t="s">
        <v>35</v>
      </c>
      <c r="C954" s="32">
        <f>+C608/[15]Result!$G$34</f>
        <v>-2.4781889145031932E-2</v>
      </c>
      <c r="D954" s="28">
        <f>+D608/[1]Result!$G$34</f>
        <v>3.2604093789343536E-2</v>
      </c>
      <c r="E954" s="38">
        <f>+E608/[5]Result!$G$34</f>
        <v>-3.6776653879367703E-2</v>
      </c>
      <c r="F954" s="28">
        <f>+F608/[6]Result!$G$34</f>
        <v>3.3868375056216954E-2</v>
      </c>
      <c r="G954" s="28">
        <f>+G608/[7]Result!$G$34</f>
        <v>-3.7287290346925704E-2</v>
      </c>
      <c r="H954" s="38">
        <f>+H608/[8]Result!$G$34</f>
        <v>4.253612428075406E-2</v>
      </c>
      <c r="I954" s="32">
        <f>+I608/[9]Result!$G$34</f>
        <v>-1.8844388792296773E-2</v>
      </c>
      <c r="J954" s="32">
        <f>+J608/[10]Result!$G$34</f>
        <v>-2.1194578482234123E-2</v>
      </c>
      <c r="K954" s="38">
        <f>+K608/[11]Result!$G$34</f>
        <v>1.4194464045500531E-2</v>
      </c>
      <c r="L954" s="32">
        <f>+L608/[12]Result!$G$34</f>
        <v>0</v>
      </c>
      <c r="M954" s="32">
        <f>+M608/[13]Result!$G$34</f>
        <v>-4.3127089907014839E-2</v>
      </c>
      <c r="N954" s="42"/>
    </row>
    <row r="955" spans="2:14" hidden="1" outlineLevel="1" collapsed="1" x14ac:dyDescent="0.25">
      <c r="B955" s="16" t="s">
        <v>36</v>
      </c>
      <c r="C955" s="32">
        <f>+C609/'[15]Stat by Mat'!$J$7</f>
        <v>-2.5741818924304469E-2</v>
      </c>
      <c r="D955" s="28">
        <f>+D609/'[1]Stat by Mat'!$J$7</f>
        <v>3.4734082962077688E-2</v>
      </c>
      <c r="E955" s="38">
        <f>+E609/'[5]Stat by Mat'!$J$7</f>
        <v>-5.3538810986084401E-2</v>
      </c>
      <c r="F955" s="28">
        <f>+F609/'[6]Stat by Mat'!$J$7</f>
        <v>3.3322802811511225E-2</v>
      </c>
      <c r="G955" s="28">
        <f>+G609/'[7]Stat by Mat'!$J$7</f>
        <v>-3.8562724860518031E-2</v>
      </c>
      <c r="H955" s="38">
        <f>+H609/'[8]Stat by Mat'!$J$7</f>
        <v>1.2366899465598855E-2</v>
      </c>
      <c r="I955" s="32">
        <f>+I609/'[9]Stat by Mat'!$J$7</f>
        <v>-1.9095006039332101E-2</v>
      </c>
      <c r="J955" s="32">
        <f>+J609/'[10]Stat by Mat'!$J$7</f>
        <v>-2.2375747338924532E-2</v>
      </c>
      <c r="K955" s="38">
        <f>+K609/'[11]Stat by Mat'!$J$7</f>
        <v>4.4460954822597168E-2</v>
      </c>
      <c r="L955" s="32">
        <f>+L609/'[12]Stat by Mat'!$J$7</f>
        <v>-3.1211608295673152E-4</v>
      </c>
      <c r="M955" s="32">
        <f>+M609/'[13]Stat by Mat'!$J$7</f>
        <v>-4.4867406170251749E-2</v>
      </c>
      <c r="N955" s="42"/>
    </row>
    <row r="956" spans="2:14" hidden="1" outlineLevel="2" x14ac:dyDescent="0.25">
      <c r="B956" s="17" t="s">
        <v>37</v>
      </c>
      <c r="C956" s="32">
        <f>+C610/[15]Result!$G$35</f>
        <v>-2.5175643635064034E-2</v>
      </c>
      <c r="D956" s="28">
        <f>+D610/[1]Result!$G$35</f>
        <v>3.341740885984118E-2</v>
      </c>
      <c r="E956" s="38">
        <f>+E610/[5]Result!$G$35</f>
        <v>-4.5379063810821484E-2</v>
      </c>
      <c r="F956" s="28">
        <f>+F610/[6]Result!$G$35</f>
        <v>3.3661870629240732E-2</v>
      </c>
      <c r="G956" s="28">
        <f>+G610/[7]Result!$G$35</f>
        <v>-3.7814385697559801E-2</v>
      </c>
      <c r="H956" s="38">
        <f>+H610/[8]Result!$G$35</f>
        <v>2.1022136147829818E-2</v>
      </c>
      <c r="I956" s="32">
        <f>+I610/[9]Result!$G$35</f>
        <v>-1.8899825978640941E-2</v>
      </c>
      <c r="J956" s="32">
        <f>+J610/[10]Result!$G$35</f>
        <v>-2.1616908727334884E-2</v>
      </c>
      <c r="K956" s="38">
        <f>+K610/[11]Result!$G$35</f>
        <v>2.1918328861401229E-2</v>
      </c>
      <c r="L956" s="32">
        <f>+L610/[12]Result!$G$35</f>
        <v>-1.4603649660153945E-4</v>
      </c>
      <c r="M956" s="32">
        <f>+M610/[13]Result!$G$35</f>
        <v>-4.3713506845436213E-2</v>
      </c>
      <c r="N956" s="42"/>
    </row>
    <row r="957" spans="2:14" hidden="1" outlineLevel="2" x14ac:dyDescent="0.25">
      <c r="B957" s="17" t="s">
        <v>38</v>
      </c>
      <c r="C957" s="32">
        <f>+C611/[15]Result!$G$36</f>
        <v>-2.5541818817973364E-2</v>
      </c>
      <c r="D957" s="28">
        <f>+D611/[1]Result!$G$36</f>
        <v>3.4211204598264183E-2</v>
      </c>
      <c r="E957" s="38">
        <f>+E611/[5]Result!$G$36</f>
        <v>-5.9314802009480368E-2</v>
      </c>
      <c r="F957" s="28">
        <f>+F611/[6]Result!$G$36</f>
        <v>3.3524981121548753E-2</v>
      </c>
      <c r="G957" s="28">
        <f>+G611/[7]Result!$G$36</f>
        <v>-3.8295592116715363E-2</v>
      </c>
      <c r="H957" s="38">
        <f>+H611/[8]Result!$G$36</f>
        <v>4.3532426938681281E-3</v>
      </c>
      <c r="I957" s="32">
        <f>+I611/[9]Result!$G$36</f>
        <v>-1.9065541324307746E-2</v>
      </c>
      <c r="J957" s="32">
        <f>+J611/[10]Result!$G$36</f>
        <v>-2.2020180973655715E-2</v>
      </c>
      <c r="K957" s="38">
        <f>+K611/[11]Result!$G$36</f>
        <v>4.9897530974820352E-2</v>
      </c>
      <c r="L957" s="32">
        <f>+L611/[12]Result!$G$36</f>
        <v>-3.0285466525581883E-4</v>
      </c>
      <c r="M957" s="32">
        <f>+M611/[13]Result!$G$36</f>
        <v>-4.4244375375719389E-2</v>
      </c>
      <c r="N957" s="42"/>
    </row>
    <row r="958" spans="2:14" hidden="1" outlineLevel="2" x14ac:dyDescent="0.25">
      <c r="B958" s="17" t="s">
        <v>39</v>
      </c>
      <c r="C958" s="32">
        <f>+C612/[15]Result!$G$37</f>
        <v>-2.5726122978526545E-2</v>
      </c>
      <c r="D958" s="28">
        <f>+D612/[1]Result!$G$37</f>
        <v>3.4823569880838866E-2</v>
      </c>
      <c r="E958" s="38">
        <f>+E612/[5]Result!$G$37</f>
        <v>-5.5075684500721991E-2</v>
      </c>
      <c r="F958" s="28">
        <f>+F612/[6]Result!$G$37</f>
        <v>3.3144644620500464E-2</v>
      </c>
      <c r="G958" s="28">
        <f>+G612/[7]Result!$G$37</f>
        <v>-3.8578838519575151E-2</v>
      </c>
      <c r="H958" s="38">
        <f>+H612/[8]Result!$G$37</f>
        <v>3.8488873454523365E-3</v>
      </c>
      <c r="I958" s="32">
        <f>+I612/[9]Result!$G$37</f>
        <v>-1.9051664146252405E-2</v>
      </c>
      <c r="J958" s="32">
        <f>+J612/[10]Result!$G$37</f>
        <v>-2.2404557699419139E-2</v>
      </c>
      <c r="K958" s="38">
        <f>+K612/[11]Result!$G$37</f>
        <v>8.5106633939093193E-2</v>
      </c>
      <c r="L958" s="32">
        <f>+L612/[12]Result!$G$37</f>
        <v>-3.1244859856758276E-4</v>
      </c>
      <c r="M958" s="32">
        <f>+M612/[13]Result!$G$37</f>
        <v>-4.4868258002072045E-2</v>
      </c>
      <c r="N958" s="42"/>
    </row>
    <row r="959" spans="2:14" hidden="1" outlineLevel="2" x14ac:dyDescent="0.25">
      <c r="B959" s="17" t="s">
        <v>40</v>
      </c>
      <c r="C959" s="32">
        <f>+C613/[15]Result!$G$38</f>
        <v>-2.5872685042784071E-2</v>
      </c>
      <c r="D959" s="28">
        <f>+D613/[1]Result!$G$38</f>
        <v>3.5237869633991475E-2</v>
      </c>
      <c r="E959" s="38">
        <f>+E613/[5]Result!$G$38</f>
        <v>-4.8430862999571847E-2</v>
      </c>
      <c r="F959" s="28">
        <f>+F613/[6]Result!$G$38</f>
        <v>3.317430307340663E-2</v>
      </c>
      <c r="G959" s="28">
        <f>+G613/[7]Result!$G$38</f>
        <v>-3.8960848071999031E-2</v>
      </c>
      <c r="H959" s="38">
        <f>+H613/[8]Result!$G$38</f>
        <v>7.5629610724147426E-3</v>
      </c>
      <c r="I959" s="32">
        <f>+I613/[9]Result!$G$38</f>
        <v>-1.8996917013130492E-2</v>
      </c>
      <c r="J959" s="32">
        <f>+J613/[10]Result!$G$38</f>
        <v>-2.2769877718467672E-2</v>
      </c>
      <c r="K959" s="38">
        <f>+K613/[11]Result!$G$38</f>
        <v>5.0787101575519765E-2</v>
      </c>
      <c r="L959" s="32">
        <f>+L613/[12]Result!$G$38</f>
        <v>-3.2204189632195043E-4</v>
      </c>
      <c r="M959" s="32">
        <f>+M613/[13]Result!$G$38</f>
        <v>-4.5447609822822754E-2</v>
      </c>
      <c r="N959" s="42"/>
    </row>
    <row r="960" spans="2:14" hidden="1" outlineLevel="2" x14ac:dyDescent="0.25">
      <c r="B960" s="17" t="s">
        <v>41</v>
      </c>
      <c r="C960" s="32">
        <f>+C614/[15]Result!$G$39</f>
        <v>-2.6142932821651803E-2</v>
      </c>
      <c r="D960" s="28">
        <f>+D614/[1]Result!$G$39</f>
        <v>3.578386276339228E-2</v>
      </c>
      <c r="E960" s="38">
        <f>+E614/[5]Result!$G$39</f>
        <v>-7.3039303618516252E-2</v>
      </c>
      <c r="F960" s="28">
        <f>+F614/[6]Result!$G$39</f>
        <v>3.3147603810258934E-2</v>
      </c>
      <c r="G960" s="28">
        <f>+G614/[7]Result!$G$39</f>
        <v>-3.9139087146412059E-2</v>
      </c>
      <c r="H960" s="38">
        <f>+H614/[8]Result!$G$39</f>
        <v>-4.6657061867033086E-3</v>
      </c>
      <c r="I960" s="32">
        <f>+I614/[9]Result!$G$39</f>
        <v>-1.9231564275565566E-2</v>
      </c>
      <c r="J960" s="32">
        <f>+J614/[10]Result!$G$39</f>
        <v>-2.2955166855569947E-2</v>
      </c>
      <c r="K960" s="38">
        <f>+K614/[11]Result!$G$39</f>
        <v>2.9673021900123029E-2</v>
      </c>
      <c r="L960" s="32">
        <f>+L614/[12]Result!$G$39</f>
        <v>-3.316338104816968E-4</v>
      </c>
      <c r="M960" s="32">
        <f>+M614/[13]Result!$G$39</f>
        <v>-4.5821872818299594E-2</v>
      </c>
      <c r="N960" s="42"/>
    </row>
    <row r="961" spans="2:15" hidden="1" outlineLevel="2" x14ac:dyDescent="0.25">
      <c r="B961" s="17" t="s">
        <v>42</v>
      </c>
      <c r="C961" s="32">
        <f>+C615/[15]Result!$G$40</f>
        <v>-2.6386795539960928E-2</v>
      </c>
      <c r="D961" s="28">
        <f>+D615/[1]Result!$G$40</f>
        <v>3.6302070640236425E-2</v>
      </c>
      <c r="E961" s="38">
        <f>+E615/[5]Result!$G$40</f>
        <v>-6.5754781904694415E-2</v>
      </c>
      <c r="F961" s="28">
        <f>+F615/[6]Result!$G$40</f>
        <v>3.2881577598691793E-2</v>
      </c>
      <c r="G961" s="28">
        <f>+G615/[7]Result!$G$40</f>
        <v>-3.9257975513320588E-2</v>
      </c>
      <c r="H961" s="38">
        <f>+H615/[8]Result!$G$40</f>
        <v>7.8559883643384842E-3</v>
      </c>
      <c r="I961" s="32">
        <f>+I615/[9]Result!$G$40</f>
        <v>-1.9447355671915308E-2</v>
      </c>
      <c r="J961" s="32">
        <f>+J615/[10]Result!$G$40</f>
        <v>-2.3110320675482816E-2</v>
      </c>
      <c r="K961" s="38">
        <f>+K615/[11]Result!$G$40</f>
        <v>6.0336927757697896E-2</v>
      </c>
      <c r="L961" s="32">
        <f>+L615/[12]Result!$G$40</f>
        <v>-5.1066707210072938E-4</v>
      </c>
      <c r="M961" s="32">
        <f>+M615/[13]Result!$G$40</f>
        <v>-4.6140954725404304E-2</v>
      </c>
      <c r="N961" s="42"/>
    </row>
    <row r="962" spans="2:15" hidden="1" outlineLevel="2" x14ac:dyDescent="0.25">
      <c r="B962" s="17" t="s">
        <v>43</v>
      </c>
      <c r="C962" s="32">
        <f>+C616/[15]Result!$G$41</f>
        <v>-2.6600361189540359E-2</v>
      </c>
      <c r="D962" s="28">
        <f>+D616/[1]Result!$G$41</f>
        <v>3.6606727487605926E-2</v>
      </c>
      <c r="E962" s="38">
        <f>+E616/[5]Result!$G$41</f>
        <v>-5.0577225429358205E-2</v>
      </c>
      <c r="F962" s="28">
        <f>+F616/[6]Result!$G$41</f>
        <v>3.2728752544681237E-2</v>
      </c>
      <c r="G962" s="28">
        <f>+G616/[7]Result!$G$41</f>
        <v>-3.9493336390182161E-2</v>
      </c>
      <c r="H962" s="38">
        <f>+H616/[8]Result!$G$41</f>
        <v>1.8267506950708876E-2</v>
      </c>
      <c r="I962" s="32">
        <f>+I616/[9]Result!$G$41</f>
        <v>-1.9473296475813487E-2</v>
      </c>
      <c r="J962" s="32">
        <f>+J616/[10]Result!$G$41</f>
        <v>-2.340965903407068E-2</v>
      </c>
      <c r="K962" s="38">
        <f>+K616/[11]Result!$G$41</f>
        <v>9.4384883553278537E-2</v>
      </c>
      <c r="L962" s="32">
        <f>+L616/[12]Result!$G$41</f>
        <v>-5.2741644055442276E-4</v>
      </c>
      <c r="M962" s="32">
        <f>+M616/[13]Result!$G$41</f>
        <v>-4.6571019330854786E-2</v>
      </c>
      <c r="N962" s="42"/>
    </row>
    <row r="963" spans="2:15" hidden="1" outlineLevel="2" x14ac:dyDescent="0.25">
      <c r="B963" s="17" t="s">
        <v>44</v>
      </c>
      <c r="C963" s="32">
        <f>+C617/[15]Result!$G$42</f>
        <v>-2.6788046202261249E-2</v>
      </c>
      <c r="D963" s="28">
        <f>+D617/[1]Result!$G$42</f>
        <v>3.6871526364150697E-2</v>
      </c>
      <c r="E963" s="38">
        <f>+E617/[5]Result!$G$42</f>
        <v>-2.4989487125350558E-2</v>
      </c>
      <c r="F963" s="28">
        <f>+F617/[6]Result!$G$42</f>
        <v>3.2701658503035552E-2</v>
      </c>
      <c r="G963" s="28">
        <f>+G617/[7]Result!$G$42</f>
        <v>-3.9680205164793592E-2</v>
      </c>
      <c r="H963" s="38">
        <f>+H617/[8]Result!$G$42</f>
        <v>3.4695954130345395E-2</v>
      </c>
      <c r="I963" s="32">
        <f>+I617/[9]Result!$G$42</f>
        <v>-1.9468542472249026E-2</v>
      </c>
      <c r="J963" s="32">
        <f>+J617/[10]Result!$G$42</f>
        <v>-2.3690092746783756E-2</v>
      </c>
      <c r="K963" s="38">
        <f>+K617/[11]Result!$G$42</f>
        <v>0.12561852648653368</v>
      </c>
      <c r="L963" s="32">
        <f>+L617/[12]Result!$G$42</f>
        <v>-5.3921154192162297E-4</v>
      </c>
      <c r="M963" s="32">
        <f>+M617/[13]Result!$G$42</f>
        <v>-4.6957423254125212E-2</v>
      </c>
      <c r="N963" s="42"/>
    </row>
    <row r="964" spans="2:15" hidden="1" outlineLevel="2" x14ac:dyDescent="0.25">
      <c r="B964" s="17" t="s">
        <v>45</v>
      </c>
      <c r="C964" s="32">
        <f>+C618/[15]Result!$G$43</f>
        <v>-2.6945072513652097E-2</v>
      </c>
      <c r="D964" s="28">
        <f>+D618/[1]Result!$G$43</f>
        <v>3.7096418203187889E-2</v>
      </c>
      <c r="E964" s="38">
        <f>+E618/[5]Result!$G$43</f>
        <v>-1.8818934788274386E-2</v>
      </c>
      <c r="F964" s="28">
        <f>+F618/[6]Result!$G$43</f>
        <v>3.2817710479552661E-2</v>
      </c>
      <c r="G964" s="28">
        <f>+G618/[7]Result!$G$43</f>
        <v>-4.0000064074287314E-2</v>
      </c>
      <c r="H964" s="38">
        <f>+H618/[8]Result!$G$43</f>
        <v>1.7533609492114084E-2</v>
      </c>
      <c r="I964" s="32">
        <f>+I618/[9]Result!$G$43</f>
        <v>-1.9618271288566219E-2</v>
      </c>
      <c r="J964" s="32">
        <f>+J618/[10]Result!$G$43</f>
        <v>-2.3951641574845934E-2</v>
      </c>
      <c r="K964" s="38">
        <f>+K618/[11]Result!$G$43</f>
        <v>3.9878759859132147E-2</v>
      </c>
      <c r="L964" s="32">
        <f>+L618/[12]Result!$G$43</f>
        <v>-7.3985444156618322E-4</v>
      </c>
      <c r="M964" s="32">
        <f>+M618/[13]Result!$G$43</f>
        <v>-4.7120619509269289E-2</v>
      </c>
      <c r="N964" s="42"/>
    </row>
    <row r="965" spans="2:15" hidden="1" outlineLevel="2" x14ac:dyDescent="0.25">
      <c r="B965" s="17" t="s">
        <v>46</v>
      </c>
      <c r="C965" s="32">
        <f>+C619/[15]Result!$G$44</f>
        <v>-2.7076704358188122E-2</v>
      </c>
      <c r="D965" s="28">
        <f>+D619/[1]Result!$G$44</f>
        <v>3.7281433039581785E-2</v>
      </c>
      <c r="E965" s="38">
        <f>+E619/[5]Result!$G$44</f>
        <v>-0.10603270962891542</v>
      </c>
      <c r="F965" s="28">
        <f>+F619/[6]Result!$G$44</f>
        <v>3.2893919640935722E-2</v>
      </c>
      <c r="G965" s="28">
        <f>+G619/[7]Result!$G$44</f>
        <v>-4.0282740748289206E-2</v>
      </c>
      <c r="H965" s="38">
        <f>+H619/[8]Result!$G$44</f>
        <v>3.7523235684697433E-2</v>
      </c>
      <c r="I965" s="32">
        <f>+I619/[9]Result!$G$44</f>
        <v>-1.9564426683224216E-2</v>
      </c>
      <c r="J965" s="32">
        <f>+J619/[10]Result!$G$44</f>
        <v>-2.4194459657131333E-2</v>
      </c>
      <c r="K965" s="38">
        <f>+K619/[11]Result!$G$44</f>
        <v>-5.9492811320510521E-2</v>
      </c>
      <c r="L965" s="32">
        <f>+L619/[12]Result!$G$44</f>
        <v>-7.5902500951280881E-4</v>
      </c>
      <c r="M965" s="32">
        <f>+M619/[13]Result!$G$44</f>
        <v>-4.7408178678073988E-2</v>
      </c>
      <c r="N965" s="42"/>
    </row>
    <row r="966" spans="2:15" hidden="1" outlineLevel="2" x14ac:dyDescent="0.25">
      <c r="B966" s="17" t="s">
        <v>47</v>
      </c>
      <c r="C966" s="32">
        <f>+C620/[15]Result!$G$45</f>
        <v>-2.6988712180448973E-2</v>
      </c>
      <c r="D966" s="28">
        <f>+D620/[1]Result!$G$45</f>
        <v>3.7426541708333212E-2</v>
      </c>
      <c r="E966" s="38">
        <f>+E620/[5]Result!$G$45</f>
        <v>-8.8475771500901343E-2</v>
      </c>
      <c r="F966" s="28">
        <f>+F620/[6]Result!$G$45</f>
        <v>3.2730474134280846E-2</v>
      </c>
      <c r="G966" s="28">
        <f>+G620/[7]Result!$G$45</f>
        <v>-4.034270041353958E-2</v>
      </c>
      <c r="H966" s="38">
        <f>+H620/[8]Result!$G$45</f>
        <v>4.2524385768813254E-2</v>
      </c>
      <c r="I966" s="32">
        <f>+I620/[9]Result!$G$45</f>
        <v>-1.9479283443097982E-2</v>
      </c>
      <c r="J966" s="32">
        <f>+J620/[10]Result!$G$45</f>
        <v>-2.4230162991402151E-2</v>
      </c>
      <c r="K966" s="38">
        <f>+K620/[11]Result!$G$45</f>
        <v>-6.224057517238997E-2</v>
      </c>
      <c r="L966" s="32">
        <f>+L620/[12]Result!$G$45</f>
        <v>-7.7819859395521825E-4</v>
      </c>
      <c r="M966" s="32">
        <f>+M620/[13]Result!$G$45</f>
        <v>-4.783664540784207E-2</v>
      </c>
      <c r="N966" s="42"/>
    </row>
    <row r="967" spans="2:15" hidden="1" outlineLevel="2" x14ac:dyDescent="0.25">
      <c r="B967" s="17" t="s">
        <v>48</v>
      </c>
      <c r="C967" s="32">
        <f>+C621/[15]Result!$G$46</f>
        <v>-2.7056339441494843E-2</v>
      </c>
      <c r="D967" s="28">
        <f>+D621/[1]Result!$G$46</f>
        <v>3.7737633778758627E-2</v>
      </c>
      <c r="E967" s="38">
        <f>+E621/[5]Result!$G$46</f>
        <v>-7.5308808235889008E-2</v>
      </c>
      <c r="F967" s="28">
        <f>+F621/[6]Result!$G$46</f>
        <v>3.2718756655598924E-2</v>
      </c>
      <c r="G967" s="28">
        <f>+G621/[7]Result!$G$46</f>
        <v>-4.0353467056599937E-2</v>
      </c>
      <c r="H967" s="38">
        <f>+H621/[8]Result!$G$46</f>
        <v>4.3257022663926309E-2</v>
      </c>
      <c r="I967" s="32">
        <f>+I621/[9]Result!$G$46</f>
        <v>-1.9563067109065205E-2</v>
      </c>
      <c r="J967" s="32">
        <f>+J621/[10]Result!$G$46</f>
        <v>-2.4234508092817214E-2</v>
      </c>
      <c r="K967" s="38">
        <f>+K621/[11]Result!$G$46</f>
        <v>-4.9459789065945003E-2</v>
      </c>
      <c r="L967" s="32">
        <f>+L621/[12]Result!$G$46</f>
        <v>-7.9736611633582561E-4</v>
      </c>
      <c r="M967" s="32">
        <f>+M621/[13]Result!$G$46</f>
        <v>-4.8040347807118175E-2</v>
      </c>
      <c r="N967" s="42"/>
    </row>
    <row r="968" spans="2:15" hidden="1" outlineLevel="2" x14ac:dyDescent="0.25">
      <c r="B968" s="17" t="s">
        <v>49</v>
      </c>
      <c r="C968" s="32">
        <f>+C622/[15]Result!$G$47</f>
        <v>-2.7296998596834557E-2</v>
      </c>
      <c r="D968" s="28">
        <f>+D622/[1]Result!$G$47</f>
        <v>3.8022462253552922E-2</v>
      </c>
      <c r="E968" s="38">
        <f>+E622/[5]Result!$G$47</f>
        <v>-5.8264078652373624E-2</v>
      </c>
      <c r="F968" s="28">
        <f>+F622/[6]Result!$G$47</f>
        <v>3.2884036239783074E-2</v>
      </c>
      <c r="G968" s="28">
        <f>+G622/[7]Result!$G$47</f>
        <v>-4.0516101504764333E-2</v>
      </c>
      <c r="H968" s="38">
        <f>+H622/[8]Result!$G$47</f>
        <v>3.311146772194476E-2</v>
      </c>
      <c r="I968" s="32">
        <f>+I622/[9]Result!$G$47</f>
        <v>-1.9628060477789231E-2</v>
      </c>
      <c r="J968" s="32">
        <f>+J622/[10]Result!$G$47</f>
        <v>-2.4411647218250409E-2</v>
      </c>
      <c r="K968" s="38">
        <f>+K622/[11]Result!$G$47</f>
        <v>-3.8643815052702479E-2</v>
      </c>
      <c r="L968" s="32">
        <f>+L622/[12]Result!$G$47</f>
        <v>-8.1653499844830868E-4</v>
      </c>
      <c r="M968" s="32">
        <f>+M622/[13]Result!$G$47</f>
        <v>-4.8194929225143936E-2</v>
      </c>
      <c r="N968" s="42"/>
    </row>
    <row r="969" spans="2:15" hidden="1" outlineLevel="2" x14ac:dyDescent="0.25">
      <c r="B969" s="17" t="s">
        <v>50</v>
      </c>
      <c r="C969" s="32">
        <f>+C623/[15]Result!$G$48</f>
        <v>-2.7316685621262812E-2</v>
      </c>
      <c r="D969" s="28">
        <f>+D623/[1]Result!$G$48</f>
        <v>-2.0527671277372116E-2</v>
      </c>
      <c r="E969" s="38">
        <f>+E623/[5]Result!$G$48</f>
        <v>0</v>
      </c>
      <c r="F969" s="28">
        <f>+F623/[6]Result!$G$48</f>
        <v>0</v>
      </c>
      <c r="G969" s="28">
        <f>+G623/[7]Result!$G$48</f>
        <v>-6.308945963160062E-2</v>
      </c>
      <c r="H969" s="38">
        <f>+H623/[8]Result!$G$48</f>
        <v>4.1039667107237922E-2</v>
      </c>
      <c r="I969" s="32">
        <f>+I623/[9]Result!$G$48</f>
        <v>0</v>
      </c>
      <c r="J969" s="32">
        <f>+J623/[10]Result!$G$48</f>
        <v>0</v>
      </c>
      <c r="K969" s="38">
        <f>+K623/[11]Result!$G$48</f>
        <v>0</v>
      </c>
      <c r="L969" s="32">
        <f>+L623/[12]Result!$G$48</f>
        <v>0</v>
      </c>
      <c r="M969" s="32">
        <f>+M623/[13]Result!$G$48</f>
        <v>0</v>
      </c>
      <c r="N969" s="42"/>
    </row>
    <row r="970" spans="2:15" hidden="1" outlineLevel="2" x14ac:dyDescent="0.25">
      <c r="B970" s="17" t="s">
        <v>51</v>
      </c>
      <c r="C970" s="32">
        <f>+C624/[15]Result!$G$49</f>
        <v>-2.7304540493989813E-2</v>
      </c>
      <c r="D970" s="28">
        <f>+D624/[1]Result!$G$49</f>
        <v>3.8053070914517047E-2</v>
      </c>
      <c r="E970" s="38">
        <f>+E624/[5]Result!$G$49</f>
        <v>-5.8164342618294076E-2</v>
      </c>
      <c r="F970" s="28">
        <f>+F624/[6]Result!$G$49</f>
        <v>3.2455533216185807E-2</v>
      </c>
      <c r="G970" s="28">
        <f>+G624/[7]Result!$G$49</f>
        <v>-4.0319400483947075E-2</v>
      </c>
      <c r="H970" s="38">
        <f>+H624/[8]Result!$G$49</f>
        <v>3.130984763000471E-2</v>
      </c>
      <c r="I970" s="32">
        <f>+I624/[9]Result!$G$49</f>
        <v>-1.970144779878278E-2</v>
      </c>
      <c r="J970" s="32">
        <f>+J624/[10]Result!$G$49</f>
        <v>-2.4503030701313971E-2</v>
      </c>
      <c r="K970" s="38">
        <f>+K624/[11]Result!$G$49</f>
        <v>-3.6559706905823067E-2</v>
      </c>
      <c r="L970" s="32">
        <f>+L624/[12]Result!$G$49</f>
        <v>-8.5487008557978369E-4</v>
      </c>
      <c r="M970" s="32">
        <f>+M624/[13]Result!$G$49</f>
        <v>-4.8575850937125256E-2</v>
      </c>
      <c r="N970" s="42"/>
    </row>
    <row r="971" spans="2:15" hidden="1" outlineLevel="2" x14ac:dyDescent="0.25">
      <c r="B971" s="17" t="s">
        <v>52</v>
      </c>
      <c r="C971" s="32">
        <f>+C625/[15]Result!$G$50</f>
        <v>-2.7479724964200172E-2</v>
      </c>
      <c r="D971" s="28">
        <f>+D625/[1]Result!$G$50</f>
        <v>3.8234205455183107E-2</v>
      </c>
      <c r="E971" s="38">
        <f>+E625/[5]Result!$G$50</f>
        <v>-6.1243333205101023E-2</v>
      </c>
      <c r="F971" s="28">
        <f>+F625/[6]Result!$G$50</f>
        <v>3.2516937844049271E-2</v>
      </c>
      <c r="G971" s="28">
        <f>+G625/[7]Result!$G$50</f>
        <v>-4.0362205308969605E-2</v>
      </c>
      <c r="H971" s="38">
        <f>+H625/[8]Result!$G$50</f>
        <v>3.2507820775145489E-2</v>
      </c>
      <c r="I971" s="32">
        <f>+I625/[9]Result!$G$50</f>
        <v>-1.9497576234544796E-2</v>
      </c>
      <c r="J971" s="32">
        <f>+J625/[10]Result!$G$50</f>
        <v>-2.4615141411524804E-2</v>
      </c>
      <c r="K971" s="38">
        <f>+K625/[11]Result!$G$50</f>
        <v>-4.6477070219334497E-2</v>
      </c>
      <c r="L971" s="32">
        <f>+L625/[12]Result!$G$50</f>
        <v>-8.7403431448095678E-4</v>
      </c>
      <c r="M971" s="32">
        <f>+M625/[13]Result!$G$50</f>
        <v>-4.8597737307203251E-2</v>
      </c>
      <c r="N971" s="42"/>
    </row>
    <row r="972" spans="2:15" hidden="1" outlineLevel="2" x14ac:dyDescent="0.25">
      <c r="B972" s="17" t="s">
        <v>53</v>
      </c>
      <c r="C972" s="32">
        <f>+C626/[15]Result!$G$51</f>
        <v>-2.7420343904959631E-2</v>
      </c>
      <c r="D972" s="28">
        <f>+D626/[1]Result!$G$51</f>
        <v>3.815942422979187E-2</v>
      </c>
      <c r="E972" s="38">
        <f>+E626/[5]Result!$G$51</f>
        <v>-5.9041399843524772E-2</v>
      </c>
      <c r="F972" s="28">
        <f>+F626/[6]Result!$G$51</f>
        <v>3.2544195660257319E-2</v>
      </c>
      <c r="G972" s="28">
        <f>+G626/[7]Result!$G$51</f>
        <v>-4.0580802835925425E-2</v>
      </c>
      <c r="H972" s="38">
        <f>+H626/[8]Result!$G$51</f>
        <v>4.3932413614495104E-2</v>
      </c>
      <c r="I972" s="32">
        <f>+I626/[9]Result!$G$51</f>
        <v>-1.9478163607130637E-2</v>
      </c>
      <c r="J972" s="32">
        <f>+J626/[10]Result!$G$51</f>
        <v>-2.4716934339163703E-2</v>
      </c>
      <c r="K972" s="38">
        <f>+K626/[11]Result!$G$51</f>
        <v>-6.1036067860138633E-2</v>
      </c>
      <c r="L972" s="32">
        <f>+L626/[12]Result!$G$51</f>
        <v>-8.9319633411046116E-4</v>
      </c>
      <c r="M972" s="32">
        <f>+M626/[13]Result!$G$51</f>
        <v>-4.8788189275982295E-2</v>
      </c>
      <c r="N972" s="42"/>
    </row>
    <row r="973" spans="2:15" hidden="1" outlineLevel="2" x14ac:dyDescent="0.25">
      <c r="B973" s="17" t="s">
        <v>54</v>
      </c>
      <c r="C973" s="32">
        <f>+C627/[15]Result!$G$52</f>
        <v>-2.7328562367309798E-2</v>
      </c>
      <c r="D973" s="28">
        <f>+D627/[1]Result!$G$52</f>
        <v>3.803539056447728E-2</v>
      </c>
      <c r="E973" s="38">
        <f>+E627/[5]Result!$G$52</f>
        <v>-8.8922461641964434E-2</v>
      </c>
      <c r="F973" s="28">
        <f>+F627/[6]Result!$G$52</f>
        <v>3.2780112863071462E-2</v>
      </c>
      <c r="G973" s="28">
        <f>+G627/[7]Result!$G$52</f>
        <v>-4.0776126807834108E-2</v>
      </c>
      <c r="H973" s="38">
        <f>+H627/[8]Result!$G$52</f>
        <v>7.6619049482678378E-2</v>
      </c>
      <c r="I973" s="32">
        <f>+I627/[9]Result!$G$52</f>
        <v>-1.967038116912885E-2</v>
      </c>
      <c r="J973" s="32">
        <f>+J627/[10]Result!$G$52</f>
        <v>-2.4570886588655819E-2</v>
      </c>
      <c r="K973" s="38">
        <f>+K627/[11]Result!$G$52</f>
        <v>-7.062676688697557E-2</v>
      </c>
      <c r="L973" s="32">
        <f>+L627/[12]Result!$G$52</f>
        <v>-9.1235614484713756E-4</v>
      </c>
      <c r="M973" s="32">
        <f>+M627/[13]Result!$G$52</f>
        <v>-4.8727500691834499E-2</v>
      </c>
      <c r="N973" s="42"/>
    </row>
    <row r="974" spans="2:15" hidden="1" outlineLevel="2" x14ac:dyDescent="0.25">
      <c r="B974" s="17" t="s">
        <v>55</v>
      </c>
      <c r="C974" s="32">
        <f>+C628/[15]Result!$G$53</f>
        <v>-2.7438303077495691E-2</v>
      </c>
      <c r="D974" s="28">
        <f>+D628/[1]Result!$G$53</f>
        <v>3.812141855981821E-2</v>
      </c>
      <c r="E974" s="38">
        <f>+E628/[5]Result!$G$53</f>
        <v>-0.11261872775697818</v>
      </c>
      <c r="F974" s="28">
        <f>+F628/[6]Result!$G$53</f>
        <v>3.275757194180471E-2</v>
      </c>
      <c r="G974" s="28">
        <f>+G628/[7]Result!$G$53</f>
        <v>-4.0717619913642887E-2</v>
      </c>
      <c r="H974" s="38">
        <f>+H628/[8]Result!$G$53</f>
        <v>2.679586324016496E-2</v>
      </c>
      <c r="I974" s="32">
        <f>+I628/[9]Result!$G$53</f>
        <v>-1.962241808557311E-2</v>
      </c>
      <c r="J974" s="32">
        <f>+J628/[10]Result!$G$53</f>
        <v>-2.4851024158739882E-2</v>
      </c>
      <c r="K974" s="38">
        <f>+K628/[11]Result!$G$53</f>
        <v>-8.9980794982176163E-2</v>
      </c>
      <c r="L974" s="32">
        <f>+L628/[12]Result!$G$53</f>
        <v>-9.3152042769951288E-4</v>
      </c>
      <c r="M974" s="32">
        <f>+M628/[13]Result!$G$53</f>
        <v>-4.8835857803155053E-2</v>
      </c>
      <c r="N974" s="42"/>
    </row>
    <row r="975" spans="2:15" hidden="1" outlineLevel="2" x14ac:dyDescent="0.25">
      <c r="B975" s="17" t="s">
        <v>56</v>
      </c>
      <c r="C975" s="32">
        <f>+C629/[15]Result!$G$54</f>
        <v>-2.7529257688963776E-2</v>
      </c>
      <c r="D975" s="28">
        <f>+D629/[1]Result!$G$54</f>
        <v>3.8172236652759664E-2</v>
      </c>
      <c r="E975" s="38">
        <f>+E629/[5]Result!$G$54</f>
        <v>-0.1717643769283704</v>
      </c>
      <c r="F975" s="28">
        <f>+F629/[6]Result!$G$54</f>
        <v>3.2456750375218925E-2</v>
      </c>
      <c r="G975" s="28">
        <f>+G629/[7]Result!$G$54</f>
        <v>-4.0622166218590619E-2</v>
      </c>
      <c r="H975" s="38">
        <f>+H629/[8]Result!$G$54</f>
        <v>8.250204890977185E-2</v>
      </c>
      <c r="I975" s="32">
        <f>+I629/[9]Result!$G$54</f>
        <v>-1.9555605599396293E-2</v>
      </c>
      <c r="J975" s="32">
        <f>+J629/[10]Result!$G$54</f>
        <v>-2.4897261160839484E-2</v>
      </c>
      <c r="K975" s="38">
        <f>+K629/[11]Result!$G$54</f>
        <v>-9.8282052777561774E-2</v>
      </c>
      <c r="L975" s="32">
        <f>+L629/[12]Result!$G$54</f>
        <v>-9.5068513410715555E-4</v>
      </c>
      <c r="M975" s="32">
        <f>+M629/[13]Result!$G$54</f>
        <v>-4.9140778130062561E-2</v>
      </c>
      <c r="N975" s="42"/>
    </row>
    <row r="976" spans="2:15" collapsed="1" x14ac:dyDescent="0.25">
      <c r="B976" s="13" t="s">
        <v>93</v>
      </c>
      <c r="C976" s="32">
        <f>+C630/SUM([15]Result!$H$5:$H$54)</f>
        <v>1.5074275439591165E-2</v>
      </c>
      <c r="D976" s="28">
        <f>+D630/SUM([1]Result!$H$5:$H$54)</f>
        <v>-3.406709260441125E-2</v>
      </c>
      <c r="E976" s="38">
        <f>+E630/SUM([5]Result!$H$5:$H$54)</f>
        <v>3.7077477175659991E-2</v>
      </c>
      <c r="F976" s="28">
        <f>+F630/SUM([6]Result!$H$5:$H$54)</f>
        <v>-8.3881846962160805E-2</v>
      </c>
      <c r="G976" s="28">
        <f>+G630/SUM([7]Result!$H$5:$H$54)</f>
        <v>1.3981157878040201E-2</v>
      </c>
      <c r="H976" s="38">
        <f>+H630/SUM([8]Result!$H$5:$H$54)</f>
        <v>1.5349274477540005E-2</v>
      </c>
      <c r="I976" s="33">
        <f>+I630/SUM([9]Result!$H$5:$H$54)</f>
        <v>2.7544870519379084E-2</v>
      </c>
      <c r="J976" s="33">
        <f>+J630/SUM([10]Result!$H$5:$H$54)</f>
        <v>-1.2847417410683105E-2</v>
      </c>
      <c r="K976" s="38">
        <f>+K630/SUM([11]Result!$H$5:$H$54)</f>
        <v>4.6887267308530142E-2</v>
      </c>
      <c r="L976" s="33">
        <f>+L630/SUM([12]Result!$H$5:$H$54)</f>
        <v>-9.6319510300502519E-3</v>
      </c>
      <c r="M976" s="33">
        <f>+M630/SUM([13]Result!$H$5:$H$54)</f>
        <v>1.435400383348313E-2</v>
      </c>
      <c r="N976" s="42"/>
      <c r="O976" s="14"/>
    </row>
    <row r="977" spans="2:14" hidden="1" outlineLevel="1" x14ac:dyDescent="0.25">
      <c r="B977" s="16" t="s">
        <v>2</v>
      </c>
      <c r="C977" s="32">
        <f>+C631/'[15]Stat by Mat 2'!$D$3</f>
        <v>2.8020917448789911E-2</v>
      </c>
      <c r="D977" s="28">
        <f>+D631/'[1]Stat by Mat 2'!$D$3</f>
        <v>-5.7392573288201666E-2</v>
      </c>
      <c r="E977" s="38">
        <f>+E631/'[5]Stat by Mat 2'!$D$3</f>
        <v>9.8514239361224665E-2</v>
      </c>
      <c r="F977" s="28">
        <f>+F631/'[6]Stat by Mat 2'!$D$3</f>
        <v>-0.12682768084882909</v>
      </c>
      <c r="G977" s="28">
        <f>+G631/'[7]Stat by Mat 2'!$D$3</f>
        <v>2.3620432493499238E-2</v>
      </c>
      <c r="H977" s="38">
        <f>+H631/'[8]Stat by Mat 2'!$D$3</f>
        <v>1.9636940106924631E-2</v>
      </c>
      <c r="I977" s="32">
        <f>+I631/'[9]Stat by Mat 2'!$D$3</f>
        <v>4.2320050165853405E-2</v>
      </c>
      <c r="J977" s="32">
        <f>+J631/'[10]Stat by Mat 2'!$D$3</f>
        <v>-1.6292681098188998E-2</v>
      </c>
      <c r="K977" s="38">
        <f>+K631/'[11]Stat by Mat 2'!$D$3</f>
        <v>7.0590182010892497E-2</v>
      </c>
      <c r="L977" s="32">
        <f>+L631/'[12]Stat by Mat 2'!$D$3</f>
        <v>-1.138918737007757E-2</v>
      </c>
      <c r="M977" s="32">
        <f>+M631/'[13]Stat by Mat 2'!$D$3</f>
        <v>1.802800077447704E-2</v>
      </c>
      <c r="N977" s="42"/>
    </row>
    <row r="978" spans="2:14" ht="15" hidden="1" customHeight="1" outlineLevel="2" x14ac:dyDescent="0.25">
      <c r="B978" s="17" t="s">
        <v>3</v>
      </c>
      <c r="C978" s="32">
        <f>+C632/[15]Result!$H$5</f>
        <v>2.4030703811893008E-2</v>
      </c>
      <c r="D978" s="28">
        <f>+D632/[1]Result!$H$5</f>
        <v>-6.3521905870234721E-2</v>
      </c>
      <c r="E978" s="38">
        <f>+E632/[5]Result!$H$5</f>
        <v>5.0167348307721092E-3</v>
      </c>
      <c r="F978" s="28">
        <f>+F632/[6]Result!$H$5</f>
        <v>-0.12673293828530738</v>
      </c>
      <c r="G978" s="28">
        <f>+G632/[7]Result!$H$5</f>
        <v>8.7913610459457066E-3</v>
      </c>
      <c r="H978" s="38">
        <f>+H632/[8]Result!$H$5</f>
        <v>-7.9413433306423892E-2</v>
      </c>
      <c r="I978" s="32">
        <f>+I632/[9]Result!$H$5</f>
        <v>3.4210085894248815E-2</v>
      </c>
      <c r="J978" s="32">
        <f>+J632/[10]Result!$H$5</f>
        <v>-4.1185524614095288E-3</v>
      </c>
      <c r="K978" s="38">
        <f>+K632/[11]Result!$H$5</f>
        <v>-2.5278399017992587E-2</v>
      </c>
      <c r="L978" s="32">
        <f>+L632/[12]Result!$H$5</f>
        <v>2.6884724466621837E-3</v>
      </c>
      <c r="M978" s="32">
        <f>+M632/[13]Result!$H$5</f>
        <v>5.3211767231325906E-3</v>
      </c>
      <c r="N978" s="42"/>
    </row>
    <row r="979" spans="2:14" hidden="1" outlineLevel="2" x14ac:dyDescent="0.25">
      <c r="B979" s="17" t="s">
        <v>4</v>
      </c>
      <c r="C979" s="32">
        <f>+C633/[15]Result!$H$6</f>
        <v>2.8283203220797536E-2</v>
      </c>
      <c r="D979" s="28">
        <f>+D633/[1]Result!$H$6</f>
        <v>-5.7402159386074549E-2</v>
      </c>
      <c r="E979" s="38">
        <f>+E633/[5]Result!$H$6</f>
        <v>0.20300240063475064</v>
      </c>
      <c r="F979" s="28">
        <f>+F633/[6]Result!$H$6</f>
        <v>-0.13269060597905166</v>
      </c>
      <c r="G979" s="28">
        <f>+G633/[7]Result!$H$6</f>
        <v>2.1444243887748876E-2</v>
      </c>
      <c r="H979" s="38">
        <f>+H633/[8]Result!$H$6</f>
        <v>4.9269735760950936E-2</v>
      </c>
      <c r="I979" s="32">
        <f>+I633/[9]Result!$H$6</f>
        <v>4.3159233830698682E-2</v>
      </c>
      <c r="J979" s="32">
        <f>+J633/[10]Result!$H$6</f>
        <v>-1.36494175053881E-2</v>
      </c>
      <c r="K979" s="38">
        <f>+K633/[11]Result!$H$6</f>
        <v>7.8488518568610013E-2</v>
      </c>
      <c r="L979" s="32">
        <f>+L633/[12]Result!$H$6</f>
        <v>-8.4334985999483057E-3</v>
      </c>
      <c r="M979" s="32">
        <f>+M633/[13]Result!$H$6</f>
        <v>1.4624451576467272E-2</v>
      </c>
      <c r="N979" s="42"/>
    </row>
    <row r="980" spans="2:14" hidden="1" outlineLevel="2" x14ac:dyDescent="0.25">
      <c r="B980" s="17" t="s">
        <v>5</v>
      </c>
      <c r="C980" s="32">
        <f>+C634/[15]Result!$H$7</f>
        <v>3.2446102911299568E-2</v>
      </c>
      <c r="D980" s="28">
        <f>+D634/[1]Result!$H$7</f>
        <v>-5.7793666708026756E-2</v>
      </c>
      <c r="E980" s="38">
        <f>+E634/[5]Result!$H$7</f>
        <v>5.3469473694483585E-2</v>
      </c>
      <c r="F980" s="28">
        <f>+F634/[6]Result!$H$7</f>
        <v>-0.13028447814204225</v>
      </c>
      <c r="G980" s="28">
        <f>+G634/[7]Result!$H$7</f>
        <v>2.9414766708990729E-2</v>
      </c>
      <c r="H980" s="38">
        <f>+H634/[8]Result!$H$7</f>
        <v>2.8891490940985403E-2</v>
      </c>
      <c r="I980" s="32">
        <f>+I634/[9]Result!$H$7</f>
        <v>4.7599969022419523E-2</v>
      </c>
      <c r="J980" s="32">
        <f>+J634/[10]Result!$H$7</f>
        <v>-2.203120135435363E-2</v>
      </c>
      <c r="K980" s="38">
        <f>+K634/[11]Result!$H$7</f>
        <v>0.12777594942225479</v>
      </c>
      <c r="L980" s="32">
        <f>+L634/[12]Result!$H$7</f>
        <v>-1.5716730751299798E-2</v>
      </c>
      <c r="M980" s="32">
        <f>+M634/[13]Result!$H$7</f>
        <v>2.0812557234269433E-2</v>
      </c>
      <c r="N980" s="42"/>
    </row>
    <row r="981" spans="2:14" hidden="1" outlineLevel="2" x14ac:dyDescent="0.25">
      <c r="B981" s="17" t="s">
        <v>6</v>
      </c>
      <c r="C981" s="32">
        <f>+C635/[15]Result!$H$8</f>
        <v>2.9267620464889069E-2</v>
      </c>
      <c r="D981" s="28">
        <f>+D635/[1]Result!$H$8</f>
        <v>-5.5168281048699495E-2</v>
      </c>
      <c r="E981" s="38">
        <f>+E635/[5]Result!$H$8</f>
        <v>9.3275605687994562E-2</v>
      </c>
      <c r="F981" s="28">
        <f>+F635/[6]Result!$H$8</f>
        <v>-0.12141484183736566</v>
      </c>
      <c r="G981" s="28">
        <f>+G635/[7]Result!$H$8</f>
        <v>3.0852860216733606E-2</v>
      </c>
      <c r="H981" s="38">
        <f>+H635/[8]Result!$H$8</f>
        <v>3.7779900705412463E-2</v>
      </c>
      <c r="I981" s="32">
        <f>+I635/[9]Result!$H$8</f>
        <v>4.3996291348674735E-2</v>
      </c>
      <c r="J981" s="32">
        <f>+J635/[10]Result!$H$8</f>
        <v>-2.280780347919046E-2</v>
      </c>
      <c r="K981" s="38">
        <f>+K635/[11]Result!$H$8</f>
        <v>8.4128186420238477E-2</v>
      </c>
      <c r="L981" s="32">
        <f>+L635/[12]Result!$H$8</f>
        <v>-1.7788988291351875E-2</v>
      </c>
      <c r="M981" s="32">
        <f>+M635/[13]Result!$H$8</f>
        <v>2.4236247992595057E-2</v>
      </c>
      <c r="N981" s="42"/>
    </row>
    <row r="982" spans="2:14" hidden="1" outlineLevel="2" x14ac:dyDescent="0.25">
      <c r="B982" s="17" t="s">
        <v>7</v>
      </c>
      <c r="C982" s="32">
        <f>+C636/[15]Result!$H$9</f>
        <v>2.4408914859827394E-2</v>
      </c>
      <c r="D982" s="28">
        <f>+D636/[1]Result!$H$9</f>
        <v>-5.0457213195696946E-2</v>
      </c>
      <c r="E982" s="38">
        <f>+E636/[5]Result!$H$9</f>
        <v>8.3129661976566654E-2</v>
      </c>
      <c r="F982" s="28">
        <f>+F636/[6]Result!$H$9</f>
        <v>-0.11346770106339026</v>
      </c>
      <c r="G982" s="28">
        <f>+G636/[7]Result!$H$9</f>
        <v>3.0489928681658722E-2</v>
      </c>
      <c r="H982" s="38">
        <f>+H636/[8]Result!$H$9</f>
        <v>3.9971125268283059E-2</v>
      </c>
      <c r="I982" s="32">
        <f>+I636/[9]Result!$H$9</f>
        <v>3.9251140742934947E-2</v>
      </c>
      <c r="J982" s="32">
        <f>+J636/[10]Result!$H$9</f>
        <v>-1.9598629272833443E-2</v>
      </c>
      <c r="K982" s="38">
        <f>+K636/[11]Result!$H$9</f>
        <v>5.5149915059803246E-2</v>
      </c>
      <c r="L982" s="32">
        <f>+L636/[12]Result!$H$9</f>
        <v>-1.8537825033696512E-2</v>
      </c>
      <c r="M982" s="32">
        <f>+M636/[13]Result!$H$9</f>
        <v>2.8017958325894078E-2</v>
      </c>
      <c r="N982" s="42"/>
    </row>
    <row r="983" spans="2:14" hidden="1" outlineLevel="1" collapsed="1" x14ac:dyDescent="0.25">
      <c r="B983" s="16" t="s">
        <v>8</v>
      </c>
      <c r="C983" s="32">
        <f>+C637/'[15]Stat by Mat 2'!$D$4</f>
        <v>1.4899352963796075E-2</v>
      </c>
      <c r="D983" s="28">
        <f>+D637/'[1]Stat by Mat 2'!$D$4</f>
        <v>-3.1287605211635358E-2</v>
      </c>
      <c r="E983" s="38">
        <f>+E637/'[5]Stat by Mat 2'!$D$4</f>
        <v>6.9401403945525492E-2</v>
      </c>
      <c r="F983" s="28">
        <f>+F637/'[6]Stat by Mat 2'!$D$4</f>
        <v>-8.5272927840010684E-2</v>
      </c>
      <c r="G983" s="28">
        <f>+G637/'[7]Stat by Mat 2'!$D$4</f>
        <v>2.5268080808881523E-2</v>
      </c>
      <c r="H983" s="38">
        <f>+H637/'[8]Stat by Mat 2'!$D$4</f>
        <v>3.8249650193976387E-2</v>
      </c>
      <c r="I983" s="32">
        <f>+I637/'[9]Stat by Mat 2'!$D$4</f>
        <v>2.8049205606515065E-2</v>
      </c>
      <c r="J983" s="32">
        <f>+J637/'[10]Stat by Mat 2'!$D$4</f>
        <v>-1.0644221212746085E-2</v>
      </c>
      <c r="K983" s="38">
        <f>+K637/'[11]Stat by Mat 2'!$D$4</f>
        <v>1.8424972767879768E-2</v>
      </c>
      <c r="L983" s="32">
        <f>+L637/'[12]Stat by Mat 2'!$D$4</f>
        <v>-1.4494320675603202E-2</v>
      </c>
      <c r="M983" s="32">
        <f>+M637/'[13]Stat by Mat 2'!$D$4</f>
        <v>3.099523127892086E-2</v>
      </c>
      <c r="N983" s="42"/>
    </row>
    <row r="984" spans="2:14" hidden="1" outlineLevel="2" x14ac:dyDescent="0.25">
      <c r="B984" s="17" t="s">
        <v>9</v>
      </c>
      <c r="C984" s="32">
        <f>+C638/[15]Result!$H$10</f>
        <v>2.2875989936224275E-2</v>
      </c>
      <c r="D984" s="28">
        <f>+D638/[1]Result!$H$10</f>
        <v>-4.8383941417989948E-2</v>
      </c>
      <c r="E984" s="38">
        <f>+E638/[5]Result!$H$10</f>
        <v>8.7458680172246353E-2</v>
      </c>
      <c r="F984" s="28">
        <f>+F638/[6]Result!$H$10</f>
        <v>-0.10399543559074974</v>
      </c>
      <c r="G984" s="28">
        <f>+G638/[7]Result!$H$10</f>
        <v>2.9134978462657449E-2</v>
      </c>
      <c r="H984" s="38">
        <f>+H638/[8]Result!$H$10</f>
        <v>3.4723587976974155E-2</v>
      </c>
      <c r="I984" s="32">
        <f>+I638/[9]Result!$H$10</f>
        <v>3.4605181012640887E-2</v>
      </c>
      <c r="J984" s="32">
        <f>+J638/[10]Result!$H$10</f>
        <v>-1.6144665459947357E-2</v>
      </c>
      <c r="K984" s="38">
        <f>+K638/[11]Result!$H$10</f>
        <v>3.3641610019535216E-2</v>
      </c>
      <c r="L984" s="32">
        <f>+L638/[12]Result!$H$10</f>
        <v>-1.774043621111597E-2</v>
      </c>
      <c r="M984" s="32">
        <f>+M638/[13]Result!$H$10</f>
        <v>3.0739993776568456E-2</v>
      </c>
      <c r="N984" s="42"/>
    </row>
    <row r="985" spans="2:14" hidden="1" outlineLevel="2" x14ac:dyDescent="0.25">
      <c r="B985" s="17" t="s">
        <v>10</v>
      </c>
      <c r="C985" s="32">
        <f>+C639/[15]Result!$H$11</f>
        <v>1.9853463818112153E-2</v>
      </c>
      <c r="D985" s="28">
        <f>+D639/[1]Result!$H$11</f>
        <v>-4.3021098076326411E-2</v>
      </c>
      <c r="E985" s="38">
        <f>+E639/[5]Result!$H$11</f>
        <v>9.2133751285321405E-2</v>
      </c>
      <c r="F985" s="28">
        <f>+F639/[6]Result!$H$11</f>
        <v>-9.2659049149618908E-2</v>
      </c>
      <c r="G985" s="28">
        <f>+G639/[7]Result!$H$11</f>
        <v>2.714874167685194E-2</v>
      </c>
      <c r="H985" s="38">
        <f>+H639/[8]Result!$H$11</f>
        <v>3.9074468604584169E-2</v>
      </c>
      <c r="I985" s="32">
        <f>+I639/[9]Result!$H$11</f>
        <v>2.9705120950588033E-2</v>
      </c>
      <c r="J985" s="32">
        <f>+J639/[10]Result!$H$11</f>
        <v>-1.2667933989949802E-2</v>
      </c>
      <c r="K985" s="38">
        <f>+K639/[11]Result!$H$11</f>
        <v>2.4448674207658387E-2</v>
      </c>
      <c r="L985" s="32">
        <f>+L639/[12]Result!$H$11</f>
        <v>-1.5526324566590198E-2</v>
      </c>
      <c r="M985" s="32">
        <f>+M639/[13]Result!$H$11</f>
        <v>3.1559103521134418E-2</v>
      </c>
      <c r="N985" s="42"/>
    </row>
    <row r="986" spans="2:14" hidden="1" outlineLevel="2" x14ac:dyDescent="0.25">
      <c r="B986" s="17" t="s">
        <v>11</v>
      </c>
      <c r="C986" s="32">
        <f>+C640/[15]Result!$H$12</f>
        <v>1.6695304244332569E-2</v>
      </c>
      <c r="D986" s="28">
        <f>+D640/[1]Result!$H$12</f>
        <v>-3.6853646414795133E-2</v>
      </c>
      <c r="E986" s="38">
        <f>+E640/[5]Result!$H$12</f>
        <v>9.2163565128380892E-2</v>
      </c>
      <c r="F986" s="28">
        <f>+F640/[6]Result!$H$12</f>
        <v>-8.2127906473582826E-2</v>
      </c>
      <c r="G986" s="28">
        <f>+G640/[7]Result!$H$12</f>
        <v>2.5466182575613849E-2</v>
      </c>
      <c r="H986" s="38">
        <f>+H640/[8]Result!$H$12</f>
        <v>4.1831886411429341E-2</v>
      </c>
      <c r="I986" s="32">
        <f>+I640/[9]Result!$H$12</f>
        <v>2.6193431818799295E-2</v>
      </c>
      <c r="J986" s="32">
        <f>+J640/[10]Result!$H$12</f>
        <v>-9.5892626149016464E-3</v>
      </c>
      <c r="K986" s="38">
        <f>+K640/[11]Result!$H$12</f>
        <v>1.7029435351657209E-2</v>
      </c>
      <c r="L986" s="32">
        <f>+L640/[12]Result!$H$12</f>
        <v>-1.3292216071265728E-2</v>
      </c>
      <c r="M986" s="32">
        <f>+M640/[13]Result!$H$12</f>
        <v>3.1210972965584501E-2</v>
      </c>
      <c r="N986" s="42"/>
    </row>
    <row r="987" spans="2:14" hidden="1" outlineLevel="2" x14ac:dyDescent="0.25">
      <c r="B987" s="17" t="s">
        <v>12</v>
      </c>
      <c r="C987" s="32">
        <f>+C641/[15]Result!$H$13</f>
        <v>9.2123262612943593E-3</v>
      </c>
      <c r="D987" s="28">
        <f>+D641/[1]Result!$H$13</f>
        <v>-1.5952743515385844E-2</v>
      </c>
      <c r="E987" s="38">
        <f>+E641/[5]Result!$H$13</f>
        <v>3.5229216419411812E-2</v>
      </c>
      <c r="F987" s="28">
        <f>+F641/[6]Result!$H$13</f>
        <v>-7.3000076687839754E-2</v>
      </c>
      <c r="G987" s="28">
        <f>+G641/[7]Result!$H$13</f>
        <v>2.4234525619666943E-2</v>
      </c>
      <c r="H987" s="38">
        <f>+H641/[8]Result!$H$13</f>
        <v>3.2985793614299291E-2</v>
      </c>
      <c r="I987" s="32">
        <f>+I641/[9]Result!$H$13</f>
        <v>2.3103496962797263E-2</v>
      </c>
      <c r="J987" s="32">
        <f>+J641/[10]Result!$H$13</f>
        <v>-6.6595234137267374E-3</v>
      </c>
      <c r="K987" s="38">
        <f>+K641/[11]Result!$H$13</f>
        <v>7.5511310872378922E-3</v>
      </c>
      <c r="L987" s="32">
        <f>+L641/[12]Result!$H$13</f>
        <v>-1.2247989221630763E-2</v>
      </c>
      <c r="M987" s="32">
        <f>+M641/[13]Result!$H$13</f>
        <v>3.0613961728891345E-2</v>
      </c>
      <c r="N987" s="42"/>
    </row>
    <row r="988" spans="2:14" hidden="1" outlineLevel="2" x14ac:dyDescent="0.25">
      <c r="B988" s="17" t="s">
        <v>13</v>
      </c>
      <c r="C988" s="32">
        <f>+C642/[15]Result!$H$14</f>
        <v>-2.2950671616645125E-3</v>
      </c>
      <c r="D988" s="28">
        <f>+D642/[1]Result!$H$14</f>
        <v>7.0799306054866885E-3</v>
      </c>
      <c r="E988" s="38">
        <f>+E642/[5]Result!$H$14</f>
        <v>1.4765950321032067E-2</v>
      </c>
      <c r="F988" s="28">
        <f>+F642/[6]Result!$H$14</f>
        <v>-5.8068360479012746E-2</v>
      </c>
      <c r="G988" s="28">
        <f>+G642/[7]Result!$H$14</f>
        <v>1.6746909854700481E-2</v>
      </c>
      <c r="H988" s="38">
        <f>+H642/[8]Result!$H$14</f>
        <v>4.4036787084148737E-2</v>
      </c>
      <c r="I988" s="32">
        <f>+I642/[9]Result!$H$14</f>
        <v>2.2158449476618561E-2</v>
      </c>
      <c r="J988" s="32">
        <f>+J642/[10]Result!$H$14</f>
        <v>-3.7805697599685019E-3</v>
      </c>
      <c r="K988" s="38">
        <f>+K642/[11]Result!$H$14</f>
        <v>-3.0211392188915658E-3</v>
      </c>
      <c r="L988" s="32">
        <f>+L642/[12]Result!$H$14</f>
        <v>-1.122202203984699E-2</v>
      </c>
      <c r="M988" s="32">
        <f>+M642/[13]Result!$H$14</f>
        <v>3.0697981566630936E-2</v>
      </c>
      <c r="N988" s="42"/>
    </row>
    <row r="989" spans="2:14" hidden="1" outlineLevel="1" collapsed="1" x14ac:dyDescent="0.25">
      <c r="B989" s="16" t="s">
        <v>14</v>
      </c>
      <c r="C989" s="32">
        <f>+C643/'[15]Stat by Mat 2'!$D$5</f>
        <v>-9.066141173748812E-3</v>
      </c>
      <c r="D989" s="28">
        <f>+D643/'[1]Stat by Mat 2'!$D$5</f>
        <v>1.1013774679436997E-2</v>
      </c>
      <c r="E989" s="38">
        <f>+E643/'[5]Stat by Mat 2'!$D$5</f>
        <v>-0.11879861654117413</v>
      </c>
      <c r="F989" s="28">
        <f>+F643/'[6]Stat by Mat 2'!$D$5</f>
        <v>2.2323093687651646E-2</v>
      </c>
      <c r="G989" s="28">
        <f>+G643/'[7]Stat by Mat 2'!$D$5</f>
        <v>-1.3501659545453942E-2</v>
      </c>
      <c r="H989" s="38">
        <f>+H643/'[8]Stat by Mat 2'!$D$5</f>
        <v>-1.4221873867510341E-2</v>
      </c>
      <c r="I989" s="32">
        <f>+I643/'[9]Stat by Mat 2'!$D$5</f>
        <v>-4.1506276101401429E-3</v>
      </c>
      <c r="J989" s="32">
        <f>+J643/'[10]Stat by Mat 2'!$D$5</f>
        <v>-3.9438593337016289E-3</v>
      </c>
      <c r="K989" s="38">
        <f>+K643/'[11]Stat by Mat 2'!$D$5</f>
        <v>1.036209302128102E-2</v>
      </c>
      <c r="L989" s="32">
        <f>+L643/'[12]Stat by Mat 2'!$D$5</f>
        <v>2.8571462078852454E-4</v>
      </c>
      <c r="M989" s="32">
        <f>+M643/'[13]Stat by Mat 2'!$D$5</f>
        <v>-6.0502797779830725E-3</v>
      </c>
      <c r="N989" s="42"/>
    </row>
    <row r="990" spans="2:14" hidden="1" outlineLevel="2" x14ac:dyDescent="0.25">
      <c r="B990" s="17" t="s">
        <v>15</v>
      </c>
      <c r="C990" s="32">
        <f>+C644/[15]Result!$H$15</f>
        <v>-6.3488046578110153E-3</v>
      </c>
      <c r="D990" s="28">
        <f>+D644/[1]Result!$H$15</f>
        <v>1.0981795447807157E-2</v>
      </c>
      <c r="E990" s="38">
        <f>+E644/[5]Result!$H$15</f>
        <v>-5.4273921444552738E-2</v>
      </c>
      <c r="F990" s="28">
        <f>+F644/[6]Result!$H$15</f>
        <v>-2.0523953288815133E-2</v>
      </c>
      <c r="G990" s="28">
        <f>+G644/[7]Result!$H$15</f>
        <v>1.6676286083450271E-4</v>
      </c>
      <c r="H990" s="38">
        <f>+H644/[8]Result!$H$15</f>
        <v>2.2439157199602756E-2</v>
      </c>
      <c r="I990" s="32">
        <f>+I644/[9]Result!$H$15</f>
        <v>2.0858483921722772E-2</v>
      </c>
      <c r="J990" s="32">
        <f>+J644/[10]Result!$H$15</f>
        <v>-5.6251266152654777E-4</v>
      </c>
      <c r="K990" s="38">
        <f>+K644/[11]Result!$H$15</f>
        <v>9.3203992199976219E-4</v>
      </c>
      <c r="L990" s="32">
        <f>+L644/[12]Result!$H$15</f>
        <v>-9.9075916508871761E-3</v>
      </c>
      <c r="M990" s="32">
        <f>+M644/[13]Result!$H$15</f>
        <v>2.9894702141133676E-2</v>
      </c>
      <c r="N990" s="42"/>
    </row>
    <row r="991" spans="2:14" hidden="1" outlineLevel="2" x14ac:dyDescent="0.25">
      <c r="B991" s="17" t="s">
        <v>16</v>
      </c>
      <c r="C991" s="32">
        <f>+C645/[15]Result!$H$16</f>
        <v>-5.688055372017704E-3</v>
      </c>
      <c r="D991" s="28">
        <f>+D645/[1]Result!$H$16</f>
        <v>1.0204830968140009E-2</v>
      </c>
      <c r="E991" s="38">
        <f>+E645/[5]Result!$H$16</f>
        <v>-0.12776379856675019</v>
      </c>
      <c r="F991" s="28">
        <f>+F645/[6]Result!$H$16</f>
        <v>1.7640328634877401E-2</v>
      </c>
      <c r="G991" s="28">
        <f>+G645/[7]Result!$H$16</f>
        <v>-1.0238619749001854E-2</v>
      </c>
      <c r="H991" s="38">
        <f>+H645/[8]Result!$H$16</f>
        <v>-9.0049410199764361E-3</v>
      </c>
      <c r="I991" s="32">
        <f>+I645/[9]Result!$H$16</f>
        <v>4.8439454801747963E-3</v>
      </c>
      <c r="J991" s="32">
        <f>+J645/[10]Result!$H$16</f>
        <v>9.8204740235216938E-4</v>
      </c>
      <c r="K991" s="38">
        <f>+K645/[11]Result!$H$16</f>
        <v>7.26493753263907E-3</v>
      </c>
      <c r="L991" s="32">
        <f>+L645/[12]Result!$H$16</f>
        <v>-2.546506685581448E-3</v>
      </c>
      <c r="M991" s="32">
        <f>+M645/[13]Result!$H$16</f>
        <v>2.2685539383818246E-2</v>
      </c>
      <c r="N991" s="42"/>
    </row>
    <row r="992" spans="2:14" hidden="1" outlineLevel="2" x14ac:dyDescent="0.25">
      <c r="B992" s="17" t="s">
        <v>17</v>
      </c>
      <c r="C992" s="32">
        <f>+C646/[15]Result!$H$17</f>
        <v>-5.8266095123510392E-3</v>
      </c>
      <c r="D992" s="28">
        <f>+D646/[1]Result!$H$17</f>
        <v>1.0412512656350821E-2</v>
      </c>
      <c r="E992" s="38">
        <f>+E646/[5]Result!$H$17</f>
        <v>-0.13752037550527788</v>
      </c>
      <c r="F992" s="28">
        <f>+F646/[6]Result!$H$17</f>
        <v>2.9044772946880935E-2</v>
      </c>
      <c r="G992" s="28">
        <f>+G646/[7]Result!$H$17</f>
        <v>-1.1693733901493822E-2</v>
      </c>
      <c r="H992" s="38">
        <f>+H646/[8]Result!$H$17</f>
        <v>-1.6228084497254602E-2</v>
      </c>
      <c r="I992" s="32">
        <f>+I646/[9]Result!$H$17</f>
        <v>-8.5907259847693585E-3</v>
      </c>
      <c r="J992" s="32">
        <f>+J646/[10]Result!$H$17</f>
        <v>-1.2215558951641173E-3</v>
      </c>
      <c r="K992" s="38">
        <f>+K646/[11]Result!$H$17</f>
        <v>5.3022448215172173E-3</v>
      </c>
      <c r="L992" s="32">
        <f>+L646/[12]Result!$H$17</f>
        <v>4.1209943291392196E-3</v>
      </c>
      <c r="M992" s="32">
        <f>+M646/[13]Result!$H$17</f>
        <v>-6.4120637275736562E-4</v>
      </c>
      <c r="N992" s="42"/>
    </row>
    <row r="993" spans="2:14" hidden="1" outlineLevel="2" x14ac:dyDescent="0.25">
      <c r="B993" s="17" t="s">
        <v>18</v>
      </c>
      <c r="C993" s="32">
        <f>+C647/[15]Result!$H$18</f>
        <v>-7.0775104434488692E-3</v>
      </c>
      <c r="D993" s="28">
        <f>+D647/[1]Result!$H$18</f>
        <v>1.1310218775719055E-2</v>
      </c>
      <c r="E993" s="38">
        <f>+E647/[5]Result!$H$18</f>
        <v>-0.13455720427015014</v>
      </c>
      <c r="F993" s="28">
        <f>+F647/[6]Result!$H$18</f>
        <v>3.0264982647326667E-2</v>
      </c>
      <c r="G993" s="28">
        <f>+G647/[7]Result!$H$18</f>
        <v>-1.3389317087175962E-2</v>
      </c>
      <c r="H993" s="38">
        <f>+H647/[8]Result!$H$18</f>
        <v>-1.2218745747823178E-2</v>
      </c>
      <c r="I993" s="32">
        <f>+I647/[9]Result!$H$18</f>
        <v>-9.3243935925436776E-3</v>
      </c>
      <c r="J993" s="32">
        <f>+J647/[10]Result!$H$18</f>
        <v>-3.6028344767261933E-3</v>
      </c>
      <c r="K993" s="38">
        <f>+K647/[11]Result!$H$18</f>
        <v>8.224259415074129E-3</v>
      </c>
      <c r="L993" s="32">
        <f>+L647/[12]Result!$H$18</f>
        <v>4.0765626786720948E-3</v>
      </c>
      <c r="M993" s="32">
        <f>+M647/[13]Result!$H$18</f>
        <v>-1.8602753699166107E-2</v>
      </c>
      <c r="N993" s="42"/>
    </row>
    <row r="994" spans="2:14" hidden="1" outlineLevel="2" x14ac:dyDescent="0.25">
      <c r="B994" s="17" t="s">
        <v>19</v>
      </c>
      <c r="C994" s="32">
        <f>+C648/[15]Result!$H$19</f>
        <v>-9.5100970667352826E-3</v>
      </c>
      <c r="D994" s="28">
        <f>+D648/[1]Result!$H$19</f>
        <v>1.2998069473005552E-2</v>
      </c>
      <c r="E994" s="38">
        <f>+E648/[5]Result!$H$19</f>
        <v>-0.1320432131330781</v>
      </c>
      <c r="F994" s="28">
        <f>+F648/[6]Result!$H$19</f>
        <v>3.1301277270800919E-2</v>
      </c>
      <c r="G994" s="28">
        <f>+G648/[7]Result!$H$19</f>
        <v>-1.5181768326257051E-2</v>
      </c>
      <c r="H994" s="38">
        <f>+H648/[8]Result!$H$19</f>
        <v>-2.0853446737258138E-2</v>
      </c>
      <c r="I994" s="32">
        <f>+I648/[9]Result!$H$19</f>
        <v>-1.1013805762344708E-2</v>
      </c>
      <c r="J994" s="32">
        <f>+J648/[10]Result!$H$19</f>
        <v>-4.5799099988092897E-3</v>
      </c>
      <c r="K994" s="38">
        <f>+K648/[11]Result!$H$19</f>
        <v>1.346888430647715E-3</v>
      </c>
      <c r="L994" s="32">
        <f>+L648/[12]Result!$H$19</f>
        <v>3.9764805919685993E-3</v>
      </c>
      <c r="M994" s="32">
        <f>+M648/[13]Result!$H$19</f>
        <v>-2.1197713660231647E-2</v>
      </c>
      <c r="N994" s="42"/>
    </row>
    <row r="995" spans="2:14" hidden="1" outlineLevel="2" x14ac:dyDescent="0.25">
      <c r="B995" s="17" t="s">
        <v>20</v>
      </c>
      <c r="C995" s="32">
        <f>+C649/[15]Result!$H$20</f>
        <v>-1.1590177192627536E-2</v>
      </c>
      <c r="D995" s="28">
        <f>+D649/[1]Result!$H$20</f>
        <v>1.3202838620386875E-2</v>
      </c>
      <c r="E995" s="38">
        <f>+E649/[5]Result!$H$20</f>
        <v>-0.13378864068374399</v>
      </c>
      <c r="F995" s="28">
        <f>+F649/[6]Result!$H$20</f>
        <v>3.3222861705718754E-2</v>
      </c>
      <c r="G995" s="28">
        <f>+G649/[7]Result!$H$20</f>
        <v>-1.7101160106846473E-2</v>
      </c>
      <c r="H995" s="38">
        <f>+H649/[8]Result!$H$20</f>
        <v>-2.7723114238733887E-2</v>
      </c>
      <c r="I995" s="32">
        <f>+I649/[9]Result!$H$20</f>
        <v>-1.2805660800255648E-2</v>
      </c>
      <c r="J995" s="32">
        <f>+J649/[10]Result!$H$20</f>
        <v>-5.5981207339151368E-3</v>
      </c>
      <c r="K995" s="38">
        <f>+K649/[11]Result!$H$20</f>
        <v>6.9014973809638155E-3</v>
      </c>
      <c r="L995" s="32">
        <f>+L649/[12]Result!$H$20</f>
        <v>3.6679994726245596E-3</v>
      </c>
      <c r="M995" s="32">
        <f>+M649/[13]Result!$H$20</f>
        <v>-2.4009492943064731E-2</v>
      </c>
      <c r="N995" s="42"/>
    </row>
    <row r="996" spans="2:14" hidden="1" outlineLevel="2" x14ac:dyDescent="0.25">
      <c r="B996" s="17" t="s">
        <v>21</v>
      </c>
      <c r="C996" s="32">
        <f>+C650/[15]Result!$H$21</f>
        <v>-1.2600931291782811E-2</v>
      </c>
      <c r="D996" s="28">
        <f>+D650/[1]Result!$H$21</f>
        <v>1.1401632776914195E-2</v>
      </c>
      <c r="E996" s="38">
        <f>+E650/[5]Result!$H$21</f>
        <v>-0.13481873528271157</v>
      </c>
      <c r="F996" s="28">
        <f>+F650/[6]Result!$H$21</f>
        <v>3.6244770210320305E-2</v>
      </c>
      <c r="G996" s="28">
        <f>+G650/[7]Result!$H$21</f>
        <v>-1.9291061602640654E-2</v>
      </c>
      <c r="H996" s="38">
        <f>+H650/[8]Result!$H$21</f>
        <v>-3.0506570047261972E-2</v>
      </c>
      <c r="I996" s="32">
        <f>+I650/[9]Result!$H$21</f>
        <v>-1.4234467697619312E-2</v>
      </c>
      <c r="J996" s="32">
        <f>+J650/[10]Result!$H$21</f>
        <v>-7.0310921575071966E-3</v>
      </c>
      <c r="K996" s="38">
        <f>+K650/[11]Result!$H$21</f>
        <v>1.2460909308120724E-2</v>
      </c>
      <c r="L996" s="32">
        <f>+L650/[12]Result!$H$21</f>
        <v>3.2992098319571585E-3</v>
      </c>
      <c r="M996" s="32">
        <f>+M650/[13]Result!$H$21</f>
        <v>-2.6669986789214995E-2</v>
      </c>
      <c r="N996" s="42"/>
    </row>
    <row r="997" spans="2:14" hidden="1" outlineLevel="2" x14ac:dyDescent="0.25">
      <c r="B997" s="17" t="s">
        <v>22</v>
      </c>
      <c r="C997" s="32">
        <f>+C651/[15]Result!$H$22</f>
        <v>-1.3047715980505362E-2</v>
      </c>
      <c r="D997" s="28">
        <f>+D651/[1]Result!$H$22</f>
        <v>9.2622684534400413E-3</v>
      </c>
      <c r="E997" s="38">
        <f>+E651/[5]Result!$H$22</f>
        <v>-0.13097559147008217</v>
      </c>
      <c r="F997" s="28">
        <f>+F651/[6]Result!$H$22</f>
        <v>3.9268957068140591E-2</v>
      </c>
      <c r="G997" s="28">
        <f>+G651/[7]Result!$H$22</f>
        <v>-2.1518631696201242E-2</v>
      </c>
      <c r="H997" s="38">
        <f>+H651/[8]Result!$H$22</f>
        <v>-3.3149058818580393E-2</v>
      </c>
      <c r="I997" s="32">
        <f>+I651/[9]Result!$H$22</f>
        <v>-1.5385289547479567E-2</v>
      </c>
      <c r="J997" s="32">
        <f>+J651/[10]Result!$H$22</f>
        <v>-8.6719192817398798E-3</v>
      </c>
      <c r="K997" s="38">
        <f>+K651/[11]Result!$H$22</f>
        <v>2.5161632186096721E-2</v>
      </c>
      <c r="L997" s="32">
        <f>+L651/[12]Result!$H$22</f>
        <v>2.9492194886357377E-3</v>
      </c>
      <c r="M997" s="32">
        <f>+M651/[13]Result!$H$22</f>
        <v>-2.9110796911735189E-2</v>
      </c>
      <c r="N997" s="42"/>
    </row>
    <row r="998" spans="2:14" hidden="1" outlineLevel="2" x14ac:dyDescent="0.25">
      <c r="B998" s="17" t="s">
        <v>23</v>
      </c>
      <c r="C998" s="32">
        <f>+C652/[15]Result!$H$23</f>
        <v>-1.3667840950240423E-2</v>
      </c>
      <c r="D998" s="28">
        <f>+D652/[1]Result!$H$23</f>
        <v>8.5750100426750849E-3</v>
      </c>
      <c r="E998" s="38">
        <f>+E652/[5]Result!$H$23</f>
        <v>-0.12106662783572678</v>
      </c>
      <c r="F998" s="28">
        <f>+F652/[6]Result!$H$23</f>
        <v>4.1311510301209088E-2</v>
      </c>
      <c r="G998" s="28">
        <f>+G652/[7]Result!$H$23</f>
        <v>-2.3872886673562885E-2</v>
      </c>
      <c r="H998" s="38">
        <f>+H652/[8]Result!$H$23</f>
        <v>-2.9803907035671109E-2</v>
      </c>
      <c r="I998" s="32">
        <f>+I652/[9]Result!$H$23</f>
        <v>-1.620177500499919E-2</v>
      </c>
      <c r="J998" s="32">
        <f>+J652/[10]Result!$H$23</f>
        <v>-1.0347253024662937E-2</v>
      </c>
      <c r="K998" s="38">
        <f>+K652/[11]Result!$H$23</f>
        <v>3.904329686675248E-2</v>
      </c>
      <c r="L998" s="32">
        <f>+L652/[12]Result!$H$23</f>
        <v>2.6393400432423407E-3</v>
      </c>
      <c r="M998" s="32">
        <f>+M652/[13]Result!$H$23</f>
        <v>-3.129041141283289E-2</v>
      </c>
      <c r="N998" s="42"/>
    </row>
    <row r="999" spans="2:14" hidden="1" outlineLevel="2" x14ac:dyDescent="0.25">
      <c r="B999" s="17" t="s">
        <v>24</v>
      </c>
      <c r="C999" s="32">
        <f>+C653/[15]Result!$H$24</f>
        <v>-1.5070027591381012E-2</v>
      </c>
      <c r="D999" s="28">
        <f>+D653/[1]Result!$H$24</f>
        <v>1.0793999020670141E-2</v>
      </c>
      <c r="E999" s="38">
        <f>+E653/[5]Result!$H$24</f>
        <v>-0.12466648791570741</v>
      </c>
      <c r="F999" s="28">
        <f>+F653/[6]Result!$H$24</f>
        <v>4.1577165208122775E-2</v>
      </c>
      <c r="G999" s="28">
        <f>+G653/[7]Result!$H$24</f>
        <v>-2.6338292858023228E-2</v>
      </c>
      <c r="H999" s="38">
        <f>+H653/[8]Result!$H$24</f>
        <v>-3.8018506178963948E-2</v>
      </c>
      <c r="I999" s="32">
        <f>+I653/[9]Result!$H$24</f>
        <v>-1.6728514739148548E-2</v>
      </c>
      <c r="J999" s="32">
        <f>+J653/[10]Result!$H$24</f>
        <v>-1.204928131440736E-2</v>
      </c>
      <c r="K999" s="38">
        <f>+K653/[11]Result!$H$24</f>
        <v>3.3632619575169068E-2</v>
      </c>
      <c r="L999" s="32">
        <f>+L653/[12]Result!$H$24</f>
        <v>2.274540756754804E-3</v>
      </c>
      <c r="M999" s="32">
        <f>+M653/[13]Result!$H$24</f>
        <v>-3.3141438201733001E-2</v>
      </c>
      <c r="N999" s="42"/>
    </row>
    <row r="1000" spans="2:14" hidden="1" outlineLevel="1" collapsed="1" x14ac:dyDescent="0.25">
      <c r="B1000" s="16" t="s">
        <v>25</v>
      </c>
      <c r="C1000" s="32">
        <f>+C654/'[15]Stat by Mat 2'!$D$6</f>
        <v>-2.0821682945237556E-2</v>
      </c>
      <c r="D1000" s="28">
        <f>+D654/'[1]Stat by Mat 2'!$D$6</f>
        <v>2.3178724151201178E-2</v>
      </c>
      <c r="E1000" s="38">
        <f>+E654/'[5]Stat by Mat 2'!$D$6</f>
        <v>-0.11819243506031181</v>
      </c>
      <c r="F1000" s="28">
        <f>+F654/'[6]Stat by Mat 2'!$D$6</f>
        <v>3.8212241713952502E-2</v>
      </c>
      <c r="G1000" s="28">
        <f>+G654/'[7]Stat by Mat 2'!$D$6</f>
        <v>-3.3059038553444331E-2</v>
      </c>
      <c r="H1000" s="38">
        <f>+H654/'[8]Stat by Mat 2'!$D$6</f>
        <v>-3.6677574982024633E-2</v>
      </c>
      <c r="I1000" s="32">
        <f>+I654/'[9]Stat by Mat 2'!$D$6</f>
        <v>-1.817574471958636E-2</v>
      </c>
      <c r="J1000" s="32">
        <f>+J654/'[10]Stat by Mat 2'!$D$6</f>
        <v>-1.7221313697167926E-2</v>
      </c>
      <c r="K1000" s="38">
        <f>+K654/'[11]Stat by Mat 2'!$D$6</f>
        <v>6.7640140302520413E-2</v>
      </c>
      <c r="L1000" s="32">
        <f>+L654/'[12]Stat by Mat 2'!$D$6</f>
        <v>9.9977741520090803E-4</v>
      </c>
      <c r="M1000" s="32">
        <f>+M654/'[13]Stat by Mat 2'!$D$6</f>
        <v>-3.8980368647617586E-2</v>
      </c>
      <c r="N1000" s="42"/>
    </row>
    <row r="1001" spans="2:14" hidden="1" outlineLevel="2" x14ac:dyDescent="0.25">
      <c r="B1001" s="17" t="s">
        <v>26</v>
      </c>
      <c r="C1001" s="32">
        <f>+C655/[15]Result!$H$25</f>
        <v>-1.6925525577035142E-2</v>
      </c>
      <c r="D1001" s="28">
        <f>+D655/[1]Result!$H$25</f>
        <v>1.4702185487464808E-2</v>
      </c>
      <c r="E1001" s="38">
        <f>+E655/[5]Result!$H$25</f>
        <v>-0.12815672430272579</v>
      </c>
      <c r="F1001" s="28">
        <f>+F655/[6]Result!$H$25</f>
        <v>4.0613750124009189E-2</v>
      </c>
      <c r="G1001" s="28">
        <f>+G655/[7]Result!$H$25</f>
        <v>-2.8507178827945619E-2</v>
      </c>
      <c r="H1001" s="38">
        <f>+H655/[8]Result!$H$25</f>
        <v>-4.3481341261603981E-2</v>
      </c>
      <c r="I1001" s="32">
        <f>+I655/[9]Result!$H$25</f>
        <v>-1.7127334733184986E-2</v>
      </c>
      <c r="J1001" s="32">
        <f>+J655/[10]Result!$H$25</f>
        <v>-1.365104715808692E-2</v>
      </c>
      <c r="K1001" s="38">
        <f>+K655/[11]Result!$H$25</f>
        <v>4.0065746268079863E-2</v>
      </c>
      <c r="L1001" s="32">
        <f>+L655/[12]Result!$H$25</f>
        <v>1.8680080085005865E-3</v>
      </c>
      <c r="M1001" s="32">
        <f>+M655/[13]Result!$H$25</f>
        <v>-3.4828743694400435E-2</v>
      </c>
      <c r="N1001" s="42"/>
    </row>
    <row r="1002" spans="2:14" hidden="1" outlineLevel="2" x14ac:dyDescent="0.25">
      <c r="B1002" s="17" t="s">
        <v>27</v>
      </c>
      <c r="C1002" s="32">
        <f>+C656/[15]Result!$H$26</f>
        <v>-1.8666954480821844E-2</v>
      </c>
      <c r="D1002" s="28">
        <f>+D656/[1]Result!$H$26</f>
        <v>1.8381138553806787E-2</v>
      </c>
      <c r="E1002" s="38">
        <f>+E656/[5]Result!$H$26</f>
        <v>-0.1309091313909263</v>
      </c>
      <c r="F1002" s="28">
        <f>+F656/[6]Result!$H$26</f>
        <v>3.9600700828798727E-2</v>
      </c>
      <c r="G1002" s="28">
        <f>+G656/[7]Result!$H$26</f>
        <v>-3.0447571188093908E-2</v>
      </c>
      <c r="H1002" s="38">
        <f>+H656/[8]Result!$H$26</f>
        <v>-4.7494281384375378E-2</v>
      </c>
      <c r="I1002" s="32">
        <f>+I656/[9]Result!$H$26</f>
        <v>-1.7597915016429422E-2</v>
      </c>
      <c r="J1002" s="32">
        <f>+J656/[10]Result!$H$26</f>
        <v>-1.5027040734197375E-2</v>
      </c>
      <c r="K1002" s="38">
        <f>+K656/[11]Result!$H$26</f>
        <v>4.841996699773133E-2</v>
      </c>
      <c r="L1002" s="32">
        <f>+L656/[12]Result!$H$26</f>
        <v>1.5190843390510246E-3</v>
      </c>
      <c r="M1002" s="32">
        <f>+M656/[13]Result!$H$26</f>
        <v>-3.6408616383642796E-2</v>
      </c>
      <c r="N1002" s="42"/>
    </row>
    <row r="1003" spans="2:14" hidden="1" outlineLevel="2" x14ac:dyDescent="0.25">
      <c r="B1003" s="17" t="s">
        <v>28</v>
      </c>
      <c r="C1003" s="32">
        <f>+C657/[15]Result!$H$27</f>
        <v>-2.0035999045347197E-2</v>
      </c>
      <c r="D1003" s="28">
        <f>+D657/[1]Result!$H$27</f>
        <v>2.1520649136538061E-2</v>
      </c>
      <c r="E1003" s="38">
        <f>+E657/[5]Result!$H$27</f>
        <v>-0.12922795333604181</v>
      </c>
      <c r="F1003" s="28">
        <f>+F657/[6]Result!$H$27</f>
        <v>3.8675919981033924E-2</v>
      </c>
      <c r="G1003" s="28">
        <f>+G657/[7]Result!$H$27</f>
        <v>-3.2098847729628122E-2</v>
      </c>
      <c r="H1003" s="38">
        <f>+H657/[8]Result!$H$27</f>
        <v>-4.8030490415085426E-2</v>
      </c>
      <c r="I1003" s="32">
        <f>+I657/[9]Result!$H$27</f>
        <v>-1.8033427107826159E-2</v>
      </c>
      <c r="J1003" s="32">
        <f>+J657/[10]Result!$H$27</f>
        <v>-1.6244025689760858E-2</v>
      </c>
      <c r="K1003" s="38">
        <f>+K657/[11]Result!$H$27</f>
        <v>6.2373721757132253E-2</v>
      </c>
      <c r="L1003" s="32">
        <f>+L657/[12]Result!$H$27</f>
        <v>1.2483584651104228E-3</v>
      </c>
      <c r="M1003" s="32">
        <f>+M657/[13]Result!$H$27</f>
        <v>-3.7885299398483833E-2</v>
      </c>
      <c r="N1003" s="42"/>
    </row>
    <row r="1004" spans="2:14" hidden="1" outlineLevel="2" x14ac:dyDescent="0.25">
      <c r="B1004" s="17" t="s">
        <v>29</v>
      </c>
      <c r="C1004" s="32">
        <f>+C658/[15]Result!$H$28</f>
        <v>-2.1229760251013828E-2</v>
      </c>
      <c r="D1004" s="28">
        <f>+D658/[1]Result!$H$28</f>
        <v>2.4142816011248694E-2</v>
      </c>
      <c r="E1004" s="38">
        <f>+E658/[5]Result!$H$28</f>
        <v>-0.12136396882255082</v>
      </c>
      <c r="F1004" s="28">
        <f>+F658/[6]Result!$H$28</f>
        <v>3.7891889218598922E-2</v>
      </c>
      <c r="G1004" s="28">
        <f>+G658/[7]Result!$H$28</f>
        <v>-3.3439376811668774E-2</v>
      </c>
      <c r="H1004" s="38">
        <f>+H658/[8]Result!$H$28</f>
        <v>-3.3924013922584741E-2</v>
      </c>
      <c r="I1004" s="32">
        <f>+I658/[9]Result!$H$28</f>
        <v>-1.8207429137130842E-2</v>
      </c>
      <c r="J1004" s="32">
        <f>+J658/[10]Result!$H$28</f>
        <v>-1.7512645208138323E-2</v>
      </c>
      <c r="K1004" s="38">
        <f>+K658/[11]Result!$H$28</f>
        <v>7.4095016640357309E-2</v>
      </c>
      <c r="L1004" s="32">
        <f>+L658/[12]Result!$H$28</f>
        <v>9.4283827849884604E-4</v>
      </c>
      <c r="M1004" s="32">
        <f>+M658/[13]Result!$H$28</f>
        <v>-3.9111976665690232E-2</v>
      </c>
      <c r="N1004" s="42"/>
    </row>
    <row r="1005" spans="2:14" hidden="1" outlineLevel="2" x14ac:dyDescent="0.25">
      <c r="B1005" s="17" t="s">
        <v>30</v>
      </c>
      <c r="C1005" s="32">
        <f>+C659/[15]Result!$H$29</f>
        <v>-2.2319390477779723E-2</v>
      </c>
      <c r="D1005" s="28">
        <f>+D659/[1]Result!$H$29</f>
        <v>2.653205399162099E-2</v>
      </c>
      <c r="E1005" s="38">
        <f>+E659/[5]Result!$H$29</f>
        <v>-0.11994641608665296</v>
      </c>
      <c r="F1005" s="28">
        <f>+F659/[6]Result!$H$29</f>
        <v>3.7287357239351532E-2</v>
      </c>
      <c r="G1005" s="28">
        <f>+G659/[7]Result!$H$29</f>
        <v>-3.4654774126787434E-2</v>
      </c>
      <c r="H1005" s="38">
        <f>+H659/[8]Result!$H$29</f>
        <v>-3.90655189026844E-2</v>
      </c>
      <c r="I1005" s="32">
        <f>+I659/[9]Result!$H$29</f>
        <v>-1.8463413600286679E-2</v>
      </c>
      <c r="J1005" s="32">
        <f>+J659/[10]Result!$H$29</f>
        <v>-1.8573708556597877E-2</v>
      </c>
      <c r="K1005" s="38">
        <f>+K659/[11]Result!$H$29</f>
        <v>6.1975947369648836E-2</v>
      </c>
      <c r="L1005" s="32">
        <f>+L659/[12]Result!$H$29</f>
        <v>6.1411345114486008E-4</v>
      </c>
      <c r="M1005" s="32">
        <f>+M659/[13]Result!$H$29</f>
        <v>-4.0204458200371662E-2</v>
      </c>
      <c r="N1005" s="42"/>
    </row>
    <row r="1006" spans="2:14" hidden="1" outlineLevel="2" x14ac:dyDescent="0.25">
      <c r="B1006" s="17" t="s">
        <v>31</v>
      </c>
      <c r="C1006" s="32">
        <f>+C660/[15]Result!$H$30</f>
        <v>-2.3180618818024409E-2</v>
      </c>
      <c r="D1006" s="28">
        <f>+D660/[1]Result!$H$30</f>
        <v>2.849960432970558E-2</v>
      </c>
      <c r="E1006" s="38">
        <f>+E660/[5]Result!$H$30</f>
        <v>-0.12266161724122453</v>
      </c>
      <c r="F1006" s="28">
        <f>+F660/[6]Result!$H$30</f>
        <v>3.6777769490955445E-2</v>
      </c>
      <c r="G1006" s="28">
        <f>+G660/[7]Result!$H$30</f>
        <v>-3.5737670056214914E-2</v>
      </c>
      <c r="H1006" s="38">
        <f>+H660/[8]Result!$H$30</f>
        <v>-4.7169020955352373E-2</v>
      </c>
      <c r="I1006" s="32">
        <f>+I660/[9]Result!$H$30</f>
        <v>-1.8798824307845127E-2</v>
      </c>
      <c r="J1006" s="32">
        <f>+J660/[10]Result!$H$30</f>
        <v>-1.9421714436770033E-2</v>
      </c>
      <c r="K1006" s="38">
        <f>+K660/[11]Result!$H$30</f>
        <v>7.6641416729492415E-2</v>
      </c>
      <c r="L1006" s="32">
        <f>+L660/[12]Result!$H$30</f>
        <v>3.8190190719449902E-4</v>
      </c>
      <c r="M1006" s="32">
        <f>+M660/[13]Result!$H$30</f>
        <v>-4.1373583597267373E-2</v>
      </c>
      <c r="N1006" s="42"/>
    </row>
    <row r="1007" spans="2:14" hidden="1" outlineLevel="2" x14ac:dyDescent="0.25">
      <c r="B1007" s="17" t="s">
        <v>32</v>
      </c>
      <c r="C1007" s="32">
        <f>+C661/[15]Result!$H$31</f>
        <v>-2.4040631720494404E-2</v>
      </c>
      <c r="D1007" s="28">
        <f>+D661/[1]Result!$H$31</f>
        <v>3.0136272957902926E-2</v>
      </c>
      <c r="E1007" s="38">
        <f>+E661/[5]Result!$H$31</f>
        <v>-0.11778713597530267</v>
      </c>
      <c r="F1007" s="28">
        <f>+F661/[6]Result!$H$31</f>
        <v>3.6393421528777108E-2</v>
      </c>
      <c r="G1007" s="28">
        <f>+G661/[7]Result!$H$31</f>
        <v>-3.6799927782400502E-2</v>
      </c>
      <c r="H1007" s="38">
        <f>+H661/[8]Result!$H$31</f>
        <v>-4.8098396002012718E-2</v>
      </c>
      <c r="I1007" s="32">
        <f>+I661/[9]Result!$H$31</f>
        <v>-1.8977748656941889E-2</v>
      </c>
      <c r="J1007" s="32">
        <f>+J661/[10]Result!$H$31</f>
        <v>-2.0140324859238883E-2</v>
      </c>
      <c r="K1007" s="38">
        <f>+K661/[11]Result!$H$31</f>
        <v>9.7087803703883604E-2</v>
      </c>
      <c r="L1007" s="32">
        <f>+L661/[12]Result!$H$31</f>
        <v>4.0158242546172021E-4</v>
      </c>
      <c r="M1007" s="32">
        <f>+M661/[13]Result!$H$31</f>
        <v>-4.2389100559901062E-2</v>
      </c>
      <c r="N1007" s="42"/>
    </row>
    <row r="1008" spans="2:14" hidden="1" outlineLevel="2" x14ac:dyDescent="0.25">
      <c r="B1008" s="17" t="s">
        <v>33</v>
      </c>
      <c r="C1008" s="32">
        <f>+C662/[15]Result!$H$32</f>
        <v>-2.4761808528908587E-2</v>
      </c>
      <c r="D1008" s="28">
        <f>+D662/[1]Result!$H$32</f>
        <v>3.1669307621800064E-2</v>
      </c>
      <c r="E1008" s="38">
        <f>+E662/[5]Result!$H$32</f>
        <v>-0.11218497611909943</v>
      </c>
      <c r="F1008" s="28">
        <f>+F662/[6]Result!$H$32</f>
        <v>3.6018292156307426E-2</v>
      </c>
      <c r="G1008" s="28">
        <f>+G662/[7]Result!$H$32</f>
        <v>-3.770626533509485E-2</v>
      </c>
      <c r="H1008" s="38">
        <f>+H662/[8]Result!$H$32</f>
        <v>-4.6206470915387952E-2</v>
      </c>
      <c r="I1008" s="32">
        <f>+I662/[9]Result!$H$32</f>
        <v>-1.9118596581154137E-2</v>
      </c>
      <c r="J1008" s="32">
        <f>+J662/[10]Result!$H$32</f>
        <v>-2.073096221481056E-2</v>
      </c>
      <c r="K1008" s="38">
        <f>+K662/[11]Result!$H$32</f>
        <v>0.14774243410055049</v>
      </c>
      <c r="L1008" s="32">
        <f>+L662/[12]Result!$H$32</f>
        <v>2.7073418069582827E-4</v>
      </c>
      <c r="M1008" s="32">
        <f>+M662/[13]Result!$H$32</f>
        <v>-4.3232441642133808E-2</v>
      </c>
      <c r="N1008" s="42"/>
    </row>
    <row r="1009" spans="2:14" hidden="1" outlineLevel="2" x14ac:dyDescent="0.25">
      <c r="B1009" s="17" t="s">
        <v>34</v>
      </c>
      <c r="C1009" s="32">
        <f>+C663/[15]Result!$H$33</f>
        <v>-2.5335528476830373E-2</v>
      </c>
      <c r="D1009" s="28">
        <f>+D663/[1]Result!$H$33</f>
        <v>3.293784839935672E-2</v>
      </c>
      <c r="E1009" s="38">
        <f>+E663/[5]Result!$H$33</f>
        <v>-3.5301143073803665E-2</v>
      </c>
      <c r="F1009" s="28">
        <f>+F663/[6]Result!$H$33</f>
        <v>3.5673306315132082E-2</v>
      </c>
      <c r="G1009" s="28">
        <f>+G663/[7]Result!$H$33</f>
        <v>-3.8308429630007773E-2</v>
      </c>
      <c r="H1009" s="38">
        <f>+H663/[8]Result!$H$33</f>
        <v>4.8103095645871612E-2</v>
      </c>
      <c r="I1009" s="32">
        <f>+I663/[9]Result!$H$33</f>
        <v>-1.9363869131542144E-2</v>
      </c>
      <c r="J1009" s="32">
        <f>+J663/[10]Result!$H$33</f>
        <v>-2.1448770259223423E-2</v>
      </c>
      <c r="K1009" s="38">
        <f>+K663/[11]Result!$H$33</f>
        <v>0.16924550698587087</v>
      </c>
      <c r="L1009" s="32">
        <f>+L663/[12]Result!$H$33</f>
        <v>0</v>
      </c>
      <c r="M1009" s="32">
        <f>+M663/[13]Result!$H$33</f>
        <v>-4.4033486780983046E-2</v>
      </c>
      <c r="N1009" s="42"/>
    </row>
    <row r="1010" spans="2:14" hidden="1" outlineLevel="2" x14ac:dyDescent="0.25">
      <c r="B1010" s="17" t="s">
        <v>35</v>
      </c>
      <c r="C1010" s="32">
        <f>+C664/[15]Result!$H$34</f>
        <v>-2.5743071112083894E-2</v>
      </c>
      <c r="D1010" s="28">
        <f>+D664/[1]Result!$H$34</f>
        <v>3.3911298189709005E-2</v>
      </c>
      <c r="E1010" s="38">
        <f>+E664/[5]Result!$H$34</f>
        <v>-4.0059926916953661E-2</v>
      </c>
      <c r="F1010" s="28">
        <f>+F664/[6]Result!$H$34</f>
        <v>3.5212470600155608E-2</v>
      </c>
      <c r="G1010" s="28">
        <f>+G664/[7]Result!$H$34</f>
        <v>-3.8723537123489082E-2</v>
      </c>
      <c r="H1010" s="38">
        <f>+H664/[8]Result!$H$34</f>
        <v>4.0705739905799863E-2</v>
      </c>
      <c r="I1010" s="32">
        <f>+I664/[9]Result!$H$34</f>
        <v>-1.9575879578541192E-2</v>
      </c>
      <c r="J1010" s="32">
        <f>+J664/[10]Result!$H$34</f>
        <v>-2.2019609898063296E-2</v>
      </c>
      <c r="K1010" s="38">
        <f>+K664/[11]Result!$H$34</f>
        <v>1.4504151189475515E-2</v>
      </c>
      <c r="L1010" s="32">
        <f>+L664/[12]Result!$H$34</f>
        <v>0</v>
      </c>
      <c r="M1010" s="32">
        <f>+M664/[13]Result!$H$34</f>
        <v>-4.4783434843547264E-2</v>
      </c>
      <c r="N1010" s="42"/>
    </row>
    <row r="1011" spans="2:14" hidden="1" outlineLevel="1" collapsed="1" x14ac:dyDescent="0.25">
      <c r="B1011" s="16" t="s">
        <v>36</v>
      </c>
      <c r="C1011" s="32">
        <f>+C665/'[15]Stat by Mat 2'!$D$7</f>
        <v>-2.6702963677464719E-2</v>
      </c>
      <c r="D1011" s="28">
        <f>+D665/'[1]Stat by Mat 2'!$D$7</f>
        <v>3.6115135512564907E-2</v>
      </c>
      <c r="E1011" s="38">
        <f>+E665/'[5]Stat by Mat 2'!$D$7</f>
        <v>-5.6854096414889962E-2</v>
      </c>
      <c r="F1011" s="28">
        <f>+F665/'[6]Stat by Mat 2'!$D$7</f>
        <v>3.4505567444269566E-2</v>
      </c>
      <c r="G1011" s="28">
        <f>+G665/'[7]Stat by Mat 2'!$D$7</f>
        <v>-3.9980230967559691E-2</v>
      </c>
      <c r="H1011" s="38">
        <f>+H665/'[8]Stat by Mat 2'!$D$7</f>
        <v>1.0809642808577073E-2</v>
      </c>
      <c r="I1011" s="32">
        <f>+I665/'[9]Stat by Mat 2'!$D$7</f>
        <v>-1.9789790743888844E-2</v>
      </c>
      <c r="J1011" s="32">
        <f>+J665/'[10]Stat by Mat 2'!$D$7</f>
        <v>-2.3237925597403127E-2</v>
      </c>
      <c r="K1011" s="38">
        <f>+K665/'[11]Stat by Mat 2'!$D$7</f>
        <v>4.4990284480810744E-2</v>
      </c>
      <c r="L1011" s="32">
        <f>+L665/'[12]Stat by Mat 2'!$D$7</f>
        <v>-3.386313921785102E-4</v>
      </c>
      <c r="M1011" s="32">
        <f>+M665/'[13]Stat by Mat 2'!$D$7</f>
        <v>-4.654182973287381E-2</v>
      </c>
      <c r="N1011" s="42"/>
    </row>
    <row r="1012" spans="2:14" hidden="1" outlineLevel="2" x14ac:dyDescent="0.25">
      <c r="B1012" s="17" t="s">
        <v>37</v>
      </c>
      <c r="C1012" s="32">
        <f>+C666/[15]Result!$H$35</f>
        <v>-2.6126614970084838E-2</v>
      </c>
      <c r="D1012" s="28">
        <f>+D666/[1]Result!$H$35</f>
        <v>3.4719372486881957E-2</v>
      </c>
      <c r="E1012" s="38">
        <f>+E666/[5]Result!$H$35</f>
        <v>-4.8557888337846349E-2</v>
      </c>
      <c r="F1012" s="28">
        <f>+F666/[6]Result!$H$35</f>
        <v>3.4967431122369198E-2</v>
      </c>
      <c r="G1012" s="28">
        <f>+G666/[7]Result!$H$35</f>
        <v>-3.9231433215593275E-2</v>
      </c>
      <c r="H1012" s="38">
        <f>+H666/[8]Result!$H$35</f>
        <v>1.9244943547859293E-2</v>
      </c>
      <c r="I1012" s="32">
        <f>+I666/[9]Result!$H$35</f>
        <v>-1.9612298410996546E-2</v>
      </c>
      <c r="J1012" s="32">
        <f>+J666/[10]Result!$H$35</f>
        <v>-2.2434090849107691E-2</v>
      </c>
      <c r="K1012" s="38">
        <f>+K666/[11]Result!$H$35</f>
        <v>2.2228790611068375E-2</v>
      </c>
      <c r="L1012" s="32">
        <f>+L666/[12]Result!$H$35</f>
        <v>-1.5443536174284935E-4</v>
      </c>
      <c r="M1012" s="32">
        <f>+M666/[13]Result!$H$35</f>
        <v>-4.5343690934725643E-2</v>
      </c>
      <c r="N1012" s="42"/>
    </row>
    <row r="1013" spans="2:14" hidden="1" outlineLevel="2" x14ac:dyDescent="0.25">
      <c r="B1013" s="17" t="s">
        <v>38</v>
      </c>
      <c r="C1013" s="32">
        <f>+C667/[15]Result!$H$36</f>
        <v>-2.6477079411401715E-2</v>
      </c>
      <c r="D1013" s="28">
        <f>+D667/[1]Result!$H$36</f>
        <v>3.5507838613657326E-2</v>
      </c>
      <c r="E1013" s="38">
        <f>+E667/[5]Result!$H$36</f>
        <v>-6.2375226837744227E-2</v>
      </c>
      <c r="F1013" s="28">
        <f>+F667/[6]Result!$H$36</f>
        <v>3.4783159617272734E-2</v>
      </c>
      <c r="G1013" s="28">
        <f>+G667/[7]Result!$H$36</f>
        <v>-3.96879864919863E-2</v>
      </c>
      <c r="H1013" s="38">
        <f>+H667/[8]Result!$H$36</f>
        <v>2.6288416117174526E-3</v>
      </c>
      <c r="I1013" s="32">
        <f>+I667/[9]Result!$H$36</f>
        <v>-1.9767027138385566E-2</v>
      </c>
      <c r="J1013" s="32">
        <f>+J667/[10]Result!$H$36</f>
        <v>-2.2829464586840431E-2</v>
      </c>
      <c r="K1013" s="38">
        <f>+K667/[11]Result!$H$36</f>
        <v>5.0208996860241308E-2</v>
      </c>
      <c r="L1013" s="32">
        <f>+L667/[12]Result!$H$36</f>
        <v>-3.1415091707683951E-4</v>
      </c>
      <c r="M1013" s="32">
        <f>+M667/[13]Result!$H$36</f>
        <v>-4.5848292224358107E-2</v>
      </c>
      <c r="N1013" s="42"/>
    </row>
    <row r="1014" spans="2:14" hidden="1" outlineLevel="2" x14ac:dyDescent="0.25">
      <c r="B1014" s="17" t="s">
        <v>39</v>
      </c>
      <c r="C1014" s="32">
        <f>+C668/[15]Result!$H$37</f>
        <v>-2.6642899657419096E-2</v>
      </c>
      <c r="D1014" s="28">
        <f>+D668/[1]Result!$H$37</f>
        <v>3.6105751662247568E-2</v>
      </c>
      <c r="E1014" s="38">
        <f>+E668/[5]Result!$H$37</f>
        <v>-5.8076927836372937E-2</v>
      </c>
      <c r="F1014" s="28">
        <f>+F668/[6]Result!$H$37</f>
        <v>3.4357573634888956E-2</v>
      </c>
      <c r="G1014" s="28">
        <f>+G668/[7]Result!$H$37</f>
        <v>-3.9943893346152559E-2</v>
      </c>
      <c r="H1014" s="38">
        <f>+H668/[8]Result!$H$37</f>
        <v>2.1437311960525629E-3</v>
      </c>
      <c r="I1014" s="32">
        <f>+I668/[9]Result!$H$37</f>
        <v>-1.972840265574994E-2</v>
      </c>
      <c r="J1014" s="32">
        <f>+J668/[10]Result!$H$37</f>
        <v>-2.3205897877662428E-2</v>
      </c>
      <c r="K1014" s="38">
        <f>+K668/[11]Result!$H$37</f>
        <v>8.5417607485469602E-2</v>
      </c>
      <c r="L1014" s="32">
        <f>+L668/[12]Result!$H$37</f>
        <v>-3.2379300535392657E-4</v>
      </c>
      <c r="M1014" s="32">
        <f>+M668/[13]Result!$H$37</f>
        <v>-4.6453619988664582E-2</v>
      </c>
      <c r="N1014" s="42"/>
    </row>
    <row r="1015" spans="2:14" hidden="1" outlineLevel="2" x14ac:dyDescent="0.25">
      <c r="B1015" s="17" t="s">
        <v>40</v>
      </c>
      <c r="C1015" s="32">
        <f>+C669/[15]Result!$H$38</f>
        <v>-2.677085461986152E-2</v>
      </c>
      <c r="D1015" s="28">
        <f>+D669/[1]Result!$H$38</f>
        <v>3.6502176364293142E-2</v>
      </c>
      <c r="E1015" s="38">
        <f>+E669/[5]Result!$H$38</f>
        <v>-5.1387135647392959E-2</v>
      </c>
      <c r="F1015" s="28">
        <f>+F669/[6]Result!$H$38</f>
        <v>3.4362728577295561E-2</v>
      </c>
      <c r="G1015" s="28">
        <f>+G669/[7]Result!$H$38</f>
        <v>-4.0306385228744086E-2</v>
      </c>
      <c r="H1015" s="38">
        <f>+H669/[8]Result!$H$38</f>
        <v>5.8757682797916403E-3</v>
      </c>
      <c r="I1015" s="32">
        <f>+I669/[9]Result!$H$38</f>
        <v>-1.9659721420416481E-2</v>
      </c>
      <c r="J1015" s="32">
        <f>+J669/[10]Result!$H$38</f>
        <v>-2.3563215957646863E-2</v>
      </c>
      <c r="K1015" s="38">
        <f>+K669/[11]Result!$H$38</f>
        <v>5.1086488527045844E-2</v>
      </c>
      <c r="L1015" s="32">
        <f>+L669/[12]Result!$H$38</f>
        <v>-3.3343473734653899E-4</v>
      </c>
      <c r="M1015" s="32">
        <f>+M669/[13]Result!$H$38</f>
        <v>-4.7009009351909742E-2</v>
      </c>
      <c r="N1015" s="42"/>
    </row>
    <row r="1016" spans="2:14" hidden="1" outlineLevel="2" x14ac:dyDescent="0.25">
      <c r="B1016" s="17" t="s">
        <v>41</v>
      </c>
      <c r="C1016" s="32">
        <f>+C670/[15]Result!$H$39</f>
        <v>-2.7030565251288691E-2</v>
      </c>
      <c r="D1016" s="28">
        <f>+D670/[1]Result!$H$39</f>
        <v>3.7039163203000249E-2</v>
      </c>
      <c r="E1016" s="38">
        <f>+E670/[5]Result!$H$39</f>
        <v>-7.5856882001684625E-2</v>
      </c>
      <c r="F1016" s="28">
        <f>+F670/[6]Result!$H$39</f>
        <v>3.4299560421666521E-2</v>
      </c>
      <c r="G1016" s="28">
        <f>+G670/[7]Result!$H$39</f>
        <v>-4.045159649412329E-2</v>
      </c>
      <c r="H1016" s="38">
        <f>+H670/[8]Result!$H$39</f>
        <v>-6.3138271950662671E-3</v>
      </c>
      <c r="I1016" s="32">
        <f>+I670/[9]Result!$H$39</f>
        <v>-1.9885814253151057E-2</v>
      </c>
      <c r="J1016" s="32">
        <f>+J670/[10]Result!$H$39</f>
        <v>-2.3732244338834359E-2</v>
      </c>
      <c r="K1016" s="38">
        <f>+K670/[11]Result!$H$39</f>
        <v>2.9958861359393497E-2</v>
      </c>
      <c r="L1016" s="32">
        <f>+L670/[12]Result!$H$39</f>
        <v>-3.4307534802628252E-4</v>
      </c>
      <c r="M1016" s="32">
        <f>+M670/[13]Result!$H$39</f>
        <v>-4.7356685559791285E-2</v>
      </c>
      <c r="N1016" s="42"/>
    </row>
    <row r="1017" spans="2:14" hidden="1" outlineLevel="2" x14ac:dyDescent="0.25">
      <c r="B1017" s="17" t="s">
        <v>42</v>
      </c>
      <c r="C1017" s="32">
        <f>+C671/[15]Result!$H$40</f>
        <v>-2.725831722757131E-2</v>
      </c>
      <c r="D1017" s="28">
        <f>+D671/[1]Result!$H$40</f>
        <v>3.7542351429442254E-2</v>
      </c>
      <c r="E1017" s="38">
        <f>+E671/[5]Result!$H$40</f>
        <v>-6.853120748623244E-2</v>
      </c>
      <c r="F1017" s="28">
        <f>+F671/[6]Result!$H$40</f>
        <v>3.3999309029714229E-2</v>
      </c>
      <c r="G1017" s="28">
        <f>+G671/[7]Result!$H$40</f>
        <v>-4.0548113284052945E-2</v>
      </c>
      <c r="H1017" s="38">
        <f>+H671/[8]Result!$H$40</f>
        <v>6.2204750132359918E-3</v>
      </c>
      <c r="I1017" s="32">
        <f>+I671/[9]Result!$H$40</f>
        <v>-2.0092991026833099E-2</v>
      </c>
      <c r="J1017" s="32">
        <f>+J671/[10]Result!$H$40</f>
        <v>-2.3876536025698877E-2</v>
      </c>
      <c r="K1017" s="38">
        <f>+K671/[11]Result!$H$40</f>
        <v>6.062944581587635E-2</v>
      </c>
      <c r="L1017" s="32">
        <f>+L671/[12]Result!$H$40</f>
        <v>-5.3072133487256517E-4</v>
      </c>
      <c r="M1017" s="32">
        <f>+M671/[13]Result!$H$40</f>
        <v>-4.7649041149050109E-2</v>
      </c>
      <c r="N1017" s="42"/>
    </row>
    <row r="1018" spans="2:14" hidden="1" outlineLevel="2" x14ac:dyDescent="0.25">
      <c r="B1018" s="17" t="s">
        <v>43</v>
      </c>
      <c r="C1018" s="32">
        <f>+C672/[15]Result!$H$41</f>
        <v>-2.7461189816981216E-2</v>
      </c>
      <c r="D1018" s="28">
        <f>+D672/[1]Result!$H$41</f>
        <v>3.7828501934628569E-2</v>
      </c>
      <c r="E1018" s="38">
        <f>+E672/[5]Result!$H$41</f>
        <v>-5.3333839852010172E-2</v>
      </c>
      <c r="F1018" s="28">
        <f>+F672/[6]Result!$H$41</f>
        <v>3.3815141693620168E-2</v>
      </c>
      <c r="G1018" s="28">
        <f>+G672/[7]Result!$H$41</f>
        <v>-4.0758129128694233E-2</v>
      </c>
      <c r="H1018" s="38">
        <f>+H672/[8]Result!$H$41</f>
        <v>1.6637557457315315E-2</v>
      </c>
      <c r="I1018" s="32">
        <f>+I672/[9]Result!$H$41</f>
        <v>-2.0101923491767017E-2</v>
      </c>
      <c r="J1018" s="32">
        <f>+J672/[10]Result!$H$41</f>
        <v>-2.4167665357701158E-2</v>
      </c>
      <c r="K1018" s="38">
        <f>+K672/[11]Result!$H$41</f>
        <v>9.4678673706806507E-2</v>
      </c>
      <c r="L1018" s="32">
        <f>+L672/[12]Result!$H$41</f>
        <v>-5.4189177232064165E-4</v>
      </c>
      <c r="M1018" s="32">
        <f>+M672/[13]Result!$H$41</f>
        <v>-4.806016518652869E-2</v>
      </c>
      <c r="N1018" s="42"/>
    </row>
    <row r="1019" spans="2:14" hidden="1" outlineLevel="2" x14ac:dyDescent="0.25">
      <c r="B1019" s="17" t="s">
        <v>44</v>
      </c>
      <c r="C1019" s="32">
        <f>+C673/[15]Result!$H$42</f>
        <v>-2.763256661026571E-2</v>
      </c>
      <c r="D1019" s="28">
        <f>+D673/[1]Result!$H$42</f>
        <v>3.8074566813658874E-2</v>
      </c>
      <c r="E1019" s="38">
        <f>+E673/[5]Result!$H$42</f>
        <v>-2.7761550578137891E-2</v>
      </c>
      <c r="F1019" s="28">
        <f>+F673/[6]Result!$H$42</f>
        <v>3.3765521340631779E-2</v>
      </c>
      <c r="G1019" s="28">
        <f>+G673/[7]Result!$H$42</f>
        <v>-4.0924967016494403E-2</v>
      </c>
      <c r="H1019" s="38">
        <f>+H673/[8]Result!$H$42</f>
        <v>3.3065575632171988E-2</v>
      </c>
      <c r="I1019" s="32">
        <f>+I673/[9]Result!$H$42</f>
        <v>-2.0085603708504273E-2</v>
      </c>
      <c r="J1019" s="32">
        <f>+J673/[10]Result!$H$42</f>
        <v>-2.4439828104442302E-2</v>
      </c>
      <c r="K1019" s="38">
        <f>+K673/[11]Result!$H$42</f>
        <v>0.12591867842364132</v>
      </c>
      <c r="L1019" s="32">
        <f>+L673/[12]Result!$H$42</f>
        <v>-5.5943355555681509E-4</v>
      </c>
      <c r="M1019" s="32">
        <f>+M673/[13]Result!$H$42</f>
        <v>-4.8422115173117924E-2</v>
      </c>
      <c r="N1019" s="42"/>
    </row>
    <row r="1020" spans="2:14" hidden="1" outlineLevel="2" x14ac:dyDescent="0.25">
      <c r="B1020" s="17" t="s">
        <v>45</v>
      </c>
      <c r="C1020" s="32">
        <f>+C674/[15]Result!$H$43</f>
        <v>-2.7778733405969661E-2</v>
      </c>
      <c r="D1020" s="28">
        <f>+D674/[1]Result!$H$43</f>
        <v>3.8280492862240466E-2</v>
      </c>
      <c r="E1020" s="38">
        <f>+E674/[5]Result!$H$43</f>
        <v>-2.1551696384134435E-2</v>
      </c>
      <c r="F1020" s="28">
        <f>+F674/[6]Result!$H$43</f>
        <v>3.3862064398578445E-2</v>
      </c>
      <c r="G1020" s="28">
        <f>+G674/[7]Result!$H$43</f>
        <v>-4.1227300341998133E-2</v>
      </c>
      <c r="H1020" s="38">
        <f>+H674/[8]Result!$H$43</f>
        <v>1.5958975806393171E-2</v>
      </c>
      <c r="I1020" s="32">
        <f>+I674/[9]Result!$H$43</f>
        <v>-2.0226469929802718E-2</v>
      </c>
      <c r="J1020" s="32">
        <f>+J674/[10]Result!$H$43</f>
        <v>-2.4693042425775101E-2</v>
      </c>
      <c r="K1020" s="38">
        <f>+K674/[11]Result!$H$43</f>
        <v>4.0157242610602509E-2</v>
      </c>
      <c r="L1020" s="32">
        <f>+L674/[12]Result!$H$43</f>
        <v>-7.6312382651777977E-4</v>
      </c>
      <c r="M1020" s="32">
        <f>+M674/[13]Result!$H$43</f>
        <v>-4.8558170952029821E-2</v>
      </c>
      <c r="N1020" s="42"/>
    </row>
    <row r="1021" spans="2:14" hidden="1" outlineLevel="2" x14ac:dyDescent="0.25">
      <c r="B1021" s="17" t="s">
        <v>46</v>
      </c>
      <c r="C1021" s="32">
        <f>+C675/[15]Result!$H$44</f>
        <v>-2.7893847147687827E-2</v>
      </c>
      <c r="D1021" s="28">
        <f>+D675/[1]Result!$H$44</f>
        <v>3.8446313275097579E-2</v>
      </c>
      <c r="E1021" s="38">
        <f>+E675/[5]Result!$H$44</f>
        <v>-0.10847808505314806</v>
      </c>
      <c r="F1021" s="28">
        <f>+F675/[6]Result!$H$44</f>
        <v>3.3918534853665652E-2</v>
      </c>
      <c r="G1021" s="28">
        <f>+G675/[7]Result!$H$44</f>
        <v>-4.1492341418476422E-2</v>
      </c>
      <c r="H1021" s="38">
        <f>+H675/[8]Result!$H$44</f>
        <v>3.5947214520632979E-2</v>
      </c>
      <c r="I1021" s="32">
        <f>+I675/[9]Result!$H$44</f>
        <v>-2.0155263527735192E-2</v>
      </c>
      <c r="J1021" s="32">
        <f>+J675/[10]Result!$H$44</f>
        <v>-2.4927466593608248E-2</v>
      </c>
      <c r="K1021" s="38">
        <f>+K675/[11]Result!$H$44</f>
        <v>-5.924804972420273E-2</v>
      </c>
      <c r="L1021" s="32">
        <f>+L675/[12]Result!$H$44</f>
        <v>-7.8239412995491332E-4</v>
      </c>
      <c r="M1021" s="32">
        <f>+M675/[13]Result!$H$44</f>
        <v>-4.8826437693502332E-2</v>
      </c>
      <c r="N1021" s="42"/>
    </row>
    <row r="1022" spans="2:14" hidden="1" outlineLevel="2" x14ac:dyDescent="0.25">
      <c r="B1022" s="17" t="s">
        <v>47</v>
      </c>
      <c r="C1022" s="32">
        <f>+C676/[15]Result!$H$45</f>
        <v>-2.7786437486018011E-2</v>
      </c>
      <c r="D1022" s="28">
        <f>+D676/[1]Result!$H$45</f>
        <v>3.8571996007359791E-2</v>
      </c>
      <c r="E1022" s="38">
        <f>+E676/[5]Result!$H$45</f>
        <v>-9.0918158550747696E-2</v>
      </c>
      <c r="F1022" s="28">
        <f>+F676/[6]Result!$H$45</f>
        <v>3.372586378639595E-2</v>
      </c>
      <c r="G1022" s="28">
        <f>+G676/[7]Result!$H$45</f>
        <v>-4.1526381763662239E-2</v>
      </c>
      <c r="H1022" s="38">
        <f>+H676/[8]Result!$H$45</f>
        <v>4.0961618030454026E-2</v>
      </c>
      <c r="I1022" s="32">
        <f>+I676/[9]Result!$H$45</f>
        <v>-2.0058254678152032E-2</v>
      </c>
      <c r="J1022" s="32">
        <f>+J676/[10]Result!$H$45</f>
        <v>-2.4946318905597085E-2</v>
      </c>
      <c r="K1022" s="38">
        <f>+K676/[11]Result!$H$45</f>
        <v>-6.1998283626797053E-2</v>
      </c>
      <c r="L1022" s="32">
        <f>+L676/[12]Result!$H$45</f>
        <v>-8.0166813023776931E-4</v>
      </c>
      <c r="M1022" s="32">
        <f>+M676/[13]Result!$H$45</f>
        <v>-4.9238077213540628E-2</v>
      </c>
      <c r="N1022" s="42"/>
    </row>
    <row r="1023" spans="2:14" hidden="1" outlineLevel="2" x14ac:dyDescent="0.25">
      <c r="B1023" s="17" t="s">
        <v>48</v>
      </c>
      <c r="C1023" s="32">
        <f>+C677/[15]Result!$H$46</f>
        <v>-2.7842909366988702E-2</v>
      </c>
      <c r="D1023" s="28">
        <f>+D677/[1]Result!$H$46</f>
        <v>3.8872811351651833E-2</v>
      </c>
      <c r="E1023" s="38">
        <f>+E677/[5]Result!$H$46</f>
        <v>-7.7747701249068296E-2</v>
      </c>
      <c r="F1023" s="28">
        <f>+F677/[6]Result!$H$46</f>
        <v>3.3699888339071005E-2</v>
      </c>
      <c r="G1023" s="28">
        <f>+G677/[7]Result!$H$46</f>
        <v>-4.1516596044498845E-2</v>
      </c>
      <c r="H1023" s="38">
        <f>+H677/[8]Result!$H$46</f>
        <v>4.1720243143837134E-2</v>
      </c>
      <c r="I1023" s="32">
        <f>+I677/[9]Result!$H$46</f>
        <v>-2.0132911833080483E-2</v>
      </c>
      <c r="J1023" s="32">
        <f>+J677/[10]Result!$H$46</f>
        <v>-2.4939310503750003E-2</v>
      </c>
      <c r="K1023" s="38">
        <f>+K677/[11]Result!$H$46</f>
        <v>-4.9221487057786173E-2</v>
      </c>
      <c r="L1023" s="32">
        <f>+L677/[12]Result!$H$46</f>
        <v>-8.209362376237619E-4</v>
      </c>
      <c r="M1023" s="32">
        <f>+M677/[13]Result!$H$46</f>
        <v>-4.941678151310068E-2</v>
      </c>
      <c r="N1023" s="42"/>
    </row>
    <row r="1024" spans="2:14" hidden="1" outlineLevel="2" x14ac:dyDescent="0.25">
      <c r="B1024" s="17" t="s">
        <v>49</v>
      </c>
      <c r="C1024" s="32">
        <f>+C678/[15]Result!$H$47</f>
        <v>-2.8075135285080044E-2</v>
      </c>
      <c r="D1024" s="28">
        <f>+D678/[1]Result!$H$47</f>
        <v>3.9141189588165648E-2</v>
      </c>
      <c r="E1024" s="38">
        <f>+E678/[5]Result!$H$47</f>
        <v>-6.070546393889175E-2</v>
      </c>
      <c r="F1024" s="28">
        <f>+F678/[6]Result!$H$47</f>
        <v>3.3848078493533128E-2</v>
      </c>
      <c r="G1024" s="28">
        <f>+G678/[7]Result!$H$47</f>
        <v>-4.1661212282329461E-2</v>
      </c>
      <c r="H1024" s="38">
        <f>+H678/[8]Result!$H$47</f>
        <v>3.1619840052585974E-2</v>
      </c>
      <c r="I1024" s="32">
        <f>+I678/[9]Result!$H$47</f>
        <v>-2.0188703916057399E-2</v>
      </c>
      <c r="J1024" s="32">
        <f>+J678/[10]Result!$H$47</f>
        <v>-2.5107809749236994E-2</v>
      </c>
      <c r="K1024" s="38">
        <f>+K678/[11]Result!$H$47</f>
        <v>-3.8404669028017938E-2</v>
      </c>
      <c r="L1024" s="32">
        <f>+L678/[12]Result!$H$47</f>
        <v>-8.402063545345659E-4</v>
      </c>
      <c r="M1024" s="32">
        <f>+M678/[13]Result!$H$47</f>
        <v>-4.9551714088371189E-2</v>
      </c>
      <c r="N1024" s="42"/>
    </row>
    <row r="1025" spans="2:15" hidden="1" outlineLevel="2" x14ac:dyDescent="0.25">
      <c r="B1025" s="17" t="s">
        <v>50</v>
      </c>
      <c r="C1025" s="32">
        <f>+C679/[15]Result!$H$48</f>
        <v>-2.8077846372992949E-2</v>
      </c>
      <c r="D1025" s="28">
        <f>+D679/[1]Result!$H$48</f>
        <v>3.915636889923179E-2</v>
      </c>
      <c r="E1025" s="38">
        <f>+E679/[5]Result!$H$48</f>
        <v>-7.1303980225251043E-2</v>
      </c>
      <c r="F1025" s="28">
        <f>+F679/[6]Result!$H$48</f>
        <v>3.3520988589480785E-2</v>
      </c>
      <c r="G1025" s="28">
        <f>+G679/[7]Result!$H$48</f>
        <v>-4.156133298662873E-2</v>
      </c>
      <c r="H1025" s="38">
        <f>+H679/[8]Result!$H$48</f>
        <v>2.2525384008781801E-2</v>
      </c>
      <c r="I1025" s="32">
        <f>+I679/[9]Result!$H$48</f>
        <v>-2.0225548827768242E-2</v>
      </c>
      <c r="J1025" s="32">
        <f>+J679/[10]Result!$H$48</f>
        <v>-2.5257434263969075E-2</v>
      </c>
      <c r="K1025" s="38">
        <f>+K679/[11]Result!$H$48</f>
        <v>-3.8897933141539713E-2</v>
      </c>
      <c r="L1025" s="32">
        <f>+L679/[12]Result!$H$48</f>
        <v>-8.5947664569189196E-4</v>
      </c>
      <c r="M1025" s="32">
        <f>+M679/[13]Result!$H$48</f>
        <v>-4.9843942717950201E-2</v>
      </c>
      <c r="N1025" s="42"/>
    </row>
    <row r="1026" spans="2:15" hidden="1" outlineLevel="2" x14ac:dyDescent="0.25">
      <c r="B1026" s="17" t="s">
        <v>51</v>
      </c>
      <c r="C1026" s="32">
        <f>+C680/[15]Result!$H$49</f>
        <v>-2.8054279446953108E-2</v>
      </c>
      <c r="D1026" s="28">
        <f>+D680/[1]Result!$H$49</f>
        <v>3.9131436243072991E-2</v>
      </c>
      <c r="E1026" s="38">
        <f>+E680/[5]Result!$H$49</f>
        <v>-6.0511186595460245E-2</v>
      </c>
      <c r="F1026" s="28">
        <f>+F680/[6]Result!$H$49</f>
        <v>3.3374701725381963E-2</v>
      </c>
      <c r="G1026" s="28">
        <f>+G680/[7]Result!$H$49</f>
        <v>-4.1417095569018333E-2</v>
      </c>
      <c r="H1026" s="38">
        <f>+H680/[8]Result!$H$49</f>
        <v>2.9860492897387795E-2</v>
      </c>
      <c r="I1026" s="32">
        <f>+I680/[9]Result!$H$49</f>
        <v>-2.024345146286919E-2</v>
      </c>
      <c r="J1026" s="32">
        <f>+J680/[10]Result!$H$49</f>
        <v>-2.5173172610878987E-2</v>
      </c>
      <c r="K1026" s="38">
        <f>+K680/[11]Result!$H$49</f>
        <v>-3.6326540956956289E-2</v>
      </c>
      <c r="L1026" s="32">
        <f>+L680/[12]Result!$H$49</f>
        <v>-8.7874511372611501E-4</v>
      </c>
      <c r="M1026" s="32">
        <f>+M680/[13]Result!$H$49</f>
        <v>-4.9890020562964474E-2</v>
      </c>
      <c r="N1026" s="42"/>
    </row>
    <row r="1027" spans="2:15" hidden="1" outlineLevel="2" x14ac:dyDescent="0.25">
      <c r="B1027" s="17" t="s">
        <v>52</v>
      </c>
      <c r="C1027" s="32">
        <f>+C681/[15]Result!$H$50</f>
        <v>-2.8220794055293812E-2</v>
      </c>
      <c r="D1027" s="28">
        <f>+D681/[1]Result!$H$50</f>
        <v>3.9301592926820415E-2</v>
      </c>
      <c r="E1027" s="38">
        <f>+E681/[5]Result!$H$50</f>
        <v>-6.3547319485121323E-2</v>
      </c>
      <c r="F1027" s="28">
        <f>+F681/[6]Result!$H$50</f>
        <v>3.3418391377279776E-2</v>
      </c>
      <c r="G1027" s="28">
        <f>+G681/[7]Result!$H$50</f>
        <v>-4.1441459194193515E-2</v>
      </c>
      <c r="H1027" s="38">
        <f>+H681/[8]Result!$H$50</f>
        <v>3.1075358238915936E-2</v>
      </c>
      <c r="I1027" s="32">
        <f>+I681/[9]Result!$H$50</f>
        <v>-2.002149835781248E-2</v>
      </c>
      <c r="J1027" s="32">
        <f>+J681/[10]Result!$H$50</f>
        <v>-2.5282114142864805E-2</v>
      </c>
      <c r="K1027" s="38">
        <f>+K681/[11]Result!$H$50</f>
        <v>-4.6248233619049527E-2</v>
      </c>
      <c r="L1027" s="32">
        <f>+L681/[12]Result!$H$50</f>
        <v>-8.9801175088057245E-4</v>
      </c>
      <c r="M1027" s="32">
        <f>+M681/[13]Result!$H$50</f>
        <v>-4.9891857440450084E-2</v>
      </c>
      <c r="N1027" s="42"/>
    </row>
    <row r="1028" spans="2:15" hidden="1" outlineLevel="2" x14ac:dyDescent="0.25">
      <c r="B1028" s="17" t="s">
        <v>53</v>
      </c>
      <c r="C1028" s="32">
        <f>+C682/[15]Result!$H$51</f>
        <v>-2.8144093263141819E-2</v>
      </c>
      <c r="D1028" s="28">
        <f>+D682/[1]Result!$H$51</f>
        <v>3.9199978571514159E-2</v>
      </c>
      <c r="E1028" s="38">
        <f>+E682/[5]Result!$H$51</f>
        <v>-6.1306733928280073E-2</v>
      </c>
      <c r="F1028" s="28">
        <f>+F682/[6]Result!$H$51</f>
        <v>3.3433827438435919E-2</v>
      </c>
      <c r="G1028" s="28">
        <f>+G682/[7]Result!$H$51</f>
        <v>-4.1649859016304927E-2</v>
      </c>
      <c r="H1028" s="38">
        <f>+H682/[8]Result!$H$51</f>
        <v>4.2512430934715559E-2</v>
      </c>
      <c r="I1028" s="32">
        <f>+I682/[9]Result!$H$51</f>
        <v>-1.9998300824360365E-2</v>
      </c>
      <c r="J1028" s="32">
        <f>+J682/[10]Result!$H$51</f>
        <v>-2.5369225006872245E-2</v>
      </c>
      <c r="K1028" s="38">
        <f>+K682/[11]Result!$H$51</f>
        <v>-6.0818176531554954E-2</v>
      </c>
      <c r="L1028" s="32">
        <f>+L682/[12]Result!$H$51</f>
        <v>-9.1727655004319845E-4</v>
      </c>
      <c r="M1028" s="32">
        <f>+M682/[12]Result!$H$51</f>
        <v>-5.0018829400118259E-2</v>
      </c>
      <c r="N1028" s="42"/>
    </row>
    <row r="1029" spans="2:15" hidden="1" outlineLevel="2" x14ac:dyDescent="0.25">
      <c r="B1029" s="17" t="s">
        <v>54</v>
      </c>
      <c r="C1029" s="32">
        <f>+C683/[15]Result!$H$52</f>
        <v>-2.8040605443717743E-2</v>
      </c>
      <c r="D1029" s="28">
        <f>+D683/[1]Result!$H$52</f>
        <v>3.9061121086554837E-2</v>
      </c>
      <c r="E1029" s="38">
        <f>+E683/[5]Result!$H$52</f>
        <v>-9.1086380328961325E-2</v>
      </c>
      <c r="F1029" s="28">
        <f>+F683/[6]Result!$H$52</f>
        <v>3.3661195281199277E-2</v>
      </c>
      <c r="G1029" s="28">
        <f>+G683/[7]Result!$H$52</f>
        <v>-4.1829244897300798E-2</v>
      </c>
      <c r="H1029" s="38">
        <f>+H683/[8]Result!$H$52</f>
        <v>7.5177739106274136E-2</v>
      </c>
      <c r="I1029" s="32">
        <f>+I683/[9]Result!$H$52</f>
        <v>-2.0183821697058887E-2</v>
      </c>
      <c r="J1029" s="32">
        <f>+J683/[10]Result!$H$52</f>
        <v>-2.5211267632975223E-2</v>
      </c>
      <c r="K1029" s="38">
        <f>+K683/[11]Result!$H$52</f>
        <v>-7.0421420129967216E-2</v>
      </c>
      <c r="L1029" s="32">
        <f>+L683/[12]Result!$H$52</f>
        <v>-9.3653950473670817E-4</v>
      </c>
      <c r="M1029" s="32">
        <f>+M683/[13]Result!$H$52</f>
        <v>-4.9978121373954999E-2</v>
      </c>
      <c r="N1029" s="42"/>
    </row>
    <row r="1030" spans="2:15" hidden="1" outlineLevel="2" x14ac:dyDescent="0.25">
      <c r="B1030" s="17" t="s">
        <v>55</v>
      </c>
      <c r="C1030" s="32">
        <f>+C684/[15]Result!$H$53</f>
        <v>-2.8141421358003838E-2</v>
      </c>
      <c r="D1030" s="28">
        <f>+D684/[1]Result!$H$53</f>
        <v>3.9129470113383712E-2</v>
      </c>
      <c r="E1030" s="38">
        <f>+E684/[5]Result!$H$53</f>
        <v>-0.11468685693648992</v>
      </c>
      <c r="F1030" s="28">
        <f>+F684/[6]Result!$H$53</f>
        <v>3.3620423656362419E-2</v>
      </c>
      <c r="G1030" s="28">
        <f>+G684/[7]Result!$H$53</f>
        <v>-4.1751932906330863E-2</v>
      </c>
      <c r="H1030" s="38">
        <f>+H684/[8]Result!$H$53</f>
        <v>2.5440336182432167E-2</v>
      </c>
      <c r="I1030" s="32">
        <f>+I684/[9]Result!$H$53</f>
        <v>-2.0126171919665495E-2</v>
      </c>
      <c r="J1030" s="32">
        <f>+J684/[10]Result!$H$53</f>
        <v>-2.5490942673905507E-2</v>
      </c>
      <c r="K1030" s="38">
        <f>+K684/[11]Result!$H$53</f>
        <v>-8.9773458382038929E-2</v>
      </c>
      <c r="L1030" s="32">
        <f>+L684/[12]Result!$H$53</f>
        <v>-9.5580756068296244E-4</v>
      </c>
      <c r="M1030" s="32">
        <f>+M684/[13]Result!$H$53</f>
        <v>-5.007428842231261E-2</v>
      </c>
      <c r="N1030" s="42"/>
    </row>
    <row r="1031" spans="2:15" hidden="1" outlineLevel="2" x14ac:dyDescent="0.25">
      <c r="B1031" s="17" t="s">
        <v>56</v>
      </c>
      <c r="C1031" s="32">
        <f>+C685/[15]Result!$H$54</f>
        <v>-2.8223375795545128E-2</v>
      </c>
      <c r="D1031" s="28">
        <f>+D685/[1]Result!$H$54</f>
        <v>3.9168596188622729E-2</v>
      </c>
      <c r="E1031" s="38">
        <f>+E685/[5]Result!$H$54</f>
        <v>-0.17365976437052111</v>
      </c>
      <c r="F1031" s="28">
        <f>+F685/[6]Result!$H$54</f>
        <v>3.3297730148786821E-2</v>
      </c>
      <c r="G1031" s="28">
        <f>+G685/[7]Result!$H$54</f>
        <v>-4.1637526401796819E-2</v>
      </c>
      <c r="H1031" s="38">
        <f>+H685/[8]Result!$H$54</f>
        <v>8.1093304394331669E-2</v>
      </c>
      <c r="I1031" s="32">
        <f>+I685/[9]Result!$H$54</f>
        <v>-2.0049586374169193E-2</v>
      </c>
      <c r="J1031" s="32">
        <f>+J685/[10]Result!$H$54</f>
        <v>-2.5522199847091087E-2</v>
      </c>
      <c r="K1031" s="38">
        <f>+K685/[11]Result!$H$54</f>
        <v>-9.8081095964943354E-2</v>
      </c>
      <c r="L1031" s="32">
        <f>+L685/[12]Result!$H$54</f>
        <v>-9.7507641049439234E-4</v>
      </c>
      <c r="M1031" s="32">
        <f>+M685/[13]Result!$H$54</f>
        <v>-5.0363945837441013E-2</v>
      </c>
      <c r="N1031" s="42"/>
    </row>
    <row r="1032" spans="2:15" collapsed="1" x14ac:dyDescent="0.25">
      <c r="B1032" s="13" t="s">
        <v>94</v>
      </c>
      <c r="C1032" s="32" cm="1">
        <f t="array" ref="C1032">+C686/[15]!DELTA1PERC</f>
        <v>-5.6823163505666735E-3</v>
      </c>
      <c r="D1032" s="28" cm="1">
        <f t="array" ref="D1032">+D686/[1]!DELTA1PERC</f>
        <v>8.4645542344903117E-3</v>
      </c>
      <c r="E1032" s="38" cm="1">
        <f t="array" ref="E1032">+E686/[5]!DELTA1PERC</f>
        <v>-2.8141030019530423E-2</v>
      </c>
      <c r="F1032" s="28" cm="1">
        <f t="array" ref="F1032">+F686/[6]!DELTA1PERC</f>
        <v>1.8897472051807855E-2</v>
      </c>
      <c r="G1032" s="28" cm="1">
        <f t="array" ref="G1032">+G686/[7]!DELTA1PERC</f>
        <v>-7.8029448835409965E-3</v>
      </c>
      <c r="H1032" s="38" cm="1">
        <f t="array" ref="H1032">+H686/[8]!DELTA1PERC</f>
        <v>-1.0538150523193254E-2</v>
      </c>
      <c r="I1032" s="33" cm="1">
        <f t="array" ref="I1032">+I686/[9]!DELTA1PERC</f>
        <v>-6.6652545817091026E-3</v>
      </c>
      <c r="J1032" s="33" cm="1">
        <f t="array" ref="J1032">+J686/[10]!DELTA1PERC</f>
        <v>-7.3942248406309559E-4</v>
      </c>
      <c r="K1032" s="38" cm="1">
        <f t="array" ref="K1032">+K686/[11]!DELTA1PERC</f>
        <v>2.0156268252493923E-2</v>
      </c>
      <c r="L1032" s="33" cm="1">
        <f t="array" ref="L1032">+L686/[12]!DELTA1PERC</f>
        <v>2.2805574855080985E-3</v>
      </c>
      <c r="M1032" s="33" cm="1">
        <f t="array" ref="M1032">+M686/[13]!DELTA1PERC</f>
        <v>-9.7120307249914557E-3</v>
      </c>
      <c r="N1032" s="42"/>
      <c r="O1032" s="14"/>
    </row>
    <row r="1033" spans="2:15" hidden="1" outlineLevel="1" x14ac:dyDescent="0.25">
      <c r="B1033" s="16" t="s">
        <v>2</v>
      </c>
      <c r="C1033" s="32">
        <f>+C687/'[15]Stat by Mat 2'!$J$3</f>
        <v>-2.0617284308636478E-3</v>
      </c>
      <c r="D1033" s="28">
        <f>+D687/'[1]Stat by Mat 2'!$J$3</f>
        <v>4.1498604754884394E-3</v>
      </c>
      <c r="E1033" s="38">
        <f>+E687/'[5]Stat by Mat 2'!$J$3</f>
        <v>5.2007479857408855E-2</v>
      </c>
      <c r="F1033" s="28">
        <f>+F687/'[6]Stat by Mat 2'!$J$3</f>
        <v>9.0897123135664417E-3</v>
      </c>
      <c r="G1033" s="28">
        <f>+G687/'[7]Stat by Mat 2'!$J$3</f>
        <v>-1.7446838857636624E-3</v>
      </c>
      <c r="H1033" s="38">
        <f>+H687/'[8]Stat by Mat 2'!$J$3</f>
        <v>-9.8791908784024059E-3</v>
      </c>
      <c r="I1033" s="32">
        <f>+I687/'[9]Stat by Mat 2'!$J$3</f>
        <v>-2.9547786075175488E-3</v>
      </c>
      <c r="J1033" s="32">
        <f>+J687/'[10]Stat by Mat 2'!$J$3</f>
        <v>1.3808122861610731E-3</v>
      </c>
      <c r="K1033" s="38">
        <f>+K687/'[11]Stat by Mat 2'!$J$3</f>
        <v>2.933166639026338E-2</v>
      </c>
      <c r="L1033" s="32">
        <f>+L687/'[12]Stat by Mat 2'!$J$3</f>
        <v>1.0942058292904356E-3</v>
      </c>
      <c r="M1033" s="32">
        <f>+M687/'[13]Stat by Mat 2'!$J$3</f>
        <v>-1.6008360566852542E-3</v>
      </c>
      <c r="N1033" s="42"/>
    </row>
    <row r="1034" spans="2:15" hidden="1" outlineLevel="1" x14ac:dyDescent="0.25">
      <c r="B1034" s="16" t="s">
        <v>8</v>
      </c>
      <c r="C1034" s="32">
        <f>+C688/'[15]Stat by Mat 2'!$J$4</f>
        <v>-4.2511221562146232E-3</v>
      </c>
      <c r="D1034" s="28">
        <f>+D688/'[1]Stat by Mat 2'!$J$4</f>
        <v>9.0123012049876262E-3</v>
      </c>
      <c r="E1034" s="38">
        <f>+E688/'[5]Stat by Mat 2'!$J$4</f>
        <v>-4.8420499496261829E-2</v>
      </c>
      <c r="F1034" s="28">
        <f>+F688/'[6]Stat by Mat 2'!$J$4</f>
        <v>2.1209496089204742E-2</v>
      </c>
      <c r="G1034" s="28">
        <f>+G688/'[7]Stat by Mat 2'!$J$4</f>
        <v>-5.874117159802455E-3</v>
      </c>
      <c r="H1034" s="38">
        <f>+H688/'[8]Stat by Mat 2'!$J$4</f>
        <v>-9.5005568772448101E-5</v>
      </c>
      <c r="I1034" s="32">
        <f>+I688/'[9]Stat by Mat 2'!$J$4</f>
        <v>-6.682178740614139E-3</v>
      </c>
      <c r="J1034" s="32">
        <f>+J688/'[10]Stat by Mat 2'!$J$4</f>
        <v>2.3935355253992441E-3</v>
      </c>
      <c r="K1034" s="38">
        <f>+K688/'[11]Stat by Mat 2'!$J$4</f>
        <v>6.7277814229523545E-4</v>
      </c>
      <c r="L1034" s="32">
        <f>+L688/'[12]Stat by Mat 2'!$J$4</f>
        <v>3.6321350489930994E-3</v>
      </c>
      <c r="M1034" s="32">
        <f>+M688/'[13]Stat by Mat 2'!$J$4</f>
        <v>-8.0581124084479171E-3</v>
      </c>
      <c r="N1034" s="42"/>
    </row>
    <row r="1035" spans="2:15" hidden="1" outlineLevel="1" x14ac:dyDescent="0.25">
      <c r="B1035" s="16" t="s">
        <v>14</v>
      </c>
      <c r="C1035" s="32">
        <f>+C689/'[15]Stat by Mat 2'!$J$5</f>
        <v>-9.1197158637625533E-3</v>
      </c>
      <c r="D1035" s="28">
        <f>+D689/'[1]Stat by Mat 2'!$J$5</f>
        <v>1.1038844658110643E-2</v>
      </c>
      <c r="E1035" s="38">
        <f>+E689/'[5]Stat by Mat 2'!$J$5</f>
        <v>-0.12698029332213737</v>
      </c>
      <c r="F1035" s="28">
        <f>+F689/'[6]Stat by Mat 2'!$J$5</f>
        <v>3.1880821026528623E-2</v>
      </c>
      <c r="G1035" s="28">
        <f>+G689/'[7]Stat by Mat 2'!$J$5</f>
        <v>-1.5121130960446625E-2</v>
      </c>
      <c r="H1035" s="38">
        <f>+H689/'[8]Stat by Mat 2'!$J$5</f>
        <v>-1.7823300771761145E-2</v>
      </c>
      <c r="I1035" s="32">
        <f>+I689/'[9]Stat by Mat 2'!$J$5</f>
        <v>-1.1318566603879698E-2</v>
      </c>
      <c r="J1035" s="32">
        <f>+J689/'[10]Stat by Mat 2'!$J$5</f>
        <v>-4.2430309997411372E-3</v>
      </c>
      <c r="K1035" s="38">
        <f>+K689/'[11]Stat by Mat 2'!$J$5</f>
        <v>1.0244494900113296E-2</v>
      </c>
      <c r="L1035" s="32">
        <f>+L689/'[12]Stat by Mat 2'!$J$5</f>
        <v>3.7602863335891765E-3</v>
      </c>
      <c r="M1035" s="32">
        <f>+M689/'[13]Stat by Mat 2'!$J$5</f>
        <v>-2.0915328468336252E-2</v>
      </c>
      <c r="N1035" s="42"/>
    </row>
    <row r="1036" spans="2:15" hidden="1" outlineLevel="1" x14ac:dyDescent="0.25">
      <c r="B1036" s="16" t="s">
        <v>25</v>
      </c>
      <c r="C1036" s="32">
        <f>+C690/'[15]Stat by Mat 2'!$J$6</f>
        <v>-2.0921099724672102E-2</v>
      </c>
      <c r="D1036" s="28">
        <f>+D690/'[1]Stat by Mat 2'!$J$6</f>
        <v>2.3314322951719806E-2</v>
      </c>
      <c r="E1036" s="38">
        <f>+E690/'[5]Stat by Mat 2'!$J$6</f>
        <v>-0.11825772177690796</v>
      </c>
      <c r="F1036" s="28">
        <f>+F690/'[6]Stat by Mat 2'!$J$6</f>
        <v>3.8345955773453226E-2</v>
      </c>
      <c r="G1036" s="28">
        <f>+G690/'[7]Stat by Mat 2'!$J$6</f>
        <v>-3.3207923148633522E-2</v>
      </c>
      <c r="H1036" s="38">
        <f>+H690/'[8]Stat by Mat 2'!$J$6</f>
        <v>-3.6611472901244793E-2</v>
      </c>
      <c r="I1036" s="32">
        <f>+I690/'[9]Stat by Mat 2'!$J$6</f>
        <v>-1.8249526649522032E-2</v>
      </c>
      <c r="J1036" s="32">
        <f>+J690/'[10]Stat by Mat 2'!$J$6</f>
        <v>-1.7307406540502519E-2</v>
      </c>
      <c r="K1036" s="38">
        <f>+K690/'[11]Stat by Mat 2'!$J$6</f>
        <v>6.7905699602434533E-2</v>
      </c>
      <c r="L1036" s="32">
        <f>+L690/'[12]Stat by Mat 2'!$J$6</f>
        <v>9.9844784951711569E-4</v>
      </c>
      <c r="M1036" s="32">
        <f>+M690/'[13]Stat by Mat 2'!$J$6</f>
        <v>-3.9149714217797248E-2</v>
      </c>
      <c r="N1036" s="42"/>
    </row>
    <row r="1037" spans="2:15" hidden="1" outlineLevel="1" x14ac:dyDescent="0.25">
      <c r="B1037" s="16" t="s">
        <v>36</v>
      </c>
      <c r="C1037" s="32">
        <f>+C691/'[15]Stat by Mat 2'!$J$7</f>
        <v>-2.681693028373601E-2</v>
      </c>
      <c r="D1037" s="28">
        <f>+D691/'[1]Stat by Mat 2'!$J$7</f>
        <v>3.6278824293674364E-2</v>
      </c>
      <c r="E1037" s="38">
        <f>+E691/'[5]Stat by Mat 2'!$J$7</f>
        <v>-5.7253166016285148E-2</v>
      </c>
      <c r="F1037" s="28">
        <f>+F691/'[6]Stat by Mat 2'!$J$7</f>
        <v>3.4646420620835922E-2</v>
      </c>
      <c r="G1037" s="28">
        <f>+G691/'[7]Stat by Mat 2'!$J$7</f>
        <v>-4.0148009892763716E-2</v>
      </c>
      <c r="H1037" s="38">
        <f>+H691/'[8]Stat by Mat 2'!$J$7</f>
        <v>1.0641238240104604E-2</v>
      </c>
      <c r="I1037" s="32">
        <f>+I691/'[9]Stat by Mat 2'!$J$7</f>
        <v>-1.9872391386250039E-2</v>
      </c>
      <c r="J1037" s="32">
        <f>+J691/'[10]Stat by Mat 2'!$J$7</f>
        <v>-2.3339826699706825E-2</v>
      </c>
      <c r="K1037" s="38">
        <f>+K691/'[11]Stat by Mat 2'!$J$7</f>
        <v>4.5030703774389925E-2</v>
      </c>
      <c r="L1037" s="32">
        <f>+L691/'[12]Stat by Mat 2'!$J$7</f>
        <v>-3.4132846890767702E-4</v>
      </c>
      <c r="M1037" s="32">
        <f>+M691/'[12]Stat by Mat 2'!$J$7</f>
        <v>-4.6723894821610303E-2</v>
      </c>
      <c r="N1037" s="42"/>
    </row>
    <row r="1038" spans="2:15" ht="14.25" collapsed="1" thickBot="1" x14ac:dyDescent="0.3">
      <c r="B1038" s="18" t="s">
        <v>95</v>
      </c>
      <c r="C1038" s="31" cm="1">
        <f t="array" ref="C1038">+C692/[15]!DURATION</f>
        <v>-3.4599135062298287E-3</v>
      </c>
      <c r="D1038" s="31" cm="1">
        <f t="array" ref="D1038">+D692/[1]!DURATION</f>
        <v>4.4096571069572243E-3</v>
      </c>
      <c r="E1038" s="34" cm="1">
        <f t="array" ref="E1038">+E692/[5]!DURATION</f>
        <v>-5.5436179465884659E-2</v>
      </c>
      <c r="F1038" s="31" cm="1">
        <f t="array" ref="F1038">+F692/[6]!DURATION</f>
        <v>9.8807495744044783E-3</v>
      </c>
      <c r="G1038" s="31" cm="1">
        <f t="array" ref="G1038">+G692/[7]!DURATION</f>
        <v>-5.3343961093659468E-3</v>
      </c>
      <c r="H1038" s="34" cm="1">
        <f t="array" ref="H1038">+H692/[8]!DURATION</f>
        <v>2.3435777101754651E-2</v>
      </c>
      <c r="I1038" s="31" cm="1">
        <f t="array" ref="I1038">+I692/[9]!DURATION</f>
        <v>-3.707314993536037E-3</v>
      </c>
      <c r="J1038" s="31" cm="1">
        <f t="array" ref="J1038">+J692/[10]!DURATION</f>
        <v>-1.3133669109953272E-3</v>
      </c>
      <c r="K1038" s="34" cm="1">
        <f t="array" ref="K1038">+K692/[11]!DURATION</f>
        <v>1.8668704357491052E-2</v>
      </c>
      <c r="L1038" s="31" cm="1">
        <f t="array" ref="L1038">+L692/[12]!DURATION</f>
        <v>1.1830526670153414E-3</v>
      </c>
      <c r="M1038" s="31" cm="1">
        <f t="array" ref="M1038">+M692/[13]!DURATION</f>
        <v>-6.7246788906438438E-3</v>
      </c>
      <c r="N1038" s="43"/>
    </row>
    <row r="1039" spans="2:15" x14ac:dyDescent="0.25">
      <c r="B1039" s="26"/>
      <c r="C1039" s="28"/>
      <c r="D1039" s="14"/>
      <c r="E1039" s="15"/>
      <c r="F1039" s="25"/>
      <c r="G1039" s="25"/>
      <c r="H1039" s="15"/>
      <c r="I1039" s="25"/>
      <c r="J1039" s="25"/>
      <c r="K1039" s="15"/>
      <c r="M1039" s="25"/>
      <c r="N1039" s="15"/>
    </row>
  </sheetData>
  <sheetProtection selectLockedCells="1" selectUnlockedCells="1"/>
  <mergeCells count="3">
    <mergeCell ref="B2:N2"/>
    <mergeCell ref="B348:N348"/>
    <mergeCell ref="B694:N694"/>
  </mergeCells>
  <conditionalFormatting sqref="C11 C5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3 C117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9 C173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5 C229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 C285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7 C351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3 C407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9 C463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25 C519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87 C575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7 C631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7 C703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5 C809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1 C865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7 C921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83 C977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A10" sqref="A10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51" t="s">
        <v>74</v>
      </c>
      <c r="I1" s="3"/>
    </row>
    <row r="2" spans="1:15" x14ac:dyDescent="0.3">
      <c r="A2" s="60" t="s">
        <v>98</v>
      </c>
      <c r="B2" s="5">
        <v>2.69</v>
      </c>
      <c r="C2" s="5">
        <f>+L54</f>
        <v>2.7631233276737537</v>
      </c>
      <c r="D2" s="59">
        <f>+O54</f>
        <v>0.53002221908642611</v>
      </c>
      <c r="E2" s="5">
        <f>+N54</f>
        <v>1.3913934300693593</v>
      </c>
      <c r="G2" s="4" t="s">
        <v>66</v>
      </c>
      <c r="H2" s="5">
        <v>2.23</v>
      </c>
      <c r="J2" s="67" t="s">
        <v>67</v>
      </c>
      <c r="K2" s="68"/>
      <c r="L2" s="67" t="s">
        <v>68</v>
      </c>
      <c r="M2" s="68"/>
      <c r="N2" s="67" t="s">
        <v>69</v>
      </c>
      <c r="O2" s="68"/>
    </row>
    <row r="3" spans="1:15" x14ac:dyDescent="0.3">
      <c r="A3" s="60" t="s">
        <v>99</v>
      </c>
      <c r="B3" s="5">
        <v>1.72</v>
      </c>
      <c r="C3" s="5">
        <f>+L49</f>
        <v>2.7753077540930295</v>
      </c>
      <c r="D3" s="59">
        <f>+O49</f>
        <v>0.5304186599702283</v>
      </c>
      <c r="E3" s="5">
        <f>+N49</f>
        <v>0.41676726583797885</v>
      </c>
      <c r="G3" s="4" t="s">
        <v>67</v>
      </c>
      <c r="H3" s="5">
        <v>2041608624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60" t="s">
        <v>100</v>
      </c>
      <c r="B4" s="5">
        <v>1.99</v>
      </c>
      <c r="C4" s="5">
        <f>+L44</f>
        <v>2.6214552953640671</v>
      </c>
      <c r="D4" s="59">
        <f>+O44</f>
        <v>0.46420581663803628</v>
      </c>
      <c r="E4" s="5">
        <f>+N44</f>
        <v>0.58543950080051421</v>
      </c>
      <c r="G4" s="7" t="s">
        <v>73</v>
      </c>
      <c r="H4" s="58">
        <f>H3+SUM([14]Result!$C$5:$C$54)</f>
        <v>1059649859.0707639</v>
      </c>
      <c r="J4" s="45">
        <f>+H2</f>
        <v>2.23</v>
      </c>
      <c r="K4" s="9">
        <f>+H3/H3</f>
        <v>1</v>
      </c>
      <c r="L4" s="56" cm="1">
        <f t="array" ref="L4">+[14]!DURATION</f>
        <v>2.7163299489247752</v>
      </c>
      <c r="M4" s="57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60" t="s">
        <v>101</v>
      </c>
      <c r="B5" s="5">
        <v>2.48</v>
      </c>
      <c r="C5" s="5">
        <f>+L39</f>
        <v>2.6473572386580559</v>
      </c>
      <c r="D5" s="59">
        <f>+O39</f>
        <v>0.46594942375572912</v>
      </c>
      <c r="E5" s="5">
        <f>+N39</f>
        <v>1.0661773411702236</v>
      </c>
    </row>
    <row r="6" spans="1:15" ht="20.25" x14ac:dyDescent="0.3">
      <c r="A6" s="60" t="s">
        <v>102</v>
      </c>
      <c r="B6" s="5">
        <v>2.63</v>
      </c>
      <c r="C6" s="5">
        <f>+L34</f>
        <v>2.6332351865040566</v>
      </c>
      <c r="D6" s="59">
        <f>+O34</f>
        <v>0.46840047161852927</v>
      </c>
      <c r="E6" s="5">
        <f>+N34</f>
        <v>1.2301734167369494</v>
      </c>
      <c r="G6" s="51" t="s">
        <v>75</v>
      </c>
      <c r="I6" s="3"/>
    </row>
    <row r="7" spans="1:15" x14ac:dyDescent="0.3">
      <c r="A7" s="60" t="s">
        <v>103</v>
      </c>
      <c r="B7" s="5">
        <v>2.48</v>
      </c>
      <c r="C7" s="5">
        <f>+L29</f>
        <v>2.694947099391463</v>
      </c>
      <c r="D7" s="59">
        <f>+O29</f>
        <v>0.5122292542799195</v>
      </c>
      <c r="E7" s="5">
        <f>+N29</f>
        <v>1.1654836436536582</v>
      </c>
      <c r="G7" s="4" t="s">
        <v>66</v>
      </c>
      <c r="H7" s="5">
        <v>2.16</v>
      </c>
      <c r="J7" s="67" t="s">
        <v>67</v>
      </c>
      <c r="K7" s="68"/>
      <c r="L7" s="67" t="s">
        <v>68</v>
      </c>
      <c r="M7" s="68"/>
      <c r="N7" s="67" t="s">
        <v>69</v>
      </c>
      <c r="O7" s="68"/>
    </row>
    <row r="8" spans="1:15" x14ac:dyDescent="0.3">
      <c r="A8" s="60" t="s">
        <v>104</v>
      </c>
      <c r="B8" s="5">
        <v>2.41</v>
      </c>
      <c r="C8" s="5">
        <f>+L24</f>
        <v>2.6849560816031026</v>
      </c>
      <c r="D8" s="59">
        <f>+O24</f>
        <v>0.51488699248424619</v>
      </c>
      <c r="E8" s="5">
        <f>+N24</f>
        <v>1.1074928802058053</v>
      </c>
      <c r="G8" s="4" t="s">
        <v>67</v>
      </c>
      <c r="H8" s="5">
        <v>2140070640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60" t="s">
        <v>121</v>
      </c>
      <c r="B9" s="5">
        <v>2.15</v>
      </c>
      <c r="C9" s="5">
        <f>+L19</f>
        <v>2.6814297491280494</v>
      </c>
      <c r="D9" s="59">
        <f>+O19</f>
        <v>0.55906442035289827</v>
      </c>
      <c r="E9" s="5">
        <f>+N19</f>
        <v>0.96766221928524065</v>
      </c>
      <c r="G9" s="7" t="s">
        <v>73</v>
      </c>
      <c r="H9" s="8">
        <f>H8+SUM([13]Result!$C$5:$C$54)</f>
        <v>1155864050.9841242</v>
      </c>
      <c r="J9" s="45">
        <f>+H7</f>
        <v>2.16</v>
      </c>
      <c r="K9" s="9">
        <f>+H8/H8</f>
        <v>1</v>
      </c>
      <c r="L9" s="45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60" t="s">
        <v>106</v>
      </c>
      <c r="B10" s="5">
        <v>2.2200000000000002</v>
      </c>
      <c r="C10" s="5">
        <f>+L14</f>
        <v>2.7314885683699024</v>
      </c>
      <c r="D10" s="59">
        <f>+O14</f>
        <v>0.53848271327513453</v>
      </c>
      <c r="E10" s="5">
        <f>+N14</f>
        <v>0.95937080720593571</v>
      </c>
      <c r="G10" s="46"/>
      <c r="H10" s="47"/>
      <c r="J10" s="48"/>
      <c r="K10" s="49"/>
      <c r="L10" s="48"/>
      <c r="M10" s="49"/>
      <c r="N10" s="50"/>
      <c r="O10" s="49"/>
    </row>
    <row r="11" spans="1:15" ht="20.25" x14ac:dyDescent="0.3">
      <c r="A11" s="60" t="s">
        <v>107</v>
      </c>
      <c r="B11" s="5">
        <v>2.16</v>
      </c>
      <c r="C11" s="5">
        <f>+L9</f>
        <v>2.7347200632056343</v>
      </c>
      <c r="D11" s="59">
        <f>+O9</f>
        <v>0.5401055597791502</v>
      </c>
      <c r="E11" s="5">
        <f>+N9</f>
        <v>0.90231744737131803</v>
      </c>
      <c r="G11" s="1" t="s">
        <v>76</v>
      </c>
      <c r="I11" s="3"/>
    </row>
    <row r="12" spans="1:15" x14ac:dyDescent="0.3">
      <c r="A12" s="60" t="s">
        <v>108</v>
      </c>
      <c r="B12" s="5">
        <v>2.23</v>
      </c>
      <c r="C12" s="5">
        <f>+L4</f>
        <v>2.7163299489247752</v>
      </c>
      <c r="D12" s="59">
        <f>+O4</f>
        <v>0.51902693131980215</v>
      </c>
      <c r="E12" s="5">
        <f>+N4</f>
        <v>0.92351844891772594</v>
      </c>
      <c r="G12" s="4" t="s">
        <v>66</v>
      </c>
      <c r="H12" s="5">
        <v>2.2200000000000002</v>
      </c>
      <c r="J12" s="67" t="s">
        <v>67</v>
      </c>
      <c r="K12" s="68"/>
      <c r="L12" s="67" t="s">
        <v>68</v>
      </c>
      <c r="M12" s="68"/>
      <c r="N12" s="67" t="s">
        <v>69</v>
      </c>
      <c r="O12" s="68"/>
    </row>
    <row r="13" spans="1:15" x14ac:dyDescent="0.3">
      <c r="A13" s="61" t="s">
        <v>109</v>
      </c>
      <c r="B13" s="5"/>
      <c r="C13" s="5"/>
      <c r="D13" s="59"/>
      <c r="E13" s="5"/>
      <c r="G13" s="4" t="s">
        <v>67</v>
      </c>
      <c r="H13" s="5">
        <v>2130781975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5"/>
      <c r="G14" s="7" t="s">
        <v>73</v>
      </c>
      <c r="H14" s="8">
        <f>H13+SUM([12]Result!$C$5:$C$54)</f>
        <v>1147389259.2957499</v>
      </c>
      <c r="J14" s="45">
        <f>+H12</f>
        <v>2.2200000000000002</v>
      </c>
      <c r="K14" s="9">
        <f>+H13/H13</f>
        <v>1</v>
      </c>
      <c r="L14" s="45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A15" s="55"/>
      <c r="G15" s="46"/>
      <c r="H15" s="47"/>
      <c r="J15" s="48"/>
      <c r="K15" s="49"/>
      <c r="L15" s="48"/>
      <c r="M15" s="49"/>
      <c r="N15" s="50"/>
      <c r="O15" s="49"/>
    </row>
    <row r="16" spans="1:15" ht="20.25" x14ac:dyDescent="0.3">
      <c r="A16" s="55"/>
      <c r="G16" s="1" t="s">
        <v>77</v>
      </c>
      <c r="I16" s="3"/>
    </row>
    <row r="17" spans="1:20" x14ac:dyDescent="0.3">
      <c r="A17" s="55"/>
      <c r="G17" s="4" t="s">
        <v>66</v>
      </c>
      <c r="H17" s="5">
        <v>2.15</v>
      </c>
      <c r="J17" s="67" t="s">
        <v>67</v>
      </c>
      <c r="K17" s="68"/>
      <c r="L17" s="67" t="s">
        <v>68</v>
      </c>
      <c r="M17" s="68"/>
      <c r="N17" s="67" t="s">
        <v>69</v>
      </c>
      <c r="O17" s="68"/>
    </row>
    <row r="18" spans="1:20" x14ac:dyDescent="0.3">
      <c r="A18" s="55"/>
      <c r="G18" s="4" t="s">
        <v>67</v>
      </c>
      <c r="H18" s="5">
        <v>2226129556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55"/>
      <c r="G19" s="7" t="s">
        <v>73</v>
      </c>
      <c r="H19" s="8">
        <f>H18+SUM([11]Result!$C$5:$C$54)</f>
        <v>1244549829.8555946</v>
      </c>
      <c r="J19" s="45">
        <f>+H17</f>
        <v>2.15</v>
      </c>
      <c r="K19" s="9">
        <f>+H18/H18</f>
        <v>1</v>
      </c>
      <c r="L19" s="45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0" spans="1:20" x14ac:dyDescent="0.3">
      <c r="A20" s="55"/>
    </row>
    <row r="21" spans="1:20" ht="20.25" x14ac:dyDescent="0.3">
      <c r="G21" s="1" t="s">
        <v>78</v>
      </c>
      <c r="I21" s="3"/>
    </row>
    <row r="22" spans="1:20" x14ac:dyDescent="0.3">
      <c r="G22" s="4" t="s">
        <v>66</v>
      </c>
      <c r="H22" s="5">
        <v>2.41</v>
      </c>
      <c r="J22" s="67" t="s">
        <v>67</v>
      </c>
      <c r="K22" s="68"/>
      <c r="L22" s="67" t="s">
        <v>68</v>
      </c>
      <c r="M22" s="68"/>
      <c r="N22" s="67" t="s">
        <v>69</v>
      </c>
      <c r="O22" s="68"/>
    </row>
    <row r="23" spans="1:20" x14ac:dyDescent="0.3">
      <c r="G23" s="4" t="s">
        <v>67</v>
      </c>
      <c r="H23" s="5">
        <v>2022529855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H23+SUM([10]Result!$C$5:$C$54)</f>
        <v>1041374314.2505485</v>
      </c>
      <c r="J24" s="45">
        <f>+H22</f>
        <v>2.41</v>
      </c>
      <c r="K24" s="9">
        <f>+H23/H23</f>
        <v>1</v>
      </c>
      <c r="L24" s="45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1:20" x14ac:dyDescent="0.3">
      <c r="G25" s="46"/>
      <c r="H25" s="47"/>
      <c r="J25" s="48"/>
      <c r="K25" s="49"/>
      <c r="L25" s="48"/>
      <c r="M25" s="49"/>
      <c r="N25" s="50"/>
      <c r="O25" s="49"/>
      <c r="T25" s="52"/>
    </row>
    <row r="26" spans="1:20" ht="20.25" x14ac:dyDescent="0.3">
      <c r="G26" s="1" t="s">
        <v>79</v>
      </c>
      <c r="I26" s="3"/>
      <c r="T26" s="52"/>
    </row>
    <row r="27" spans="1:20" x14ac:dyDescent="0.3">
      <c r="G27" s="4" t="s">
        <v>66</v>
      </c>
      <c r="H27" s="5">
        <v>2.48</v>
      </c>
      <c r="J27" s="67" t="s">
        <v>67</v>
      </c>
      <c r="K27" s="68"/>
      <c r="L27" s="67" t="s">
        <v>68</v>
      </c>
      <c r="M27" s="68"/>
      <c r="N27" s="67" t="s">
        <v>69</v>
      </c>
      <c r="O27" s="68"/>
      <c r="T27" s="52"/>
    </row>
    <row r="28" spans="1:20" x14ac:dyDescent="0.3">
      <c r="G28" s="4" t="s">
        <v>67</v>
      </c>
      <c r="H28" s="5">
        <v>2016067088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52"/>
    </row>
    <row r="29" spans="1:20" x14ac:dyDescent="0.3">
      <c r="G29" s="7" t="s">
        <v>73</v>
      </c>
      <c r="H29" s="8">
        <f>H28+SUM([9]Result!$C$5:$C$54)</f>
        <v>1032688541.0645288</v>
      </c>
      <c r="J29" s="45">
        <f>+H27</f>
        <v>2.48</v>
      </c>
      <c r="K29" s="9">
        <f>+H28/H28</f>
        <v>1</v>
      </c>
      <c r="L29" s="45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2"/>
    </row>
    <row r="30" spans="1:20" x14ac:dyDescent="0.3">
      <c r="T30" s="52"/>
    </row>
    <row r="31" spans="1:20" ht="20.25" x14ac:dyDescent="0.3">
      <c r="G31" s="1" t="s">
        <v>80</v>
      </c>
      <c r="I31" s="3"/>
      <c r="T31" s="52"/>
    </row>
    <row r="32" spans="1:20" x14ac:dyDescent="0.3">
      <c r="G32" s="4" t="s">
        <v>66</v>
      </c>
      <c r="H32" s="5">
        <v>2.63</v>
      </c>
      <c r="J32" s="67" t="s">
        <v>67</v>
      </c>
      <c r="K32" s="68"/>
      <c r="L32" s="67" t="s">
        <v>68</v>
      </c>
      <c r="M32" s="68"/>
      <c r="N32" s="67" t="s">
        <v>69</v>
      </c>
      <c r="O32" s="68"/>
      <c r="T32" s="52"/>
    </row>
    <row r="33" spans="7:20" x14ac:dyDescent="0.3">
      <c r="G33" s="4" t="s">
        <v>67</v>
      </c>
      <c r="H33" s="5">
        <v>1911880968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52"/>
    </row>
    <row r="34" spans="7:20" x14ac:dyDescent="0.3">
      <c r="G34" s="7" t="s">
        <v>73</v>
      </c>
      <c r="H34" s="8">
        <f>H33+SUM([8]Result!$C$5:$C$54)</f>
        <v>895525947.08969021</v>
      </c>
      <c r="J34" s="45">
        <f>+H32</f>
        <v>2.63</v>
      </c>
      <c r="K34" s="9">
        <f>+H33/H33</f>
        <v>1</v>
      </c>
      <c r="L34" s="45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2"/>
    </row>
    <row r="36" spans="7:20" ht="20.25" x14ac:dyDescent="0.3">
      <c r="G36" s="1" t="s">
        <v>81</v>
      </c>
      <c r="I36" s="3"/>
    </row>
    <row r="37" spans="7:20" x14ac:dyDescent="0.3">
      <c r="G37" s="4" t="s">
        <v>66</v>
      </c>
      <c r="H37" s="5">
        <v>2.48</v>
      </c>
      <c r="J37" s="67" t="s">
        <v>67</v>
      </c>
      <c r="K37" s="68"/>
      <c r="L37" s="67" t="s">
        <v>68</v>
      </c>
      <c r="M37" s="68"/>
      <c r="N37" s="67" t="s">
        <v>69</v>
      </c>
      <c r="O37" s="68"/>
    </row>
    <row r="38" spans="7:20" x14ac:dyDescent="0.3">
      <c r="G38" s="4" t="s">
        <v>67</v>
      </c>
      <c r="H38" s="5">
        <v>1906670470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H38+SUM([7]Result!$C$5:$C$54)</f>
        <v>888412006.78856528</v>
      </c>
      <c r="J39" s="45">
        <f>+H37</f>
        <v>2.48</v>
      </c>
      <c r="K39" s="9">
        <f>+H38/H38</f>
        <v>1</v>
      </c>
      <c r="L39" s="45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82</v>
      </c>
      <c r="I41" s="3"/>
    </row>
    <row r="42" spans="7:20" x14ac:dyDescent="0.3">
      <c r="G42" s="4" t="s">
        <v>66</v>
      </c>
      <c r="H42" s="5">
        <v>1.99</v>
      </c>
      <c r="J42" s="67" t="s">
        <v>67</v>
      </c>
      <c r="K42" s="68"/>
      <c r="L42" s="67" t="s">
        <v>68</v>
      </c>
      <c r="M42" s="68"/>
      <c r="N42" s="67" t="s">
        <v>69</v>
      </c>
      <c r="O42" s="68"/>
    </row>
    <row r="43" spans="7:20" x14ac:dyDescent="0.3">
      <c r="G43" s="4" t="s">
        <v>67</v>
      </c>
      <c r="H43" s="5">
        <v>1887691046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H43+SUM([6]Result!$C$5:$C$54)</f>
        <v>876277163.56873894</v>
      </c>
      <c r="J44" s="45">
        <f>+H42</f>
        <v>1.99</v>
      </c>
      <c r="K44" s="9">
        <f>+H43/H43</f>
        <v>1</v>
      </c>
      <c r="L44" s="45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83</v>
      </c>
      <c r="I46" s="3"/>
    </row>
    <row r="47" spans="7:20" x14ac:dyDescent="0.3">
      <c r="G47" s="4" t="s">
        <v>66</v>
      </c>
      <c r="H47" s="5">
        <v>1.72</v>
      </c>
      <c r="J47" s="67" t="s">
        <v>67</v>
      </c>
      <c r="K47" s="68"/>
      <c r="L47" s="67" t="s">
        <v>68</v>
      </c>
      <c r="M47" s="68"/>
      <c r="N47" s="67" t="s">
        <v>69</v>
      </c>
      <c r="O47" s="68"/>
    </row>
    <row r="48" spans="7:20" x14ac:dyDescent="0.3">
      <c r="G48" s="4" t="s">
        <v>67</v>
      </c>
      <c r="H48" s="5">
        <v>2089521763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H48+SUM([5]Result!$C$5:$C$54)</f>
        <v>1108321333.509089</v>
      </c>
      <c r="J49" s="45">
        <f>+H47</f>
        <v>1.72</v>
      </c>
      <c r="K49" s="9">
        <f>+H48/H48</f>
        <v>1</v>
      </c>
      <c r="L49" s="45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84</v>
      </c>
      <c r="I51" s="3"/>
    </row>
    <row r="52" spans="7:15" x14ac:dyDescent="0.3">
      <c r="G52" s="4" t="s">
        <v>66</v>
      </c>
      <c r="H52" s="5">
        <v>2.69</v>
      </c>
      <c r="J52" s="67" t="s">
        <v>67</v>
      </c>
      <c r="K52" s="68"/>
      <c r="L52" s="67" t="s">
        <v>68</v>
      </c>
      <c r="M52" s="68"/>
      <c r="N52" s="67" t="s">
        <v>69</v>
      </c>
      <c r="O52" s="68"/>
    </row>
    <row r="53" spans="7:15" x14ac:dyDescent="0.3">
      <c r="G53" s="4" t="s">
        <v>67</v>
      </c>
      <c r="H53" s="5">
        <v>2081315387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H53+SUM([1]Result!$C$5:$C$54)</f>
        <v>1103143400.0364637</v>
      </c>
      <c r="J54" s="45">
        <f>+H52</f>
        <v>2.69</v>
      </c>
      <c r="K54" s="9">
        <f>+H53/H53</f>
        <v>1</v>
      </c>
      <c r="L54" s="45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3"/>
    </row>
    <row r="61" spans="7:15" x14ac:dyDescent="0.3">
      <c r="H61" s="54"/>
    </row>
    <row r="62" spans="7:15" x14ac:dyDescent="0.3">
      <c r="H62" s="54"/>
    </row>
  </sheetData>
  <mergeCells count="33">
    <mergeCell ref="J7:K7"/>
    <mergeCell ref="L7:M7"/>
    <mergeCell ref="N7:O7"/>
    <mergeCell ref="J2:K2"/>
    <mergeCell ref="L2:M2"/>
    <mergeCell ref="N2:O2"/>
    <mergeCell ref="J17:K17"/>
    <mergeCell ref="L17:M17"/>
    <mergeCell ref="N17:O17"/>
    <mergeCell ref="J12:K12"/>
    <mergeCell ref="L12:M12"/>
    <mergeCell ref="N12:O12"/>
    <mergeCell ref="N32:O32"/>
    <mergeCell ref="J27:K27"/>
    <mergeCell ref="J22:K22"/>
    <mergeCell ref="L22:M22"/>
    <mergeCell ref="N22:O22"/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2025-12-29T10:42:51Z</dcterms:modified>
</cp:coreProperties>
</file>